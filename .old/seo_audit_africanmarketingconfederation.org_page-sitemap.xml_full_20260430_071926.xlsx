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gend" sheetId="2" state="visible" r:id="rId2"/>
    <sheet xmlns:r="http://schemas.openxmlformats.org/officeDocument/2006/relationships" name="Summary" sheetId="3" state="visible" r:id="rId3"/>
    <sheet xmlns:r="http://schemas.openxmlformats.org/officeDocument/2006/relationships" name="Main" sheetId="4" state="visible" r:id="rId4"/>
    <sheet xmlns:r="http://schemas.openxmlformats.org/officeDocument/2006/relationships" name="Technical" sheetId="5" state="visible" r:id="rId5"/>
    <sheet xmlns:r="http://schemas.openxmlformats.org/officeDocument/2006/relationships" name="FixPlan" sheetId="6" state="visible" r:id="rId6"/>
    <sheet xmlns:r="http://schemas.openxmlformats.org/officeDocument/2006/relationships" name="Priority URLs" sheetId="7" state="visible" r:id="rId7"/>
    <sheet xmlns:r="http://schemas.openxmlformats.org/officeDocument/2006/relationships" name="Indexability" sheetId="8" state="visible" r:id="rId8"/>
    <sheet xmlns:r="http://schemas.openxmlformats.org/officeDocument/2006/relationships" name="Content" sheetId="9" state="visible" r:id="rId9"/>
    <sheet xmlns:r="http://schemas.openxmlformats.org/officeDocument/2006/relationships" name="Redirects" sheetId="10" state="visible" r:id="rId10"/>
    <sheet xmlns:r="http://schemas.openxmlformats.org/officeDocument/2006/relationships" name="Links" sheetId="11" state="visible" r:id="rId11"/>
    <sheet xmlns:r="http://schemas.openxmlformats.org/officeDocument/2006/relationships" name="LinksDetail" sheetId="12" state="visible" r:id="rId12"/>
    <sheet xmlns:r="http://schemas.openxmlformats.org/officeDocument/2006/relationships" name="AEO" sheetId="13" state="visible" r:id="rId13"/>
    <sheet xmlns:r="http://schemas.openxmlformats.org/officeDocument/2006/relationships" name="AIOSEO" sheetId="14" state="visible" r:id="rId14"/>
    <sheet xmlns:r="http://schemas.openxmlformats.org/officeDocument/2006/relationships" name="SnippetCandidates" sheetId="15" state="visible" r:id="rId15"/>
    <sheet xmlns:r="http://schemas.openxmlformats.org/officeDocument/2006/relationships" name="Media" sheetId="16" state="visible" r:id="rId16"/>
    <sheet xmlns:r="http://schemas.openxmlformats.org/officeDocument/2006/relationships" name="StructuredData" sheetId="17" state="visible" r:id="rId17"/>
    <sheet xmlns:r="http://schemas.openxmlformats.org/officeDocument/2006/relationships" name="Social" sheetId="18" state="visible" r:id="rId18"/>
    <sheet xmlns:r="http://schemas.openxmlformats.org/officeDocument/2006/relationships" name="Security" sheetId="19" state="visible" r:id="rId19"/>
    <sheet xmlns:r="http://schemas.openxmlformats.org/officeDocument/2006/relationships" name="Duplicates" sheetId="20" state="visible" r:id="rId20"/>
    <sheet xmlns:r="http://schemas.openxmlformats.org/officeDocument/2006/relationships" name="TemplateClusters" sheetId="21" state="visible" r:id="rId21"/>
    <sheet xmlns:r="http://schemas.openxmlformats.org/officeDocument/2006/relationships" name="IssueInventory"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DeltaFromPreviousRun" sheetId="25" state="hidden" r:id="rId25"/>
    <sheet xmlns:r="http://schemas.openxmlformats.org/officeDocument/2006/relationships" name="RunMetadata" sheetId="26" state="hidden" r:id="rId26"/>
  </sheets>
  <definedNames>
    <definedName name="_xlnm._FilterDatabase" localSheetId="0" hidden="1">'Dashboard'!$A$1:$J$20</definedName>
    <definedName name="_xlnm._FilterDatabase" localSheetId="1" hidden="1">'Legend'!$A$1:$E$14</definedName>
    <definedName name="_xlnm._FilterDatabase" localSheetId="2" hidden="1">'Summary'!$A$1:$F$58</definedName>
    <definedName name="_xlnm._FilterDatabase" localSheetId="3" hidden="1">'Main'!$A$1:$Z$86</definedName>
    <definedName name="_xlnm._FilterDatabase" localSheetId="4" hidden="1">'Technical'!$A$1:$BG$86</definedName>
    <definedName name="_xlnm._FilterDatabase" localSheetId="5" hidden="1">'FixPlan'!$A$1:$S$27</definedName>
    <definedName name="_xlnm._FilterDatabase" localSheetId="6" hidden="1">'Priority URLs'!$A$1:$N$86</definedName>
    <definedName name="_xlnm._FilterDatabase" localSheetId="7" hidden="1">'Indexability'!$A$1:$K$86</definedName>
    <definedName name="_xlnm._FilterDatabase" localSheetId="8" hidden="1">'Content'!$A$1:$L$86</definedName>
    <definedName name="_xlnm._FilterDatabase" localSheetId="9" hidden="1">'Redirects'!$A$1:$H$86</definedName>
    <definedName name="_xlnm._FilterDatabase" localSheetId="10" hidden="1">'Links'!$A$1:$J$86</definedName>
    <definedName name="_xlnm._FilterDatabase" localSheetId="11" hidden="1">'LinksDetail'!$A$1:$A$1</definedName>
    <definedName name="_xlnm._FilterDatabase" localSheetId="12" hidden="1">'AEO'!$A$1:$M$86</definedName>
    <definedName name="_xlnm._FilterDatabase" localSheetId="13" hidden="1">'AIOSEO'!$A$1:$P$713</definedName>
    <definedName name="_xlnm._FilterDatabase" localSheetId="14" hidden="1">'SnippetCandidates'!$A$1:$D$1</definedName>
    <definedName name="_xlnm._FilterDatabase" localSheetId="15" hidden="1">'Media'!$A$1:$J$86</definedName>
    <definedName name="_xlnm._FilterDatabase" localSheetId="16" hidden="1">'StructuredData'!$A$1:$D$86</definedName>
    <definedName name="_xlnm._FilterDatabase" localSheetId="17" hidden="1">'Social'!$A$1:$F$86</definedName>
    <definedName name="_xlnm._FilterDatabase" localSheetId="18" hidden="1">'Security'!$A$1:$K$86</definedName>
    <definedName name="_xlnm._FilterDatabase" localSheetId="19" hidden="1">'Duplicates'!$A$1:$E$86</definedName>
    <definedName name="_xlnm._FilterDatabase" localSheetId="20" hidden="1">'TemplateClusters'!$A$1:$I$85</definedName>
    <definedName name="_xlnm._FilterDatabase" localSheetId="21" hidden="1">'IssueInventory'!$A$1:$G$783</definedName>
    <definedName name="_xlnm._FilterDatabase" localSheetId="22" hidden="1">'CrawlGraph'!$A$1:$D$86</definedName>
    <definedName name="_xlnm._FilterDatabase" localSheetId="23" hidden="1">'SitemapQA'!$A$1:$L$86</definedName>
    <definedName name="_xlnm._FilterDatabase" localSheetId="24" hidden="1">'DeltaFromPreviousRun'!$A$1:$B$30</definedName>
    <definedName name="_xlnm._FilterDatabase" localSheetId="25" hidden="1">'RunMetadata'!$A$1:$B$9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font>
    <font>
      <name val="Calibri"/>
      <family val="2"/>
      <color theme="10"/>
      <sz val="12"/>
      <scheme val="minor"/>
    </font>
    <font>
      <b val="1"/>
      <color rgb="000563C1"/>
      <u val="single"/>
    </font>
    <font>
      <b val="1"/>
    </font>
    <font>
      <b val="1"/>
      <color rgb="001F4E78"/>
      <sz val="12"/>
    </font>
    <font>
      <b val="1"/>
      <color rgb="001F4E78"/>
      <sz val="16"/>
    </font>
    <font>
      <b val="1"/>
      <color rgb="00FFFFFF"/>
      <sz val="12"/>
    </font>
    <font>
      <b val="1"/>
      <color rgb="001F2937"/>
      <sz val="12"/>
    </font>
    <font>
      <b val="1"/>
      <color rgb="001F2937"/>
      <sz val="14"/>
    </font>
    <font>
      <b val="1"/>
      <color rgb="000563C1"/>
      <sz val="12"/>
      <u val="single"/>
    </font>
    <font>
      <b val="1"/>
      <color rgb="00FFFFFF"/>
      <sz val="11"/>
    </font>
  </fonts>
  <fills count="14">
    <fill>
      <patternFill/>
    </fill>
    <fill>
      <patternFill patternType="gray125"/>
    </fill>
    <fill>
      <patternFill patternType="solid">
        <fgColor rgb="001F4E78"/>
        <bgColor rgb="001F4E78"/>
      </patternFill>
    </fill>
    <fill>
      <patternFill patternType="solid">
        <fgColor rgb="00F4CCCC"/>
        <bgColor rgb="00F4CCCC"/>
      </patternFill>
    </fill>
    <fill>
      <patternFill patternType="solid">
        <fgColor rgb="00F7F7F7"/>
        <bgColor rgb="00F7F7F7"/>
      </patternFill>
    </fill>
    <fill>
      <patternFill patternType="solid">
        <fgColor rgb="00D9EAD3"/>
        <bgColor rgb="00D9EAD3"/>
      </patternFill>
    </fill>
    <fill>
      <patternFill patternType="solid">
        <fgColor rgb="00FFF2CC"/>
        <bgColor rgb="00FFF2CC"/>
      </patternFill>
    </fill>
    <fill>
      <patternFill patternType="solid">
        <fgColor rgb="001F4E78"/>
      </patternFill>
    </fill>
    <fill>
      <patternFill patternType="solid">
        <fgColor rgb="00F5F7F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FC7CE"/>
      </patternFill>
    </fill>
    <fill>
      <patternFill patternType="solid">
        <fgColor rgb="00D9D2E9"/>
        <bgColor rgb="00D9D2E9"/>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5" borderId="0" applyAlignment="1" pivotButton="0" quotePrefix="0" xfId="0">
      <alignment vertical="top"/>
    </xf>
    <xf numFmtId="0" fontId="6" fillId="0" borderId="0" applyAlignment="1" pivotButton="0" quotePrefix="0" xfId="0">
      <alignment horizontal="left" vertical="center"/>
    </xf>
    <xf numFmtId="0" fontId="0" fillId="0" borderId="0" applyAlignment="1" pivotButton="0" quotePrefix="0" xfId="0">
      <alignment vertical="top"/>
    </xf>
    <xf numFmtId="0" fontId="7" fillId="7" borderId="0" applyAlignment="1" pivotButton="0" quotePrefix="0" xfId="0">
      <alignment horizontal="center" vertical="center"/>
    </xf>
    <xf numFmtId="0" fontId="10" fillId="8" borderId="0" applyAlignment="1" pivotButton="0" quotePrefix="0" xfId="0">
      <alignment horizontal="center" vertical="center"/>
    </xf>
    <xf numFmtId="0" fontId="9" fillId="8" borderId="0" applyAlignment="1" pivotButton="0" quotePrefix="0" xfId="0">
      <alignment horizontal="center" vertical="center"/>
    </xf>
    <xf numFmtId="10" fontId="9" fillId="12" borderId="0" applyAlignment="1" pivotButton="0" quotePrefix="0" xfId="0">
      <alignment horizontal="center" vertical="center"/>
    </xf>
    <xf numFmtId="0" fontId="4" fillId="5" borderId="1" applyAlignment="1" pivotButton="0" quotePrefix="0" xfId="0">
      <alignment vertical="top"/>
    </xf>
    <xf numFmtId="0" fontId="10" fillId="8" borderId="1" applyAlignment="1" pivotButton="0" quotePrefix="0" xfId="0">
      <alignment horizontal="center" vertical="center"/>
    </xf>
    <xf numFmtId="0" fontId="9" fillId="8" borderId="1" applyAlignment="1" pivotButton="0" quotePrefix="0" xfId="0">
      <alignment horizontal="center" vertical="center"/>
    </xf>
    <xf numFmtId="0" fontId="4" fillId="0" borderId="1" applyAlignment="1" pivotButton="0" quotePrefix="0" xfId="0">
      <alignment vertical="top"/>
    </xf>
    <xf numFmtId="10" fontId="9" fillId="9" borderId="0" applyAlignment="1" pivotButton="0" quotePrefix="0" xfId="0">
      <alignment horizontal="center" vertical="center"/>
    </xf>
    <xf numFmtId="0" fontId="11" fillId="7" borderId="0" applyAlignment="1" pivotButton="0" quotePrefix="0" xfId="0">
      <alignment horizontal="center" vertical="center"/>
    </xf>
    <xf numFmtId="0" fontId="0" fillId="9" borderId="0" applyAlignment="1" pivotButton="0" quotePrefix="0" xfId="0">
      <alignment horizontal="center" vertical="center"/>
    </xf>
    <xf numFmtId="0" fontId="0" fillId="10" borderId="0" applyAlignment="1" pivotButton="0" quotePrefix="0" xfId="0">
      <alignment horizontal="center" vertical="center"/>
    </xf>
    <xf numFmtId="0" fontId="0" fillId="11" borderId="0" applyAlignment="1" pivotButton="0" quotePrefix="0" xfId="0">
      <alignment horizontal="center" vertical="center"/>
    </xf>
    <xf numFmtId="0" fontId="0" fillId="0" borderId="0" applyAlignment="1" pivotButton="0" quotePrefix="0" xfId="0">
      <alignment horizontal="center" vertical="center"/>
    </xf>
    <xf numFmtId="0" fontId="0" fillId="8" borderId="0" pivotButton="0" quotePrefix="0" xfId="0"/>
    <xf numFmtId="0" fontId="3" fillId="8" borderId="0" pivotButton="0" quotePrefix="0" xfId="0"/>
    <xf numFmtId="0" fontId="3" fillId="0" borderId="0" applyAlignment="1" pivotButton="0" quotePrefix="0" xfId="1">
      <alignment horizontal="left"/>
    </xf>
    <xf numFmtId="0" fontId="0" fillId="4" borderId="0" applyAlignment="1" pivotButton="0" quotePrefix="0" xfId="0">
      <alignment vertical="top"/>
    </xf>
    <xf numFmtId="0" fontId="0" fillId="6" borderId="0" applyAlignment="1" pivotButton="0" quotePrefix="0" xfId="0">
      <alignment vertical="top"/>
    </xf>
    <xf numFmtId="0" fontId="2" fillId="0" borderId="0" pivotButton="0" quotePrefix="0" xfId="1"/>
    <xf numFmtId="0" fontId="0" fillId="4" borderId="0" applyAlignment="1" pivotButton="0" quotePrefix="0" xfId="0">
      <alignment vertical="top" wrapText="1"/>
    </xf>
    <xf numFmtId="0" fontId="2" fillId="4" borderId="0" applyAlignment="1" pivotButton="0" quotePrefix="0" xfId="1">
      <alignment vertical="top"/>
    </xf>
    <xf numFmtId="0" fontId="0" fillId="13"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1">
      <alignment vertical="top"/>
    </xf>
    <xf numFmtId="0" fontId="0" fillId="3" borderId="0" applyAlignment="1" pivotButton="0" quotePrefix="0" xfId="0">
      <alignment vertical="top"/>
    </xf>
    <xf numFmtId="0" fontId="2" fillId="0" borderId="0" applyAlignment="1" pivotButton="0" quotePrefix="0" xfId="1">
      <alignment vertical="top" wrapText="1"/>
    </xf>
    <xf numFmtId="0" fontId="0" fillId="5" borderId="0" applyAlignment="1" pivotButton="0" quotePrefix="0" xfId="0">
      <alignment vertical="top" wrapText="1"/>
    </xf>
  </cellXfs>
  <cellStyles count="2">
    <cellStyle name="Normal" xfId="0" builtinId="0" hidden="0"/>
    <cellStyle name="Hyperlink" xfId="1" builtinId="8" hidden="0"/>
  </cellStyles>
  <dxfs count="8">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CC99"/>
        </patternFill>
      </fill>
    </dxf>
    <dxf>
      <fill>
        <patternFill patternType="solid">
          <fgColor rgb="00D9EAD3"/>
        </patternFill>
      </fill>
    </dxf>
    <dxf>
      <fill>
        <patternFill patternType="solid">
          <fgColor rgb="00FFF2CC"/>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12" TargetMode="External" Id="rId2"/><Relationship Type="http://schemas.openxmlformats.org/officeDocument/2006/relationships/hyperlink" Target="#AEO!A1" TargetMode="External" Id="rId3"/><Relationship Type="http://schemas.openxmlformats.org/officeDocument/2006/relationships/hyperlink" Target="#FixPlan!A26" TargetMode="External" Id="rId4"/><Relationship Type="http://schemas.openxmlformats.org/officeDocument/2006/relationships/hyperlink" Target="#AEO!A1" TargetMode="External" Id="rId5"/><Relationship Type="http://schemas.openxmlformats.org/officeDocument/2006/relationships/hyperlink" Target="#FixPlan!A25" TargetMode="External" Id="rId6"/><Relationship Type="http://schemas.openxmlformats.org/officeDocument/2006/relationships/hyperlink" Target="#AEO!A1" TargetMode="External" Id="rId7"/><Relationship Type="http://schemas.openxmlformats.org/officeDocument/2006/relationships/hyperlink" Target="#FixPlan!A23" TargetMode="External" Id="rId8"/><Relationship Type="http://schemas.openxmlformats.org/officeDocument/2006/relationships/hyperlink" Target="#AEO!A1" TargetMode="External" Id="rId9"/><Relationship Type="http://schemas.openxmlformats.org/officeDocument/2006/relationships/hyperlink" Target="#FixPlan!A24" TargetMode="External" Id="rId10"/><Relationship Type="http://schemas.openxmlformats.org/officeDocument/2006/relationships/hyperlink" Target="#AEO!A1" TargetMode="External" Id="rId11"/><Relationship Type="http://schemas.openxmlformats.org/officeDocument/2006/relationships/hyperlink" Target="#FixPlan!A6" TargetMode="External" Id="rId12"/><Relationship Type="http://schemas.openxmlformats.org/officeDocument/2006/relationships/hyperlink" Target="#Technical!A1" TargetMode="External" Id="rId13"/><Relationship Type="http://schemas.openxmlformats.org/officeDocument/2006/relationships/hyperlink" Target="#FixPlan!A5" TargetMode="External" Id="rId14"/><Relationship Type="http://schemas.openxmlformats.org/officeDocument/2006/relationships/hyperlink" Target="#Links!A1" TargetMode="External" Id="rId15"/><Relationship Type="http://schemas.openxmlformats.org/officeDocument/2006/relationships/hyperlink" Target="#FixPlan!A3" TargetMode="External" Id="rId16"/><Relationship Type="http://schemas.openxmlformats.org/officeDocument/2006/relationships/hyperlink" Target="#Indexability!A1" TargetMode="External" Id="rId17"/><Relationship Type="http://schemas.openxmlformats.org/officeDocument/2006/relationships/hyperlink" Target="#FixPlan!A2" TargetMode="External" Id="rId18"/><Relationship Type="http://schemas.openxmlformats.org/officeDocument/2006/relationships/hyperlink" Target="#Indexability!A1" TargetMode="External" Id="rId19"/><Relationship Type="http://schemas.openxmlformats.org/officeDocument/2006/relationships/hyperlink" Target="#FixPlan!A4" TargetMode="External" Id="rId20"/><Relationship Type="http://schemas.openxmlformats.org/officeDocument/2006/relationships/hyperlink" Target="#Technical!A1" TargetMode="External" Id="rId21"/><Relationship Type="http://schemas.openxmlformats.org/officeDocument/2006/relationships/hyperlink" Target="#FixPlan!A12" TargetMode="External" Id="rId22"/><Relationship Type="http://schemas.openxmlformats.org/officeDocument/2006/relationships/hyperlink" Target="#AEO!A1" TargetMode="External" Id="rId23"/><Relationship Type="http://schemas.openxmlformats.org/officeDocument/2006/relationships/hyperlink" Target="#FixPlan!A16" TargetMode="External" Id="rId24"/><Relationship Type="http://schemas.openxmlformats.org/officeDocument/2006/relationships/hyperlink" Target="#Technical!A1" TargetMode="External" Id="rId25"/><Relationship Type="http://schemas.openxmlformats.org/officeDocument/2006/relationships/hyperlink" Target="#FixPlan!A17" TargetMode="External" Id="rId26"/><Relationship Type="http://schemas.openxmlformats.org/officeDocument/2006/relationships/hyperlink" Target="#Technical!A1" TargetMode="External" Id="rId27"/><Relationship Type="http://schemas.openxmlformats.org/officeDocument/2006/relationships/hyperlink" Target="#FixPlan!A13" TargetMode="External" Id="rId28"/><Relationship Type="http://schemas.openxmlformats.org/officeDocument/2006/relationships/hyperlink" Target="#Technical!A1" TargetMode="External" Id="rId29"/><Relationship Type="http://schemas.openxmlformats.org/officeDocument/2006/relationships/hyperlink" Target="#FixPlan!A14" TargetMode="External" Id="rId30"/><Relationship Type="http://schemas.openxmlformats.org/officeDocument/2006/relationships/hyperlink" Target="#Technical!A1" TargetMode="External" Id="rId31"/><Relationship Type="http://schemas.openxmlformats.org/officeDocument/2006/relationships/hyperlink" Target="#FixPlan!A15" TargetMode="External" Id="rId32"/><Relationship Type="http://schemas.openxmlformats.org/officeDocument/2006/relationships/hyperlink" Target="#Technical!A1" TargetMode="External" Id="rId33"/><Relationship Type="http://schemas.openxmlformats.org/officeDocument/2006/relationships/hyperlink" Target="#FixPlan!A10" TargetMode="External" Id="rId34"/><Relationship Type="http://schemas.openxmlformats.org/officeDocument/2006/relationships/hyperlink" Target="#Indexability!A1" TargetMode="External" Id="rId35"/><Relationship Type="http://schemas.openxmlformats.org/officeDocument/2006/relationships/hyperlink" Target="#FixPlan!A11" TargetMode="External" Id="rId36"/><Relationship Type="http://schemas.openxmlformats.org/officeDocument/2006/relationships/hyperlink" Target="#Technical!A1" TargetMode="External" Id="rId37"/><Relationship Type="http://schemas.openxmlformats.org/officeDocument/2006/relationships/hyperlink" Target="#FixPlan!A8" TargetMode="External" Id="rId38"/><Relationship Type="http://schemas.openxmlformats.org/officeDocument/2006/relationships/hyperlink" Target="#Technical!A1" TargetMode="External" Id="rId39"/><Relationship Type="http://schemas.openxmlformats.org/officeDocument/2006/relationships/hyperlink" Target="#FixPlan!A9" TargetMode="External" Id="rId40"/><Relationship Type="http://schemas.openxmlformats.org/officeDocument/2006/relationships/hyperlink" Target="#Technical!A1" TargetMode="External" Id="rId41"/><Relationship Type="http://schemas.openxmlformats.org/officeDocument/2006/relationships/hyperlink" Target="#FixPlan!A7" TargetMode="External" Id="rId42"/><Relationship Type="http://schemas.openxmlformats.org/officeDocument/2006/relationships/hyperlink" Target="#Technical!A1" TargetMode="External" Id="rId43"/><Relationship Type="http://schemas.openxmlformats.org/officeDocument/2006/relationships/hyperlink" Target="#FixPlan!A26" TargetMode="External" Id="rId44"/><Relationship Type="http://schemas.openxmlformats.org/officeDocument/2006/relationships/hyperlink" Target="#Technical!A1" TargetMode="External" Id="rId45"/><Relationship Type="http://schemas.openxmlformats.org/officeDocument/2006/relationships/hyperlink" Target="#FixPlan!A25" TargetMode="External" Id="rId46"/><Relationship Type="http://schemas.openxmlformats.org/officeDocument/2006/relationships/hyperlink" Target="#Technical!A1" TargetMode="External" Id="rId47"/><Relationship Type="http://schemas.openxmlformats.org/officeDocument/2006/relationships/hyperlink" Target="#FixPlan!A21" TargetMode="External" Id="rId48"/><Relationship Type="http://schemas.openxmlformats.org/officeDocument/2006/relationships/hyperlink" Target="#Technical!A1" TargetMode="External" Id="rId49"/><Relationship Type="http://schemas.openxmlformats.org/officeDocument/2006/relationships/hyperlink" Target="#FixPlan!A20" TargetMode="External" Id="rId50"/><Relationship Type="http://schemas.openxmlformats.org/officeDocument/2006/relationships/hyperlink" Target="#Technical!A1" TargetMode="External" Id="rId51"/><Relationship Type="http://schemas.openxmlformats.org/officeDocument/2006/relationships/hyperlink" Target="#FixPlan!A22" TargetMode="External" Id="rId52"/><Relationship Type="http://schemas.openxmlformats.org/officeDocument/2006/relationships/hyperlink" Target="#Technical!A1" TargetMode="External" Id="rId53"/><Relationship Type="http://schemas.openxmlformats.org/officeDocument/2006/relationships/hyperlink" Target="#FixPlan!A23" TargetMode="External" Id="rId54"/><Relationship Type="http://schemas.openxmlformats.org/officeDocument/2006/relationships/hyperlink" Target="#AEO!A1" TargetMode="External" Id="rId55"/><Relationship Type="http://schemas.openxmlformats.org/officeDocument/2006/relationships/hyperlink" Target="#FixPlan!A24" TargetMode="External" Id="rId56"/><Relationship Type="http://schemas.openxmlformats.org/officeDocument/2006/relationships/hyperlink" Target="#AEO!A1" TargetMode="External" Id="rId57"/><Relationship Type="http://schemas.openxmlformats.org/officeDocument/2006/relationships/hyperlink" Target="#FixPlan!A27" TargetMode="External" Id="rId58"/><Relationship Type="http://schemas.openxmlformats.org/officeDocument/2006/relationships/hyperlink" Target="#Technical!A1" TargetMode="External" Id="rId59"/><Relationship Type="http://schemas.openxmlformats.org/officeDocument/2006/relationships/hyperlink" Target="#FixPlan!A19" TargetMode="External" Id="rId60"/><Relationship Type="http://schemas.openxmlformats.org/officeDocument/2006/relationships/hyperlink" Target="#Technical!A1" TargetMode="External" Id="rId61"/><Relationship Type="http://schemas.openxmlformats.org/officeDocument/2006/relationships/hyperlink" Target="#FixPlan!A18" TargetMode="External" Id="rId62"/><Relationship Type="http://schemas.openxmlformats.org/officeDocument/2006/relationships/hyperlink" Target="#Technical!A1" TargetMode="External" Id="rId63"/><Relationship Type="http://schemas.openxmlformats.org/officeDocument/2006/relationships/hyperlink" Target="#Priority URLs!A1" TargetMode="External" Id="rId64"/><Relationship Type="http://schemas.openxmlformats.org/officeDocument/2006/relationships/hyperlink" Target="#Priority URLs!A1" TargetMode="External" Id="rId65"/><Relationship Type="http://schemas.openxmlformats.org/officeDocument/2006/relationships/hyperlink" Target="#TemplateClusters!A1" TargetMode="External" Id="rId66"/><Relationship Type="http://schemas.openxmlformats.org/officeDocument/2006/relationships/hyperlink" Target="#TemplateClusters!A1" TargetMode="External" Id="rId67"/><Relationship Type="http://schemas.openxmlformats.org/officeDocument/2006/relationships/hyperlink" Target="#TemplateClusters!A1" TargetMode="External" Id="rId68"/><Relationship Type="http://schemas.openxmlformats.org/officeDocument/2006/relationships/hyperlink" Target="#TemplateClusters!A1" TargetMode="External" Id="rId69"/><Relationship Type="http://schemas.openxmlformats.org/officeDocument/2006/relationships/hyperlink" Target="#TemplateClusters!A1" TargetMode="External" Id="rId70"/><Relationship Type="http://schemas.openxmlformats.org/officeDocument/2006/relationships/hyperlink" Target="#TemplateClusters!A1" TargetMode="External" Id="rId71"/><Relationship Type="http://schemas.openxmlformats.org/officeDocument/2006/relationships/hyperlink" Target="#TemplateClusters!A1" TargetMode="External" Id="rId72"/><Relationship Type="http://schemas.openxmlformats.org/officeDocument/2006/relationships/hyperlink" Target="#TemplateClusters!A1" TargetMode="External" Id="rId73"/><Relationship Type="http://schemas.openxmlformats.org/officeDocument/2006/relationships/hyperlink" Target="#TemplateClusters!A1" TargetMode="External" Id="rId74"/><Relationship Type="http://schemas.openxmlformats.org/officeDocument/2006/relationships/hyperlink" Target="#TemplateClusters!A1" TargetMode="External" Id="rId75"/><Relationship Type="http://schemas.openxmlformats.org/officeDocument/2006/relationships/hyperlink" Target="#TemplateClusters!A1" TargetMode="External" Id="rId76"/><Relationship Type="http://schemas.openxmlformats.org/officeDocument/2006/relationships/hyperlink" Target="#TemplateClusters!A1" TargetMode="External" Id="rId77"/><Relationship Type="http://schemas.openxmlformats.org/officeDocument/2006/relationships/hyperlink" Target="#TemplateClusters!A1" TargetMode="External" Id="rId78"/><Relationship Type="http://schemas.openxmlformats.org/officeDocument/2006/relationships/hyperlink" Target="#TemplateClusters!A1" TargetMode="External" Id="rId79"/><Relationship Type="http://schemas.openxmlformats.org/officeDocument/2006/relationships/hyperlink" Target="#TemplateClusters!A1" TargetMode="External" Id="rId80"/><Relationship Type="http://schemas.openxmlformats.org/officeDocument/2006/relationships/hyperlink" Target="#TemplateClusters!A1" TargetMode="External" Id="rId81"/><Relationship Type="http://schemas.openxmlformats.org/officeDocument/2006/relationships/hyperlink" Target="#TemplateClusters!A1" TargetMode="External" Id="rId82"/><Relationship Type="http://schemas.openxmlformats.org/officeDocument/2006/relationships/hyperlink" Target="#TemplateClusters!A1" TargetMode="External" Id="rId83"/><Relationship Type="http://schemas.openxmlformats.org/officeDocument/2006/relationships/hyperlink" Target="#TemplateClusters!A1" TargetMode="External" Id="rId84"/><Relationship Type="http://schemas.openxmlformats.org/officeDocument/2006/relationships/hyperlink" Target="#TemplateClusters!A1" TargetMode="External" Id="rId85"/></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marketing-conference-2024/speakers-2024/"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marketing-conference-2024/speakers-2024/" TargetMode="External" Id="rId5"/><Relationship Type="http://schemas.openxmlformats.org/officeDocument/2006/relationships/hyperlink" Target="https://africanmarketingconfederation.org/amc-marketing-conference-2024/speakers-2024/" TargetMode="External" Id="rId6"/><Relationship Type="http://schemas.openxmlformats.org/officeDocument/2006/relationships/hyperlink" Target="https://africanmarketingconfederation.org/publication-download-list/" TargetMode="External" Id="rId7"/><Relationship Type="http://schemas.openxmlformats.org/officeDocument/2006/relationships/hyperlink" Target="https://africanmarketingconfederation.org/publication-download-list/" TargetMode="External" Id="rId8"/><Relationship Type="http://schemas.openxmlformats.org/officeDocument/2006/relationships/hyperlink" Target="https://africanmarketingconfederation.org/" TargetMode="External" Id="rId9"/><Relationship Type="http://schemas.openxmlformats.org/officeDocument/2006/relationships/hyperlink" Target="https://africanmarketingconfederation.org/" TargetMode="External" Id="rId10"/><Relationship Type="http://schemas.openxmlformats.org/officeDocument/2006/relationships/hyperlink" Target="https://africanmarketingconfederation.org/" TargetMode="External" Id="rId11"/><Relationship Type="http://schemas.openxmlformats.org/officeDocument/2006/relationships/hyperlink" Target="https://africanmarketingconfederation.org/" TargetMode="External" Id="rId12"/><Relationship Type="http://schemas.openxmlformats.org/officeDocument/2006/relationships/hyperlink" Target="https://africanmarketingconfederation.org/" TargetMode="External" Id="rId13"/><Relationship Type="http://schemas.openxmlformats.org/officeDocument/2006/relationships/hyperlink" Target="https://africanmarketingconfederation.org/" TargetMode="External" Id="rId14"/><Relationship Type="http://schemas.openxmlformats.org/officeDocument/2006/relationships/hyperlink" Target="https://africanmarketingconfederation.org/" TargetMode="External" Id="rId15"/><Relationship Type="http://schemas.openxmlformats.org/officeDocument/2006/relationships/hyperlink" Target="https://africanmarketingconfederation.org/amc-conference-2026/" TargetMode="External" Id="rId16"/></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marketing-conference-2024/speakers-2024/" TargetMode="External" Id="rId2"/><Relationship Type="http://schemas.openxmlformats.org/officeDocument/2006/relationships/hyperlink" Target="https://africanmarketingconfederation.org/amc-conference-sponsors/" TargetMode="External" Id="rId3"/><Relationship Type="http://schemas.openxmlformats.org/officeDocument/2006/relationships/hyperlink" Target="https://africanmarketingconfederation.org/elementor-20341/" TargetMode="External" Id="rId4"/><Relationship Type="http://schemas.openxmlformats.org/officeDocument/2006/relationships/hyperlink" Target="https://africanmarketingconfederation.org/amc-conference-2023/amc-awards-book-now/" TargetMode="External" Id="rId5"/><Relationship Type="http://schemas.openxmlformats.org/officeDocument/2006/relationships/hyperlink" Target="https://africanmarketingconfederation.org/amc-masterclass-bookings/" TargetMode="External" Id="rId6"/><Relationship Type="http://schemas.openxmlformats.org/officeDocument/2006/relationships/hyperlink" Target="https://africanmarketingconfederation.org/publication-download-list/" TargetMode="External" Id="rId7"/><Relationship Type="http://schemas.openxmlformats.org/officeDocument/2006/relationships/hyperlink" Target="https://africanmarketingconfederation.org/amc-conference-2026-awards-nominations-thank-you/" TargetMode="External" Id="rId8"/><Relationship Type="http://schemas.openxmlformats.org/officeDocument/2006/relationships/hyperlink" Target="https://africanmarketingconfederation.org/amc-conference-2026-zambia-thank-you/" TargetMode="External" Id="rId9"/><Relationship Type="http://schemas.openxmlformats.org/officeDocument/2006/relationships/hyperlink" Target="https://africanmarketingconfederation.org/amc-launch-event-zambia-thank-you-2026/" TargetMode="External" Id="rId10"/><Relationship Type="http://schemas.openxmlformats.org/officeDocument/2006/relationships/hyperlink" Target="https://africanmarketingconfederation.org/amc-marketing-conference-2024/amc-programme-2025/" TargetMode="External" Id="rId11"/><Relationship Type="http://schemas.openxmlformats.org/officeDocument/2006/relationships/hyperlink" Target="https://africanmarketingconfederation.org/amc-conference-2022-prospectus/" TargetMode="External" Id="rId12"/><Relationship Type="http://schemas.openxmlformats.org/officeDocument/2006/relationships/hyperlink" Target="https://africanmarketingconfederation.org/test-payment-gate/" TargetMode="External" Id="rId13"/><Relationship Type="http://schemas.openxmlformats.org/officeDocument/2006/relationships/hyperlink" Target="https://africanmarketingconfederation.org/amc-forum-payments/" TargetMode="External" Id="rId14"/><Relationship Type="http://schemas.openxmlformats.org/officeDocument/2006/relationships/hyperlink" Target="https://africanmarketingconfederation.org/checkout/" TargetMode="External" Id="rId15"/><Relationship Type="http://schemas.openxmlformats.org/officeDocument/2006/relationships/hyperlink" Target="https://africanmarketingconfederation.org/amc-marketing-conference-2024/amc-speakers-presentations-2024/" TargetMode="External" Id="rId16"/><Relationship Type="http://schemas.openxmlformats.org/officeDocument/2006/relationships/hyperlink" Target="https://africanmarketingconfederation.org/amc-marketing-conference-2024/testimony-thank-you-page/" TargetMode="External" Id="rId17"/><Relationship Type="http://schemas.openxmlformats.org/officeDocument/2006/relationships/hyperlink" Target="https://africanmarketingconfederation.org/thank-you-for-registering-2024-registrations/" TargetMode="External" Id="rId18"/><Relationship Type="http://schemas.openxmlformats.org/officeDocument/2006/relationships/hyperlink" Target="https://africanmarketingconfederation.org/download-prospectus-2024/" TargetMode="External" Id="rId19"/><Relationship Type="http://schemas.openxmlformats.org/officeDocument/2006/relationships/hyperlink" Target="https://africanmarketingconfederation.org/thank-you-for-registering-2024-registrations-kenya/" TargetMode="External" Id="rId20"/><Relationship Type="http://schemas.openxmlformats.org/officeDocument/2006/relationships/hyperlink" Target="https://africanmarketingconfederation.org/download-brochure/" TargetMode="External" Id="rId21"/><Relationship Type="http://schemas.openxmlformats.org/officeDocument/2006/relationships/hyperlink" Target="https://africanmarketingconfederation.org/thank-you-for-the-nomination-2024/" TargetMode="External" Id="rId22"/><Relationship Type="http://schemas.openxmlformats.org/officeDocument/2006/relationships/hyperlink" Target="https://africanmarketingconfederation.org/thank-you-for-the-submission-2024/" TargetMode="External" Id="rId23"/><Relationship Type="http://schemas.openxmlformats.org/officeDocument/2006/relationships/hyperlink" Target="https://africanmarketingconfederation.org/elementor-16548/" TargetMode="External" Id="rId24"/><Relationship Type="http://schemas.openxmlformats.org/officeDocument/2006/relationships/hyperlink" Target="https://africanmarketingconfederation.org/chartered-marketer-africa-thank-you/" TargetMode="External" Id="rId25"/><Relationship Type="http://schemas.openxmlformats.org/officeDocument/2006/relationships/hyperlink" Target="https://africanmarketingconfederation.org/thank-you-for-subscribing/" TargetMode="External" Id="rId26"/><Relationship Type="http://schemas.openxmlformats.org/officeDocument/2006/relationships/hyperlink" Target="https://africanmarketingconfederation.org/amc-conference-2023/book-now-thank-you/" TargetMode="External" Id="rId27"/><Relationship Type="http://schemas.openxmlformats.org/officeDocument/2006/relationships/hyperlink" Target="https://africanmarketingconfederation.org/upcoming-events/" TargetMode="External" Id="rId28"/><Relationship Type="http://schemas.openxmlformats.org/officeDocument/2006/relationships/hyperlink" Target="https://africanmarketingconfederation.org/amc-masterclass/" TargetMode="External" Id="rId29"/><Relationship Type="http://schemas.openxmlformats.org/officeDocument/2006/relationships/hyperlink" Target="https://africanmarketingconfederation.org/amc-masterclass-thank-you/" TargetMode="External" Id="rId30"/><Relationship Type="http://schemas.openxmlformats.org/officeDocument/2006/relationships/hyperlink" Target="https://africanmarketingconfederation.org/test-homeslider/" TargetMode="External" Id="rId31"/><Relationship Type="http://schemas.openxmlformats.org/officeDocument/2006/relationships/hyperlink" Target="https://africanmarketingconfederation.org/general-enquiry-form-thank-you/" TargetMode="External" Id="rId32"/><Relationship Type="http://schemas.openxmlformats.org/officeDocument/2006/relationships/hyperlink" Target="https://africanmarketingconfederation.org/speakers/" TargetMode="External" Id="rId33"/><Relationship Type="http://schemas.openxmlformats.org/officeDocument/2006/relationships/hyperlink" Target="https://africanmarketingconfederation.org/amc-conference-2025-highlights/" TargetMode="External" Id="rId34"/><Relationship Type="http://schemas.openxmlformats.org/officeDocument/2006/relationships/hyperlink" Target="https://africanmarketingconfederation.org/" TargetMode="External" Id="rId35"/><Relationship Type="http://schemas.openxmlformats.org/officeDocument/2006/relationships/hyperlink" Target="https://africanmarketingconfederation.org/launch-event-2026-amc-conference/" TargetMode="External" Id="rId36"/><Relationship Type="http://schemas.openxmlformats.org/officeDocument/2006/relationships/hyperlink" Target="https://africanmarketingconfederation.org/publications-2/" TargetMode="External" Id="rId37"/><Relationship Type="http://schemas.openxmlformats.org/officeDocument/2006/relationships/hyperlink" Target="https://africanmarketingconfederation.org/certified-professional-marketer-africa/" TargetMode="External" Id="rId38"/><Relationship Type="http://schemas.openxmlformats.org/officeDocument/2006/relationships/hyperlink" Target="https://africanmarketingconfederation.org/education/" TargetMode="External" Id="rId39"/><Relationship Type="http://schemas.openxmlformats.org/officeDocument/2006/relationships/hyperlink" Target="https://africanmarketingconfederation.org/awards-2026/" TargetMode="External" Id="rId40"/><Relationship Type="http://schemas.openxmlformats.org/officeDocument/2006/relationships/hyperlink" Target="https://africanmarketingconfederation.org/contact-us/" TargetMode="External" Id="rId41"/><Relationship Type="http://schemas.openxmlformats.org/officeDocument/2006/relationships/hyperlink" Target="https://africanmarketingconfederation.org/african-marketing-confederation-tourism-chapter/" TargetMode="External" Id="rId42"/><Relationship Type="http://schemas.openxmlformats.org/officeDocument/2006/relationships/hyperlink" Target="https://africanmarketingconfederation.org/about-us/" TargetMode="External" Id="rId43"/><Relationship Type="http://schemas.openxmlformats.org/officeDocument/2006/relationships/hyperlink" Target="https://africanmarketingconfederation.org/awards-2026-1/" TargetMode="External" Id="rId44"/><Relationship Type="http://schemas.openxmlformats.org/officeDocument/2006/relationships/hyperlink" Target="https://africanmarketingconfederation.org/awards-2026-test/" TargetMode="External" Id="rId45"/><Relationship Type="http://schemas.openxmlformats.org/officeDocument/2006/relationships/hyperlink" Target="https://africanmarketingconfederation.org/speakers-2025/" TargetMode="External" Id="rId46"/><Relationship Type="http://schemas.openxmlformats.org/officeDocument/2006/relationships/hyperlink" Target="https://africanmarketingconfederation.org/amc-conference-2022/" TargetMode="External" Id="rId47"/><Relationship Type="http://schemas.openxmlformats.org/officeDocument/2006/relationships/hyperlink" Target="https://africanmarketingconfederation.org/amc-conference-2023/gallery/" TargetMode="External" Id="rId48"/><Relationship Type="http://schemas.openxmlformats.org/officeDocument/2006/relationships/hyperlink" Target="https://africanmarketingconfederation.org/amc-conference-2024-recap/" TargetMode="External" Id="rId49"/><Relationship Type="http://schemas.openxmlformats.org/officeDocument/2006/relationships/hyperlink" Target="https://africanmarketingconfederation.org/amc-conference-2025/" TargetMode="External" Id="rId50"/><Relationship Type="http://schemas.openxmlformats.org/officeDocument/2006/relationships/hyperlink" Target="https://africanmarketingconfederation.org/amc-marketing-conference-2024/amc-conference-2025-ghana-sponsors/" TargetMode="External" Id="rId51"/><Relationship Type="http://schemas.openxmlformats.org/officeDocument/2006/relationships/hyperlink" Target="https://africanmarketingconfederation.org/amc-award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chartered-marketer-africa-final-submission-fee/" TargetMode="External" Id="rId54"/><Relationship Type="http://schemas.openxmlformats.org/officeDocument/2006/relationships/hyperlink" Target="https://africanmarketingconfederation.org/chartered-marketer-africa-programme-fee/" TargetMode="External" Id="rId55"/><Relationship Type="http://schemas.openxmlformats.org/officeDocument/2006/relationships/hyperlink" Target="https://africanmarketingconfederation.org/amc-conference-2024-sponsors-packages/" TargetMode="External" Id="rId56"/><Relationship Type="http://schemas.openxmlformats.org/officeDocument/2006/relationships/hyperlink" Target="https://africanmarketingconfederation.org/amc-conference-2023/partners/" TargetMode="External" Id="rId57"/><Relationship Type="http://schemas.openxmlformats.org/officeDocument/2006/relationships/hyperlink" Target="https://africanmarketingconfederation.org/amc-conference-2023/book-now/" TargetMode="External" Id="rId58"/><Relationship Type="http://schemas.openxmlformats.org/officeDocument/2006/relationships/hyperlink" Target="https://africanmarketingconfederation.org/amc-conference-2023/download-prospectus/" TargetMode="External" Id="rId59"/><Relationship Type="http://schemas.openxmlformats.org/officeDocument/2006/relationships/hyperlink" Target="https://africanmarketingconfederation.org/amc-relaunch-programme/" TargetMode="External" Id="rId60"/><Relationship Type="http://schemas.openxmlformats.org/officeDocument/2006/relationships/hyperlink" Target="https://africanmarketingconfederation.org/amc-conference-programme/" TargetMode="External" Id="rId61"/><Relationship Type="http://schemas.openxmlformats.org/officeDocument/2006/relationships/hyperlink" Target="https://africanmarketingconfederation.org/virtual-programme/" TargetMode="External" Id="rId62"/><Relationship Type="http://schemas.openxmlformats.org/officeDocument/2006/relationships/hyperlink" Target="https://africanmarketingconfederation.org/amc-conference-2022-thank-you/" TargetMode="External" Id="rId63"/><Relationship Type="http://schemas.openxmlformats.org/officeDocument/2006/relationships/hyperlink" Target="https://africanmarketingconfederation.org/privacy-policy/" TargetMode="External" Id="rId64"/><Relationship Type="http://schemas.openxmlformats.org/officeDocument/2006/relationships/hyperlink" Target="https://africanmarketingconfederation.org/amc-conference-2026/" TargetMode="External" Id="rId65"/><Relationship Type="http://schemas.openxmlformats.org/officeDocument/2006/relationships/hyperlink" Target="https://africanmarketingconfederation.org/chartered-marketer-africa/" TargetMode="External" Id="rId66"/><Relationship Type="http://schemas.openxmlformats.org/officeDocument/2006/relationships/hyperlink" Target="https://africanmarketingconfederation.org/news-articles/" TargetMode="External" Id="rId67"/><Relationship Type="http://schemas.openxmlformats.org/officeDocument/2006/relationships/hyperlink" Target="https://africanmarketingconfederation.org/sub-committees/"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amc-marketing-conference-2024/awards-2025/" TargetMode="External" Id="rId70"/><Relationship Type="http://schemas.openxmlformats.org/officeDocument/2006/relationships/hyperlink" Target="https://africanmarketingconfederation.org/conference-registrations-2024/" TargetMode="External" Id="rId71"/><Relationship Type="http://schemas.openxmlformats.org/officeDocument/2006/relationships/hyperlink" Target="https://africanmarketingconfederation.org/elementor-31820/" TargetMode="External" Id="rId72"/><Relationship Type="http://schemas.openxmlformats.org/officeDocument/2006/relationships/hyperlink" Target="https://africanmarketingconfederation.org/amc-sponsors-2025/" TargetMode="External" Id="rId73"/><Relationship Type="http://schemas.openxmlformats.org/officeDocument/2006/relationships/hyperlink" Target="https://africanmarketingconfederation.org/amc-marketing-conference-2024/amc-preregister-2025/" TargetMode="External" Id="rId74"/><Relationship Type="http://schemas.openxmlformats.org/officeDocument/2006/relationships/hyperlink" Target="https://africanmarketingconfederation.org/conference-faq-2025/" TargetMode="External" Id="rId75"/><Relationship Type="http://schemas.openxmlformats.org/officeDocument/2006/relationships/hyperlink" Target="https://africanmarketingconfederation.org/amc-marketing-conference-2024/amc-launch-event-2025/" TargetMode="External" Id="rId76"/><Relationship Type="http://schemas.openxmlformats.org/officeDocument/2006/relationships/hyperlink" Target="https://africanmarketingconfederation.org/amc-conference-2023/" TargetMode="External" Id="rId77"/><Relationship Type="http://schemas.openxmlformats.org/officeDocument/2006/relationships/hyperlink" Target="https://africanmarketingconfederation.org/amc-forum-mombasa/" TargetMode="External" Id="rId78"/><Relationship Type="http://schemas.openxmlformats.org/officeDocument/2006/relationships/hyperlink" Target="https://africanmarketingconfederation.org/amc-sign-up-now-form-2025/" TargetMode="External" Id="rId79"/><Relationship Type="http://schemas.openxmlformats.org/officeDocument/2006/relationships/hyperlink" Target="https://africanmarketingconfederation.org/amc-marketing-conference-2024/" TargetMode="External" Id="rId80"/><Relationship Type="http://schemas.openxmlformats.org/officeDocument/2006/relationships/hyperlink" Target="https://africanmarketingconfederation.org/amc-testimony-page-2024/" TargetMode="External" Id="rId81"/><Relationship Type="http://schemas.openxmlformats.org/officeDocument/2006/relationships/hyperlink" Target="https://africanmarketingconfederation.org/amc-marketing-conference-2024/programme-2024/" TargetMode="External" Id="rId82"/><Relationship Type="http://schemas.openxmlformats.org/officeDocument/2006/relationships/hyperlink" Target="https://africanmarketingconfederation.org/amc-conference-2023/programme/" TargetMode="External" Id="rId83"/><Relationship Type="http://schemas.openxmlformats.org/officeDocument/2006/relationships/hyperlink" Target="https://africanmarketingconfederation.org/amc-conference-2023/amc-awards/" TargetMode="External" Id="rId84"/><Relationship Type="http://schemas.openxmlformats.org/officeDocument/2006/relationships/hyperlink" Target="https://africanmarketingconfederation.org/amc-conference-2023/speakers/" TargetMode="External" Id="rId85"/><Relationship Type="http://schemas.openxmlformats.org/officeDocument/2006/relationships/hyperlink" Target="https://africanmarketingconfederation.org/amc-conference-thank-you/" TargetMode="External" Id="rId86"/></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2.xml.rels><Relationships xmlns="http://schemas.openxmlformats.org/package/2006/relationships"><Relationship Type="http://schemas.openxmlformats.org/officeDocument/2006/relationships/hyperlink" Target="#Dashboard!A1" TargetMode="External" Id="rId1"/></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Technical!A1" TargetMode="External" Id="rId3"/><Relationship Type="http://schemas.openxmlformats.org/officeDocument/2006/relationships/hyperlink" Target="https://africanmarketingconfederation.org/amc-marketing-conference-2024/speakers-2024/" TargetMode="External" Id="rId4"/><Relationship Type="http://schemas.openxmlformats.org/officeDocument/2006/relationships/hyperlink" Target="#Technical!A1" TargetMode="External" Id="rId5"/><Relationship Type="http://schemas.openxmlformats.org/officeDocument/2006/relationships/hyperlink" Target="https://africanmarketingconfederation.org/amc-conference-2023/amc-awards-book-now/" TargetMode="External" Id="rId6"/><Relationship Type="http://schemas.openxmlformats.org/officeDocument/2006/relationships/hyperlink" Target="#Main!A1" TargetMode="External" Id="rId7"/><Relationship Type="http://schemas.openxmlformats.org/officeDocument/2006/relationships/hyperlink" Target="https://africanmarketingconfederation.org/amc-conference-sponsors/" TargetMode="External" Id="rId8"/><Relationship Type="http://schemas.openxmlformats.org/officeDocument/2006/relationships/hyperlink" Target="#Main!A1" TargetMode="External" Id="rId9"/><Relationship Type="http://schemas.openxmlformats.org/officeDocument/2006/relationships/hyperlink" Target="https://africanmarketingconfederation.org/amc-marketing-conference-2024/speakers-2024/" TargetMode="External" Id="rId10"/><Relationship Type="http://schemas.openxmlformats.org/officeDocument/2006/relationships/hyperlink" Target="#Main!A1" TargetMode="External" Id="rId11"/><Relationship Type="http://schemas.openxmlformats.org/officeDocument/2006/relationships/hyperlink" Target="https://africanmarketingconfederation.org/amc-masterclass-bookings/" TargetMode="External" Id="rId12"/><Relationship Type="http://schemas.openxmlformats.org/officeDocument/2006/relationships/hyperlink" Target="#Main!A1" TargetMode="External" Id="rId13"/><Relationship Type="http://schemas.openxmlformats.org/officeDocument/2006/relationships/hyperlink" Target="https://africanmarketingconfederation.org/elementor-20341/" TargetMode="External" Id="rId14"/><Relationship Type="http://schemas.openxmlformats.org/officeDocument/2006/relationships/hyperlink" Target="#Main!A1" TargetMode="External" Id="rId15"/><Relationship Type="http://schemas.openxmlformats.org/officeDocument/2006/relationships/hyperlink" Target="https://africanmarketingconfederation.org/" TargetMode="External" Id="rId16"/><Relationship Type="http://schemas.openxmlformats.org/officeDocument/2006/relationships/hyperlink" Target="#AEO!A1" TargetMode="External" Id="rId17"/><Relationship Type="http://schemas.openxmlformats.org/officeDocument/2006/relationships/hyperlink" Target="https://africanmarketingconfederation.org/about-us/" TargetMode="External" Id="rId18"/><Relationship Type="http://schemas.openxmlformats.org/officeDocument/2006/relationships/hyperlink" Target="#AEO!A1" TargetMode="External" Id="rId19"/><Relationship Type="http://schemas.openxmlformats.org/officeDocument/2006/relationships/hyperlink" Target="https://africanmarketingconfederation.org/african-marketing-confederation-tourism-chapter/" TargetMode="External" Id="rId20"/><Relationship Type="http://schemas.openxmlformats.org/officeDocument/2006/relationships/hyperlink" Target="#AEO!A1" TargetMode="External" Id="rId21"/><Relationship Type="http://schemas.openxmlformats.org/officeDocument/2006/relationships/hyperlink" Target="https://africanmarketingconfederation.org/amc-awards-2024/" TargetMode="External" Id="rId22"/><Relationship Type="http://schemas.openxmlformats.org/officeDocument/2006/relationships/hyperlink" Target="#AEO!A1" TargetMode="External" Id="rId23"/><Relationship Type="http://schemas.openxmlformats.org/officeDocument/2006/relationships/hyperlink" Target="https://africanmarketingconfederation.org/amc-conference-2022-prospectus/" TargetMode="External" Id="rId24"/><Relationship Type="http://schemas.openxmlformats.org/officeDocument/2006/relationships/hyperlink" Target="#AEO!A1" TargetMode="External" Id="rId25"/><Relationship Type="http://schemas.openxmlformats.org/officeDocument/2006/relationships/hyperlink" Target="https://africanmarketingconfederation.org/amc-conference-2022-thank-you/" TargetMode="External" Id="rId26"/><Relationship Type="http://schemas.openxmlformats.org/officeDocument/2006/relationships/hyperlink" Target="#AEO!A1" TargetMode="External" Id="rId27"/><Relationship Type="http://schemas.openxmlformats.org/officeDocument/2006/relationships/hyperlink" Target="https://africanmarketingconfederation.org/amc-conference-2022/" TargetMode="External" Id="rId28"/><Relationship Type="http://schemas.openxmlformats.org/officeDocument/2006/relationships/hyperlink" Target="#AEO!A1" TargetMode="External" Id="rId29"/><Relationship Type="http://schemas.openxmlformats.org/officeDocument/2006/relationships/hyperlink" Target="https://africanmarketingconfederation.org/amc-conference-2023/" TargetMode="External" Id="rId30"/><Relationship Type="http://schemas.openxmlformats.org/officeDocument/2006/relationships/hyperlink" Target="#AEO!A1" TargetMode="External" Id="rId31"/><Relationship Type="http://schemas.openxmlformats.org/officeDocument/2006/relationships/hyperlink" Target="https://africanmarketingconfederation.org/amc-conference-2023/amc-awards-book-now/" TargetMode="External" Id="rId32"/><Relationship Type="http://schemas.openxmlformats.org/officeDocument/2006/relationships/hyperlink" Target="#AEO!A1" TargetMode="External" Id="rId33"/><Relationship Type="http://schemas.openxmlformats.org/officeDocument/2006/relationships/hyperlink" Target="https://africanmarketingconfederation.org/amc-conference-2023/amc-awards/" TargetMode="External" Id="rId34"/><Relationship Type="http://schemas.openxmlformats.org/officeDocument/2006/relationships/hyperlink" Target="#AEO!A1" TargetMode="External" Id="rId35"/><Relationship Type="http://schemas.openxmlformats.org/officeDocument/2006/relationships/hyperlink" Target="https://africanmarketingconfederation.org/amc-conference-2023/book-now-thank-you/"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amc-conference-2023/book-now/" TargetMode="External" Id="rId38"/><Relationship Type="http://schemas.openxmlformats.org/officeDocument/2006/relationships/hyperlink" Target="#AEO!A1" TargetMode="External" Id="rId39"/><Relationship Type="http://schemas.openxmlformats.org/officeDocument/2006/relationships/hyperlink" Target="https://africanmarketingconfederation.org/amc-conference-2023/download-prospectus/" TargetMode="External" Id="rId40"/><Relationship Type="http://schemas.openxmlformats.org/officeDocument/2006/relationships/hyperlink" Target="#AEO!A1" TargetMode="External" Id="rId41"/><Relationship Type="http://schemas.openxmlformats.org/officeDocument/2006/relationships/hyperlink" Target="https://africanmarketingconfederation.org/amc-conference-2023/gallery/" TargetMode="External" Id="rId42"/><Relationship Type="http://schemas.openxmlformats.org/officeDocument/2006/relationships/hyperlink" Target="#AEO!A1" TargetMode="External" Id="rId43"/><Relationship Type="http://schemas.openxmlformats.org/officeDocument/2006/relationships/hyperlink" Target="https://africanmarketingconfederation.org/amc-conference-2023/partners/" TargetMode="External" Id="rId44"/><Relationship Type="http://schemas.openxmlformats.org/officeDocument/2006/relationships/hyperlink" Target="#AEO!A1" TargetMode="External" Id="rId45"/><Relationship Type="http://schemas.openxmlformats.org/officeDocument/2006/relationships/hyperlink" Target="https://africanmarketingconfederation.org/amc-conference-2023/programme/" TargetMode="External" Id="rId46"/><Relationship Type="http://schemas.openxmlformats.org/officeDocument/2006/relationships/hyperlink" Target="#AEO!A1" TargetMode="External" Id="rId47"/><Relationship Type="http://schemas.openxmlformats.org/officeDocument/2006/relationships/hyperlink" Target="https://africanmarketingconfederation.org/amc-conference-2023/speakers/"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amc-conference-2024-recap/" TargetMode="External" Id="rId50"/><Relationship Type="http://schemas.openxmlformats.org/officeDocument/2006/relationships/hyperlink" Target="#AEO!A1" TargetMode="External" Id="rId51"/><Relationship Type="http://schemas.openxmlformats.org/officeDocument/2006/relationships/hyperlink" Target="https://africanmarketingconfederation.org/amc-conference-2024-sponsors-packages/" TargetMode="External" Id="rId52"/><Relationship Type="http://schemas.openxmlformats.org/officeDocument/2006/relationships/hyperlink" Target="#AEO!A1" TargetMode="External" Id="rId53"/><Relationship Type="http://schemas.openxmlformats.org/officeDocument/2006/relationships/hyperlink" Target="https://africanmarketingconfederation.org/amc-conference-2025-highlights/" TargetMode="External" Id="rId54"/><Relationship Type="http://schemas.openxmlformats.org/officeDocument/2006/relationships/hyperlink" Target="#AEO!A1" TargetMode="External" Id="rId55"/><Relationship Type="http://schemas.openxmlformats.org/officeDocument/2006/relationships/hyperlink" Target="https://africanmarketingconfederation.org/amc-conference-2025/" TargetMode="External" Id="rId56"/><Relationship Type="http://schemas.openxmlformats.org/officeDocument/2006/relationships/hyperlink" Target="#AEO!A1" TargetMode="External" Id="rId57"/><Relationship Type="http://schemas.openxmlformats.org/officeDocument/2006/relationships/hyperlink" Target="https://africanmarketingconfederation.org/amc-conference-2026-awards-nominations-thank-you/" TargetMode="External" Id="rId58"/><Relationship Type="http://schemas.openxmlformats.org/officeDocument/2006/relationships/hyperlink" Target="#AEO!A1" TargetMode="External" Id="rId59"/><Relationship Type="http://schemas.openxmlformats.org/officeDocument/2006/relationships/hyperlink" Target="https://africanmarketingconfederation.org/amc-conference-2026-zambia-thank-you/" TargetMode="External" Id="rId60"/><Relationship Type="http://schemas.openxmlformats.org/officeDocument/2006/relationships/hyperlink" Target="#AEO!A1" TargetMode="External" Id="rId61"/><Relationship Type="http://schemas.openxmlformats.org/officeDocument/2006/relationships/hyperlink" Target="https://africanmarketingconfederation.org/amc-conference-2026/" TargetMode="External" Id="rId62"/><Relationship Type="http://schemas.openxmlformats.org/officeDocument/2006/relationships/hyperlink" Target="#AEO!A1" TargetMode="External" Id="rId63"/><Relationship Type="http://schemas.openxmlformats.org/officeDocument/2006/relationships/hyperlink" Target="https://africanmarketingconfederation.org/amc-conference-programme/" TargetMode="External" Id="rId64"/><Relationship Type="http://schemas.openxmlformats.org/officeDocument/2006/relationships/hyperlink" Target="#AEO!A1" TargetMode="External" Id="rId65"/><Relationship Type="http://schemas.openxmlformats.org/officeDocument/2006/relationships/hyperlink" Target="https://africanmarketingconfederation.org/amc-conference-sponsors/" TargetMode="External" Id="rId66"/><Relationship Type="http://schemas.openxmlformats.org/officeDocument/2006/relationships/hyperlink" Target="#AEO!A1" TargetMode="External" Id="rId67"/><Relationship Type="http://schemas.openxmlformats.org/officeDocument/2006/relationships/hyperlink" Target="https://africanmarketingconfederation.org/amc-conference-thank-you/" TargetMode="External" Id="rId68"/><Relationship Type="http://schemas.openxmlformats.org/officeDocument/2006/relationships/hyperlink" Target="#AEO!A1" TargetMode="External" Id="rId69"/><Relationship Type="http://schemas.openxmlformats.org/officeDocument/2006/relationships/hyperlink" Target="https://africanmarketingconfederation.org/amc-forum-mombasa/" TargetMode="External" Id="rId70"/><Relationship Type="http://schemas.openxmlformats.org/officeDocument/2006/relationships/hyperlink" Target="#AEO!A1" TargetMode="External" Id="rId71"/><Relationship Type="http://schemas.openxmlformats.org/officeDocument/2006/relationships/hyperlink" Target="https://africanmarketingconfederation.org/amc-forum-payments/" TargetMode="External" Id="rId72"/><Relationship Type="http://schemas.openxmlformats.org/officeDocument/2006/relationships/hyperlink" Target="#AEO!A1" TargetMode="External" Id="rId73"/><Relationship Type="http://schemas.openxmlformats.org/officeDocument/2006/relationships/hyperlink" Target="https://africanmarketingconfederation.org/amc-launch-event-zambia-thank-you-2026/" TargetMode="External" Id="rId74"/><Relationship Type="http://schemas.openxmlformats.org/officeDocument/2006/relationships/hyperlink" Target="#AEO!A1" TargetMode="External" Id="rId75"/><Relationship Type="http://schemas.openxmlformats.org/officeDocument/2006/relationships/hyperlink" Target="https://africanmarketingconfederation.org/amc-marketing-conference-2024/" TargetMode="External" Id="rId76"/><Relationship Type="http://schemas.openxmlformats.org/officeDocument/2006/relationships/hyperlink" Target="#AEO!A1" TargetMode="External" Id="rId77"/><Relationship Type="http://schemas.openxmlformats.org/officeDocument/2006/relationships/hyperlink" Target="https://africanmarketingconfederation.org/amc-marketing-conference-2024/amc-conference-2025-ghana-sponsors/" TargetMode="External" Id="rId78"/><Relationship Type="http://schemas.openxmlformats.org/officeDocument/2006/relationships/hyperlink" Target="#AEO!A1" TargetMode="External" Id="rId79"/><Relationship Type="http://schemas.openxmlformats.org/officeDocument/2006/relationships/hyperlink" Target="https://africanmarketingconfederation.org/amc-marketing-conference-2024/amc-launch-event-2025/" TargetMode="External" Id="rId80"/><Relationship Type="http://schemas.openxmlformats.org/officeDocument/2006/relationships/hyperlink" Target="#AEO!A1" TargetMode="External" Id="rId81"/><Relationship Type="http://schemas.openxmlformats.org/officeDocument/2006/relationships/hyperlink" Target="https://africanmarketingconfederation.org/amc-marketing-conference-2024/amc-preregister-2025/" TargetMode="External" Id="rId82"/><Relationship Type="http://schemas.openxmlformats.org/officeDocument/2006/relationships/hyperlink" Target="#AEO!A1" TargetMode="External" Id="rId83"/><Relationship Type="http://schemas.openxmlformats.org/officeDocument/2006/relationships/hyperlink" Target="https://africanmarketingconfederation.org/amc-marketing-conference-2024/amc-programme-2025/" TargetMode="External" Id="rId84"/><Relationship Type="http://schemas.openxmlformats.org/officeDocument/2006/relationships/hyperlink" Target="#AEO!A1" TargetMode="External" Id="rId85"/><Relationship Type="http://schemas.openxmlformats.org/officeDocument/2006/relationships/hyperlink" Target="https://africanmarketingconfederation.org/amc-marketing-conference-2024/amc-speakers-presentations-2024/" TargetMode="External" Id="rId86"/><Relationship Type="http://schemas.openxmlformats.org/officeDocument/2006/relationships/hyperlink" Target="#AEO!A1" TargetMode="External" Id="rId87"/><Relationship Type="http://schemas.openxmlformats.org/officeDocument/2006/relationships/hyperlink" Target="https://africanmarketingconfederation.org/amc-marketing-conference-2024/awards-2025/" TargetMode="External" Id="rId88"/><Relationship Type="http://schemas.openxmlformats.org/officeDocument/2006/relationships/hyperlink" Target="#AEO!A1" TargetMode="External" Id="rId89"/><Relationship Type="http://schemas.openxmlformats.org/officeDocument/2006/relationships/hyperlink" Target="https://africanmarketingconfederation.org/amc-marketing-conference-2024/programme-2024/" TargetMode="External" Id="rId90"/><Relationship Type="http://schemas.openxmlformats.org/officeDocument/2006/relationships/hyperlink" Target="#AEO!A1" TargetMode="External" Id="rId91"/><Relationship Type="http://schemas.openxmlformats.org/officeDocument/2006/relationships/hyperlink" Target="https://africanmarketingconfederation.org/amc-marketing-conference-2024/speakers-2024/" TargetMode="External" Id="rId92"/><Relationship Type="http://schemas.openxmlformats.org/officeDocument/2006/relationships/hyperlink" Target="#AEO!A1" TargetMode="External" Id="rId93"/><Relationship Type="http://schemas.openxmlformats.org/officeDocument/2006/relationships/hyperlink" Target="https://africanmarketingconfederation.org/amc-marketing-conference-2024/testimony-thank-you-page/" TargetMode="External" Id="rId94"/><Relationship Type="http://schemas.openxmlformats.org/officeDocument/2006/relationships/hyperlink" Target="#AEO!A1" TargetMode="External" Id="rId95"/><Relationship Type="http://schemas.openxmlformats.org/officeDocument/2006/relationships/hyperlink" Target="https://africanmarketingconfederation.org/amc-masterclass-bookings/" TargetMode="External" Id="rId96"/><Relationship Type="http://schemas.openxmlformats.org/officeDocument/2006/relationships/hyperlink" Target="#AEO!A1" TargetMode="External" Id="rId97"/><Relationship Type="http://schemas.openxmlformats.org/officeDocument/2006/relationships/hyperlink" Target="https://africanmarketingconfederation.org/amc-masterclass-thank-you/" TargetMode="External" Id="rId98"/><Relationship Type="http://schemas.openxmlformats.org/officeDocument/2006/relationships/hyperlink" Target="#AEO!A1" TargetMode="External" Id="rId99"/><Relationship Type="http://schemas.openxmlformats.org/officeDocument/2006/relationships/hyperlink" Target="https://africanmarketingconfederation.org/amc-masterclass/" TargetMode="External" Id="rId100"/><Relationship Type="http://schemas.openxmlformats.org/officeDocument/2006/relationships/hyperlink" Target="#AEO!A1" TargetMode="External" Id="rId101"/><Relationship Type="http://schemas.openxmlformats.org/officeDocument/2006/relationships/hyperlink" Target="https://africanmarketingconfederation.org/amc-relaunch-programme/"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amc-sign-up-now-form-2025/" TargetMode="External" Id="rId104"/><Relationship Type="http://schemas.openxmlformats.org/officeDocument/2006/relationships/hyperlink" Target="#AEO!A1" TargetMode="External" Id="rId105"/><Relationship Type="http://schemas.openxmlformats.org/officeDocument/2006/relationships/hyperlink" Target="https://africanmarketingconfederation.org/amc-sponsors-2025/" TargetMode="External" Id="rId106"/><Relationship Type="http://schemas.openxmlformats.org/officeDocument/2006/relationships/hyperlink" Target="#AEO!A1" TargetMode="External" Id="rId107"/><Relationship Type="http://schemas.openxmlformats.org/officeDocument/2006/relationships/hyperlink" Target="https://africanmarketingconfederation.org/amc-testimony-page-2024/" TargetMode="External" Id="rId108"/><Relationship Type="http://schemas.openxmlformats.org/officeDocument/2006/relationships/hyperlink" Target="#AEO!A1" TargetMode="External" Id="rId109"/><Relationship Type="http://schemas.openxmlformats.org/officeDocument/2006/relationships/hyperlink" Target="https://africanmarketingconfederation.org/awards-2026-1/" TargetMode="External" Id="rId110"/><Relationship Type="http://schemas.openxmlformats.org/officeDocument/2006/relationships/hyperlink" Target="#AEO!A1" TargetMode="External" Id="rId111"/><Relationship Type="http://schemas.openxmlformats.org/officeDocument/2006/relationships/hyperlink" Target="https://africanmarketingconfederation.org/awards-2026-test/" TargetMode="External" Id="rId112"/><Relationship Type="http://schemas.openxmlformats.org/officeDocument/2006/relationships/hyperlink" Target="#AEO!A1" TargetMode="External" Id="rId113"/><Relationship Type="http://schemas.openxmlformats.org/officeDocument/2006/relationships/hyperlink" Target="https://africanmarketingconfederation.org/awards-2026/" TargetMode="External" Id="rId114"/><Relationship Type="http://schemas.openxmlformats.org/officeDocument/2006/relationships/hyperlink" Target="#AEO!A1" TargetMode="External" Id="rId115"/><Relationship Type="http://schemas.openxmlformats.org/officeDocument/2006/relationships/hyperlink" Target="https://africanmarketingconfederation.org/certified-professional-marketer-africa/" TargetMode="External" Id="rId116"/><Relationship Type="http://schemas.openxmlformats.org/officeDocument/2006/relationships/hyperlink" Target="#AEO!A1" TargetMode="External" Id="rId117"/><Relationship Type="http://schemas.openxmlformats.org/officeDocument/2006/relationships/hyperlink" Target="https://africanmarketingconfederation.org/chartered-marketer-africa-final-submission-fee/" TargetMode="External" Id="rId118"/><Relationship Type="http://schemas.openxmlformats.org/officeDocument/2006/relationships/hyperlink" Target="#AEO!A1" TargetMode="External" Id="rId119"/><Relationship Type="http://schemas.openxmlformats.org/officeDocument/2006/relationships/hyperlink" Target="https://africanmarketingconfederation.org/chartered-marketer-africa-programme-fee/" TargetMode="External" Id="rId120"/><Relationship Type="http://schemas.openxmlformats.org/officeDocument/2006/relationships/hyperlink" Target="#AEO!A1" TargetMode="External" Id="rId121"/><Relationship Type="http://schemas.openxmlformats.org/officeDocument/2006/relationships/hyperlink" Target="https://africanmarketingconfederation.org/chartered-marketer-africa-thank-you/" TargetMode="External" Id="rId122"/><Relationship Type="http://schemas.openxmlformats.org/officeDocument/2006/relationships/hyperlink" Target="#AEO!A1" TargetMode="External" Id="rId123"/><Relationship Type="http://schemas.openxmlformats.org/officeDocument/2006/relationships/hyperlink" Target="https://africanmarketingconfederation.org/chartered-marketer-africa/" TargetMode="External" Id="rId124"/><Relationship Type="http://schemas.openxmlformats.org/officeDocument/2006/relationships/hyperlink" Target="#AEO!A1" TargetMode="External" Id="rId125"/><Relationship Type="http://schemas.openxmlformats.org/officeDocument/2006/relationships/hyperlink" Target="https://africanmarketingconfederation.org/checkout/" TargetMode="External" Id="rId126"/><Relationship Type="http://schemas.openxmlformats.org/officeDocument/2006/relationships/hyperlink" Target="#AEO!A1" TargetMode="External" Id="rId127"/><Relationship Type="http://schemas.openxmlformats.org/officeDocument/2006/relationships/hyperlink" Target="https://africanmarketingconfederation.org/conference-faq-2025/" TargetMode="External" Id="rId128"/><Relationship Type="http://schemas.openxmlformats.org/officeDocument/2006/relationships/hyperlink" Target="#AEO!A1" TargetMode="External" Id="rId129"/><Relationship Type="http://schemas.openxmlformats.org/officeDocument/2006/relationships/hyperlink" Target="https://africanmarketingconfederation.org/conference-registrations-2024/" TargetMode="External" Id="rId130"/><Relationship Type="http://schemas.openxmlformats.org/officeDocument/2006/relationships/hyperlink" Target="#AEO!A1" TargetMode="External" Id="rId131"/><Relationship Type="http://schemas.openxmlformats.org/officeDocument/2006/relationships/hyperlink" Target="https://africanmarketingconfederation.org/contact-us/"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download-brochure/" TargetMode="External" Id="rId134"/><Relationship Type="http://schemas.openxmlformats.org/officeDocument/2006/relationships/hyperlink" Target="#AEO!A1" TargetMode="External" Id="rId135"/><Relationship Type="http://schemas.openxmlformats.org/officeDocument/2006/relationships/hyperlink" Target="https://africanmarketingconfederation.org/download-prospectus-2024/" TargetMode="External" Id="rId136"/><Relationship Type="http://schemas.openxmlformats.org/officeDocument/2006/relationships/hyperlink" Target="#AEO!A1" TargetMode="External" Id="rId137"/><Relationship Type="http://schemas.openxmlformats.org/officeDocument/2006/relationships/hyperlink" Target="https://africanmarketingconfederation.org/education/" TargetMode="External" Id="rId138"/><Relationship Type="http://schemas.openxmlformats.org/officeDocument/2006/relationships/hyperlink" Target="#AEO!A1" TargetMode="External" Id="rId139"/><Relationship Type="http://schemas.openxmlformats.org/officeDocument/2006/relationships/hyperlink" Target="https://africanmarketingconfederation.org/elementor-16548/" TargetMode="External" Id="rId140"/><Relationship Type="http://schemas.openxmlformats.org/officeDocument/2006/relationships/hyperlink" Target="#AEO!A1" TargetMode="External" Id="rId141"/><Relationship Type="http://schemas.openxmlformats.org/officeDocument/2006/relationships/hyperlink" Target="https://africanmarketingconfederation.org/elementor-20341/" TargetMode="External" Id="rId142"/><Relationship Type="http://schemas.openxmlformats.org/officeDocument/2006/relationships/hyperlink" Target="#AEO!A1" TargetMode="External" Id="rId143"/><Relationship Type="http://schemas.openxmlformats.org/officeDocument/2006/relationships/hyperlink" Target="https://africanmarketingconfederation.org/elementor-31820/" TargetMode="External" Id="rId144"/><Relationship Type="http://schemas.openxmlformats.org/officeDocument/2006/relationships/hyperlink" Target="#AEO!A1" TargetMode="External" Id="rId145"/><Relationship Type="http://schemas.openxmlformats.org/officeDocument/2006/relationships/hyperlink" Target="https://africanmarketingconfederation.org/general-enquiry-form-thank-you/" TargetMode="External" Id="rId146"/><Relationship Type="http://schemas.openxmlformats.org/officeDocument/2006/relationships/hyperlink" Target="#AEO!A1" TargetMode="External" Id="rId147"/><Relationship Type="http://schemas.openxmlformats.org/officeDocument/2006/relationships/hyperlink" Target="https://africanmarketingconfederation.org/launch-event-2026-amc-conference/" TargetMode="External" Id="rId148"/><Relationship Type="http://schemas.openxmlformats.org/officeDocument/2006/relationships/hyperlink" Target="#AEO!A1" TargetMode="External" Id="rId149"/><Relationship Type="http://schemas.openxmlformats.org/officeDocument/2006/relationships/hyperlink" Target="https://africanmarketingconfederation.org/members/" TargetMode="External" Id="rId150"/><Relationship Type="http://schemas.openxmlformats.org/officeDocument/2006/relationships/hyperlink" Target="#AEO!A1" TargetMode="External" Id="rId151"/><Relationship Type="http://schemas.openxmlformats.org/officeDocument/2006/relationships/hyperlink" Target="https://africanmarketingconfederation.org/news-articles/" TargetMode="External" Id="rId152"/><Relationship Type="http://schemas.openxmlformats.org/officeDocument/2006/relationships/hyperlink" Target="#AEO!A1" TargetMode="External" Id="rId153"/><Relationship Type="http://schemas.openxmlformats.org/officeDocument/2006/relationships/hyperlink" Target="https://africanmarketingconfederation.org/privacy-policy/" TargetMode="External" Id="rId154"/><Relationship Type="http://schemas.openxmlformats.org/officeDocument/2006/relationships/hyperlink" Target="#AEO!A1" TargetMode="External" Id="rId155"/><Relationship Type="http://schemas.openxmlformats.org/officeDocument/2006/relationships/hyperlink" Target="https://africanmarketingconfederation.org/publication-download-list/"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publications-2/" TargetMode="External" Id="rId158"/><Relationship Type="http://schemas.openxmlformats.org/officeDocument/2006/relationships/hyperlink" Target="#AEO!A1" TargetMode="External" Id="rId159"/><Relationship Type="http://schemas.openxmlformats.org/officeDocument/2006/relationships/hyperlink" Target="https://africanmarketingconfederation.org/speakers-2025/" TargetMode="External" Id="rId160"/><Relationship Type="http://schemas.openxmlformats.org/officeDocument/2006/relationships/hyperlink" Target="#AEO!A1" TargetMode="External" Id="rId161"/><Relationship Type="http://schemas.openxmlformats.org/officeDocument/2006/relationships/hyperlink" Target="https://africanmarketingconfederation.org/speakers/" TargetMode="External" Id="rId162"/><Relationship Type="http://schemas.openxmlformats.org/officeDocument/2006/relationships/hyperlink" Target="#AEO!A1" TargetMode="External" Id="rId163"/><Relationship Type="http://schemas.openxmlformats.org/officeDocument/2006/relationships/hyperlink" Target="https://africanmarketingconfederation.org/sub-committees/" TargetMode="External" Id="rId164"/><Relationship Type="http://schemas.openxmlformats.org/officeDocument/2006/relationships/hyperlink" Target="#AEO!A1" TargetMode="External" Id="rId165"/><Relationship Type="http://schemas.openxmlformats.org/officeDocument/2006/relationships/hyperlink" Target="https://africanmarketingconfederation.org/subscribe/" TargetMode="External" Id="rId166"/><Relationship Type="http://schemas.openxmlformats.org/officeDocument/2006/relationships/hyperlink" Target="#AEO!A1" TargetMode="External" Id="rId167"/><Relationship Type="http://schemas.openxmlformats.org/officeDocument/2006/relationships/hyperlink" Target="https://africanmarketingconfederation.org/test-homeslider/"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test-payment-gate/" TargetMode="External" Id="rId170"/><Relationship Type="http://schemas.openxmlformats.org/officeDocument/2006/relationships/hyperlink" Target="#AEO!A1" TargetMode="External" Id="rId171"/><Relationship Type="http://schemas.openxmlformats.org/officeDocument/2006/relationships/hyperlink" Target="https://africanmarketingconfederation.org/thank-you-for-registering-2024-registrations-kenya/" TargetMode="External" Id="rId172"/><Relationship Type="http://schemas.openxmlformats.org/officeDocument/2006/relationships/hyperlink" Target="#AEO!A1" TargetMode="External" Id="rId173"/><Relationship Type="http://schemas.openxmlformats.org/officeDocument/2006/relationships/hyperlink" Target="https://africanmarketingconfederation.org/thank-you-for-registering-2024-registrations/" TargetMode="External" Id="rId174"/><Relationship Type="http://schemas.openxmlformats.org/officeDocument/2006/relationships/hyperlink" Target="#AEO!A1" TargetMode="External" Id="rId175"/><Relationship Type="http://schemas.openxmlformats.org/officeDocument/2006/relationships/hyperlink" Target="https://africanmarketingconfederation.org/thank-you-for-subscribing/" TargetMode="External" Id="rId176"/><Relationship Type="http://schemas.openxmlformats.org/officeDocument/2006/relationships/hyperlink" Target="#AEO!A1" TargetMode="External" Id="rId177"/><Relationship Type="http://schemas.openxmlformats.org/officeDocument/2006/relationships/hyperlink" Target="https://africanmarketingconfederation.org/thank-you-for-the-nomination-2024/" TargetMode="External" Id="rId178"/><Relationship Type="http://schemas.openxmlformats.org/officeDocument/2006/relationships/hyperlink" Target="#AEO!A1" TargetMode="External" Id="rId179"/><Relationship Type="http://schemas.openxmlformats.org/officeDocument/2006/relationships/hyperlink" Target="https://africanmarketingconfederation.org/thank-you-for-the-submission-2024/"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upcoming-events/" TargetMode="External" Id="rId182"/><Relationship Type="http://schemas.openxmlformats.org/officeDocument/2006/relationships/hyperlink" Target="#AEO!A1" TargetMode="External" Id="rId183"/><Relationship Type="http://schemas.openxmlformats.org/officeDocument/2006/relationships/hyperlink" Target="https://africanmarketingconfederation.org/virtual-programme/" TargetMode="External" Id="rId184"/><Relationship Type="http://schemas.openxmlformats.org/officeDocument/2006/relationships/hyperlink" Target="#AEO!A1" TargetMode="External" Id="rId185"/><Relationship Type="http://schemas.openxmlformats.org/officeDocument/2006/relationships/hyperlink" Target="https://africanmarketingconfederation.org/about-us/" TargetMode="External" Id="rId186"/><Relationship Type="http://schemas.openxmlformats.org/officeDocument/2006/relationships/hyperlink" Target="#Content!A1" TargetMode="External" Id="rId187"/><Relationship Type="http://schemas.openxmlformats.org/officeDocument/2006/relationships/hyperlink" Target="https://africanmarketingconfederation.org/amc-conference-2022-prospectus/" TargetMode="External" Id="rId188"/><Relationship Type="http://schemas.openxmlformats.org/officeDocument/2006/relationships/hyperlink" Target="#Content!A1" TargetMode="External" Id="rId189"/><Relationship Type="http://schemas.openxmlformats.org/officeDocument/2006/relationships/hyperlink" Target="https://africanmarketingconfederation.org/amc-conference-2022-prospectus/" TargetMode="External" Id="rId190"/><Relationship Type="http://schemas.openxmlformats.org/officeDocument/2006/relationships/hyperlink" Target="#Content!A1" TargetMode="External" Id="rId191"/><Relationship Type="http://schemas.openxmlformats.org/officeDocument/2006/relationships/hyperlink" Target="https://africanmarketingconfederation.org/amc-conference-2022-thank-you/" TargetMode="External" Id="rId192"/><Relationship Type="http://schemas.openxmlformats.org/officeDocument/2006/relationships/hyperlink" Target="#Content!A1" TargetMode="External" Id="rId193"/><Relationship Type="http://schemas.openxmlformats.org/officeDocument/2006/relationships/hyperlink" Target="https://africanmarketingconfederation.org/amc-conference-2022/" TargetMode="External" Id="rId194"/><Relationship Type="http://schemas.openxmlformats.org/officeDocument/2006/relationships/hyperlink" Target="#Content!A1" TargetMode="External" Id="rId195"/><Relationship Type="http://schemas.openxmlformats.org/officeDocument/2006/relationships/hyperlink" Target="https://africanmarketingconfederation.org/amc-conference-2023/amc-awards-book-now/" TargetMode="External" Id="rId196"/><Relationship Type="http://schemas.openxmlformats.org/officeDocument/2006/relationships/hyperlink" Target="#Content!A1" TargetMode="External" Id="rId197"/><Relationship Type="http://schemas.openxmlformats.org/officeDocument/2006/relationships/hyperlink" Target="https://africanmarketingconfederation.org/amc-conference-2023/amc-awards-book-now/" TargetMode="External" Id="rId198"/><Relationship Type="http://schemas.openxmlformats.org/officeDocument/2006/relationships/hyperlink" Target="#Content!A1" TargetMode="External" Id="rId199"/><Relationship Type="http://schemas.openxmlformats.org/officeDocument/2006/relationships/hyperlink" Target="https://africanmarketingconfederation.org/amc-conference-2023/book-now-thank-you/" TargetMode="External" Id="rId200"/><Relationship Type="http://schemas.openxmlformats.org/officeDocument/2006/relationships/hyperlink" Target="#Content!A1" TargetMode="External" Id="rId201"/><Relationship Type="http://schemas.openxmlformats.org/officeDocument/2006/relationships/hyperlink" Target="https://africanmarketingconfederation.org/amc-conference-2023/book-now-thank-you/" TargetMode="External" Id="rId202"/><Relationship Type="http://schemas.openxmlformats.org/officeDocument/2006/relationships/hyperlink" Target="#Content!A1" TargetMode="External" Id="rId203"/><Relationship Type="http://schemas.openxmlformats.org/officeDocument/2006/relationships/hyperlink" Target="https://africanmarketingconfederation.org/amc-conference-2023/book-now/" TargetMode="External" Id="rId204"/><Relationship Type="http://schemas.openxmlformats.org/officeDocument/2006/relationships/hyperlink" Target="#Content!A1" TargetMode="External" Id="rId205"/><Relationship Type="http://schemas.openxmlformats.org/officeDocument/2006/relationships/hyperlink" Target="https://africanmarketingconfederation.org/amc-conference-2023/download-prospectus/" TargetMode="External" Id="rId206"/><Relationship Type="http://schemas.openxmlformats.org/officeDocument/2006/relationships/hyperlink" Target="#Content!A1" TargetMode="External" Id="rId207"/><Relationship Type="http://schemas.openxmlformats.org/officeDocument/2006/relationships/hyperlink" Target="https://africanmarketingconfederation.org/amc-conference-2023/gallery/" TargetMode="External" Id="rId208"/><Relationship Type="http://schemas.openxmlformats.org/officeDocument/2006/relationships/hyperlink" Target="#Content!A1" TargetMode="External" Id="rId209"/><Relationship Type="http://schemas.openxmlformats.org/officeDocument/2006/relationships/hyperlink" Target="https://africanmarketingconfederation.org/amc-conference-2023/partners/" TargetMode="External" Id="rId210"/><Relationship Type="http://schemas.openxmlformats.org/officeDocument/2006/relationships/hyperlink" Target="#Content!A1" TargetMode="External" Id="rId211"/><Relationship Type="http://schemas.openxmlformats.org/officeDocument/2006/relationships/hyperlink" Target="https://africanmarketingconfederation.org/amc-conference-2024-sponsors-packages/" TargetMode="External" Id="rId212"/><Relationship Type="http://schemas.openxmlformats.org/officeDocument/2006/relationships/hyperlink" Target="#Content!A1" TargetMode="External" Id="rId213"/><Relationship Type="http://schemas.openxmlformats.org/officeDocument/2006/relationships/hyperlink" Target="https://africanmarketingconfederation.org/amc-conference-2026-awards-nominations-thank-you/" TargetMode="External" Id="rId214"/><Relationship Type="http://schemas.openxmlformats.org/officeDocument/2006/relationships/hyperlink" Target="#Content!A1" TargetMode="External" Id="rId215"/><Relationship Type="http://schemas.openxmlformats.org/officeDocument/2006/relationships/hyperlink" Target="https://africanmarketingconfederation.org/amc-conference-2026-zambia-thank-you/" TargetMode="External" Id="rId216"/><Relationship Type="http://schemas.openxmlformats.org/officeDocument/2006/relationships/hyperlink" Target="#Content!A1" TargetMode="External" Id="rId217"/><Relationship Type="http://schemas.openxmlformats.org/officeDocument/2006/relationships/hyperlink" Target="https://africanmarketingconfederation.org/amc-conference-programme/" TargetMode="External" Id="rId218"/><Relationship Type="http://schemas.openxmlformats.org/officeDocument/2006/relationships/hyperlink" Target="#Content!A1" TargetMode="External" Id="rId219"/><Relationship Type="http://schemas.openxmlformats.org/officeDocument/2006/relationships/hyperlink" Target="https://africanmarketingconfederation.org/amc-conference-sponsors/" TargetMode="External" Id="rId220"/><Relationship Type="http://schemas.openxmlformats.org/officeDocument/2006/relationships/hyperlink" Target="#Content!A1" TargetMode="External" Id="rId221"/><Relationship Type="http://schemas.openxmlformats.org/officeDocument/2006/relationships/hyperlink" Target="https://africanmarketingconfederation.org/amc-forum-payments/" TargetMode="External" Id="rId222"/><Relationship Type="http://schemas.openxmlformats.org/officeDocument/2006/relationships/hyperlink" Target="#Content!A1" TargetMode="External" Id="rId223"/><Relationship Type="http://schemas.openxmlformats.org/officeDocument/2006/relationships/hyperlink" Target="https://africanmarketingconfederation.org/amc-forum-payments/" TargetMode="External" Id="rId224"/><Relationship Type="http://schemas.openxmlformats.org/officeDocument/2006/relationships/hyperlink" Target="#Content!A1" TargetMode="External" Id="rId225"/><Relationship Type="http://schemas.openxmlformats.org/officeDocument/2006/relationships/hyperlink" Target="https://africanmarketingconfederation.org/amc-launch-event-zambia-thank-you-2026/" TargetMode="External" Id="rId226"/><Relationship Type="http://schemas.openxmlformats.org/officeDocument/2006/relationships/hyperlink" Target="#Content!A1" TargetMode="External" Id="rId227"/><Relationship Type="http://schemas.openxmlformats.org/officeDocument/2006/relationships/hyperlink" Target="https://africanmarketingconfederation.org/amc-marketing-conference-2024/amc-conference-2025-ghana-sponsors/" TargetMode="External" Id="rId228"/><Relationship Type="http://schemas.openxmlformats.org/officeDocument/2006/relationships/hyperlink" Target="#Content!A1" TargetMode="External" Id="rId229"/><Relationship Type="http://schemas.openxmlformats.org/officeDocument/2006/relationships/hyperlink" Target="https://africanmarketingconfederation.org/amc-marketing-conference-2024/amc-programme-2025/" TargetMode="External" Id="rId230"/><Relationship Type="http://schemas.openxmlformats.org/officeDocument/2006/relationships/hyperlink" Target="#Content!A1" TargetMode="External" Id="rId231"/><Relationship Type="http://schemas.openxmlformats.org/officeDocument/2006/relationships/hyperlink" Target="https://africanmarketingconfederation.org/amc-marketing-conference-2024/amc-speakers-presentations-2024/" TargetMode="External" Id="rId232"/><Relationship Type="http://schemas.openxmlformats.org/officeDocument/2006/relationships/hyperlink" Target="#Content!A1" TargetMode="External" Id="rId233"/><Relationship Type="http://schemas.openxmlformats.org/officeDocument/2006/relationships/hyperlink" Target="https://africanmarketingconfederation.org/amc-marketing-conference-2024/speakers-2024/" TargetMode="External" Id="rId234"/><Relationship Type="http://schemas.openxmlformats.org/officeDocument/2006/relationships/hyperlink" Target="#Content!A1" TargetMode="External" Id="rId235"/><Relationship Type="http://schemas.openxmlformats.org/officeDocument/2006/relationships/hyperlink" Target="https://africanmarketingconfederation.org/amc-marketing-conference-2024/testimony-thank-you-page/" TargetMode="External" Id="rId236"/><Relationship Type="http://schemas.openxmlformats.org/officeDocument/2006/relationships/hyperlink" Target="#Content!A1" TargetMode="External" Id="rId237"/><Relationship Type="http://schemas.openxmlformats.org/officeDocument/2006/relationships/hyperlink" Target="https://africanmarketingconfederation.org/amc-masterclass-bookings/" TargetMode="External" Id="rId238"/><Relationship Type="http://schemas.openxmlformats.org/officeDocument/2006/relationships/hyperlink" Target="#Content!A1" TargetMode="External" Id="rId239"/><Relationship Type="http://schemas.openxmlformats.org/officeDocument/2006/relationships/hyperlink" Target="https://africanmarketingconfederation.org/amc-masterclass-bookings/" TargetMode="External" Id="rId240"/><Relationship Type="http://schemas.openxmlformats.org/officeDocument/2006/relationships/hyperlink" Target="#Content!A1" TargetMode="External" Id="rId241"/><Relationship Type="http://schemas.openxmlformats.org/officeDocument/2006/relationships/hyperlink" Target="https://africanmarketingconfederation.org/amc-masterclass-thank-you/" TargetMode="External" Id="rId242"/><Relationship Type="http://schemas.openxmlformats.org/officeDocument/2006/relationships/hyperlink" Target="#Content!A1" TargetMode="External" Id="rId243"/><Relationship Type="http://schemas.openxmlformats.org/officeDocument/2006/relationships/hyperlink" Target="https://africanmarketingconfederation.org/amc-masterclass-thank-you/" TargetMode="External" Id="rId244"/><Relationship Type="http://schemas.openxmlformats.org/officeDocument/2006/relationships/hyperlink" Target="#Content!A1" TargetMode="External" Id="rId245"/><Relationship Type="http://schemas.openxmlformats.org/officeDocument/2006/relationships/hyperlink" Target="https://africanmarketingconfederation.org/amc-masterclass/" TargetMode="External" Id="rId246"/><Relationship Type="http://schemas.openxmlformats.org/officeDocument/2006/relationships/hyperlink" Target="#Content!A1" TargetMode="External" Id="rId247"/><Relationship Type="http://schemas.openxmlformats.org/officeDocument/2006/relationships/hyperlink" Target="https://africanmarketingconfederation.org/amc-masterclass/" TargetMode="External" Id="rId248"/><Relationship Type="http://schemas.openxmlformats.org/officeDocument/2006/relationships/hyperlink" Target="#Content!A1" TargetMode="External" Id="rId249"/><Relationship Type="http://schemas.openxmlformats.org/officeDocument/2006/relationships/hyperlink" Target="https://africanmarketingconfederation.org/amc-relaunch-programme/" TargetMode="External" Id="rId250"/><Relationship Type="http://schemas.openxmlformats.org/officeDocument/2006/relationships/hyperlink" Target="#Content!A1" TargetMode="External" Id="rId251"/><Relationship Type="http://schemas.openxmlformats.org/officeDocument/2006/relationships/hyperlink" Target="https://africanmarketingconfederation.org/certified-professional-marketer-africa/" TargetMode="External" Id="rId252"/><Relationship Type="http://schemas.openxmlformats.org/officeDocument/2006/relationships/hyperlink" Target="#Content!A1" TargetMode="External" Id="rId253"/><Relationship Type="http://schemas.openxmlformats.org/officeDocument/2006/relationships/hyperlink" Target="https://africanmarketingconfederation.org/chartered-marketer-africa-final-submission-fee/" TargetMode="External" Id="rId254"/><Relationship Type="http://schemas.openxmlformats.org/officeDocument/2006/relationships/hyperlink" Target="#Content!A1" TargetMode="External" Id="rId255"/><Relationship Type="http://schemas.openxmlformats.org/officeDocument/2006/relationships/hyperlink" Target="https://africanmarketingconfederation.org/chartered-marketer-africa-programme-fee/" TargetMode="External" Id="rId256"/><Relationship Type="http://schemas.openxmlformats.org/officeDocument/2006/relationships/hyperlink" Target="#Content!A1" TargetMode="External" Id="rId257"/><Relationship Type="http://schemas.openxmlformats.org/officeDocument/2006/relationships/hyperlink" Target="https://africanmarketingconfederation.org/chartered-marketer-africa-thank-you/" TargetMode="External" Id="rId258"/><Relationship Type="http://schemas.openxmlformats.org/officeDocument/2006/relationships/hyperlink" Target="#Content!A1" TargetMode="External" Id="rId259"/><Relationship Type="http://schemas.openxmlformats.org/officeDocument/2006/relationships/hyperlink" Target="https://africanmarketingconfederation.org/chartered-marketer-africa-thank-you/" TargetMode="External" Id="rId260"/><Relationship Type="http://schemas.openxmlformats.org/officeDocument/2006/relationships/hyperlink" Target="#Content!A1" TargetMode="External" Id="rId261"/><Relationship Type="http://schemas.openxmlformats.org/officeDocument/2006/relationships/hyperlink" Target="https://africanmarketingconfederation.org/checkout/" TargetMode="External" Id="rId262"/><Relationship Type="http://schemas.openxmlformats.org/officeDocument/2006/relationships/hyperlink" Target="#Content!A1" TargetMode="External" Id="rId263"/><Relationship Type="http://schemas.openxmlformats.org/officeDocument/2006/relationships/hyperlink" Target="https://africanmarketingconfederation.org/checkout/" TargetMode="External" Id="rId264"/><Relationship Type="http://schemas.openxmlformats.org/officeDocument/2006/relationships/hyperlink" Target="#Content!A1" TargetMode="External" Id="rId265"/><Relationship Type="http://schemas.openxmlformats.org/officeDocument/2006/relationships/hyperlink" Target="https://africanmarketingconfederation.org/download-brochure/" TargetMode="External" Id="rId266"/><Relationship Type="http://schemas.openxmlformats.org/officeDocument/2006/relationships/hyperlink" Target="#Content!A1" TargetMode="External" Id="rId267"/><Relationship Type="http://schemas.openxmlformats.org/officeDocument/2006/relationships/hyperlink" Target="https://africanmarketingconfederation.org/download-brochure/" TargetMode="External" Id="rId268"/><Relationship Type="http://schemas.openxmlformats.org/officeDocument/2006/relationships/hyperlink" Target="#Content!A1" TargetMode="External" Id="rId269"/><Relationship Type="http://schemas.openxmlformats.org/officeDocument/2006/relationships/hyperlink" Target="https://africanmarketingconfederation.org/download-prospectus-2024/" TargetMode="External" Id="rId270"/><Relationship Type="http://schemas.openxmlformats.org/officeDocument/2006/relationships/hyperlink" Target="#Content!A1" TargetMode="External" Id="rId271"/><Relationship Type="http://schemas.openxmlformats.org/officeDocument/2006/relationships/hyperlink" Target="https://africanmarketingconfederation.org/download-prospectus-2024/" TargetMode="External" Id="rId272"/><Relationship Type="http://schemas.openxmlformats.org/officeDocument/2006/relationships/hyperlink" Target="#Content!A1" TargetMode="External" Id="rId273"/><Relationship Type="http://schemas.openxmlformats.org/officeDocument/2006/relationships/hyperlink" Target="https://africanmarketingconfederation.org/education/" TargetMode="External" Id="rId274"/><Relationship Type="http://schemas.openxmlformats.org/officeDocument/2006/relationships/hyperlink" Target="#Content!A1" TargetMode="External" Id="rId275"/><Relationship Type="http://schemas.openxmlformats.org/officeDocument/2006/relationships/hyperlink" Target="https://africanmarketingconfederation.org/elementor-16548/" TargetMode="External" Id="rId276"/><Relationship Type="http://schemas.openxmlformats.org/officeDocument/2006/relationships/hyperlink" Target="#Content!A1" TargetMode="External" Id="rId277"/><Relationship Type="http://schemas.openxmlformats.org/officeDocument/2006/relationships/hyperlink" Target="https://africanmarketingconfederation.org/elementor-16548/" TargetMode="External" Id="rId278"/><Relationship Type="http://schemas.openxmlformats.org/officeDocument/2006/relationships/hyperlink" Target="#Content!A1" TargetMode="External" Id="rId279"/><Relationship Type="http://schemas.openxmlformats.org/officeDocument/2006/relationships/hyperlink" Target="https://africanmarketingconfederation.org/elementor-20341/" TargetMode="External" Id="rId280"/><Relationship Type="http://schemas.openxmlformats.org/officeDocument/2006/relationships/hyperlink" Target="#Content!A1" TargetMode="External" Id="rId281"/><Relationship Type="http://schemas.openxmlformats.org/officeDocument/2006/relationships/hyperlink" Target="https://africanmarketingconfederation.org/elementor-20341/" TargetMode="External" Id="rId282"/><Relationship Type="http://schemas.openxmlformats.org/officeDocument/2006/relationships/hyperlink" Target="#Content!A1" TargetMode="External" Id="rId283"/><Relationship Type="http://schemas.openxmlformats.org/officeDocument/2006/relationships/hyperlink" Target="https://africanmarketingconfederation.org/general-enquiry-form-thank-you/" TargetMode="External" Id="rId284"/><Relationship Type="http://schemas.openxmlformats.org/officeDocument/2006/relationships/hyperlink" Target="#Content!A1" TargetMode="External" Id="rId285"/><Relationship Type="http://schemas.openxmlformats.org/officeDocument/2006/relationships/hyperlink" Target="https://africanmarketingconfederation.org/general-enquiry-form-thank-you/" TargetMode="External" Id="rId286"/><Relationship Type="http://schemas.openxmlformats.org/officeDocument/2006/relationships/hyperlink" Target="#Content!A1" TargetMode="External" Id="rId287"/><Relationship Type="http://schemas.openxmlformats.org/officeDocument/2006/relationships/hyperlink" Target="https://africanmarketingconfederation.org/launch-event-2026-amc-conference/" TargetMode="External" Id="rId288"/><Relationship Type="http://schemas.openxmlformats.org/officeDocument/2006/relationships/hyperlink" Target="#Content!A1" TargetMode="External" Id="rId289"/><Relationship Type="http://schemas.openxmlformats.org/officeDocument/2006/relationships/hyperlink" Target="https://africanmarketingconfederation.org/publication-download-list/" TargetMode="External" Id="rId290"/><Relationship Type="http://schemas.openxmlformats.org/officeDocument/2006/relationships/hyperlink" Target="#Content!A1" TargetMode="External" Id="rId291"/><Relationship Type="http://schemas.openxmlformats.org/officeDocument/2006/relationships/hyperlink" Target="https://africanmarketingconfederation.org/publication-download-list/" TargetMode="External" Id="rId292"/><Relationship Type="http://schemas.openxmlformats.org/officeDocument/2006/relationships/hyperlink" Target="#Content!A1" TargetMode="External" Id="rId293"/><Relationship Type="http://schemas.openxmlformats.org/officeDocument/2006/relationships/hyperlink" Target="https://africanmarketingconfederation.org/publications-2/" TargetMode="External" Id="rId294"/><Relationship Type="http://schemas.openxmlformats.org/officeDocument/2006/relationships/hyperlink" Target="#Content!A1" TargetMode="External" Id="rId295"/><Relationship Type="http://schemas.openxmlformats.org/officeDocument/2006/relationships/hyperlink" Target="https://africanmarketingconfederation.org/speakers/" TargetMode="External" Id="rId296"/><Relationship Type="http://schemas.openxmlformats.org/officeDocument/2006/relationships/hyperlink" Target="#Content!A1" TargetMode="External" Id="rId297"/><Relationship Type="http://schemas.openxmlformats.org/officeDocument/2006/relationships/hyperlink" Target="https://africanmarketingconfederation.org/speakers/" TargetMode="External" Id="rId298"/><Relationship Type="http://schemas.openxmlformats.org/officeDocument/2006/relationships/hyperlink" Target="#Content!A1" TargetMode="External" Id="rId299"/><Relationship Type="http://schemas.openxmlformats.org/officeDocument/2006/relationships/hyperlink" Target="https://africanmarketingconfederation.org/subscribe/" TargetMode="External" Id="rId300"/><Relationship Type="http://schemas.openxmlformats.org/officeDocument/2006/relationships/hyperlink" Target="#Content!A1" TargetMode="External" Id="rId301"/><Relationship Type="http://schemas.openxmlformats.org/officeDocument/2006/relationships/hyperlink" Target="https://africanmarketingconfederation.org/test-homeslider/" TargetMode="External" Id="rId302"/><Relationship Type="http://schemas.openxmlformats.org/officeDocument/2006/relationships/hyperlink" Target="#Content!A1" TargetMode="External" Id="rId303"/><Relationship Type="http://schemas.openxmlformats.org/officeDocument/2006/relationships/hyperlink" Target="https://africanmarketingconfederation.org/test-homeslider/" TargetMode="External" Id="rId304"/><Relationship Type="http://schemas.openxmlformats.org/officeDocument/2006/relationships/hyperlink" Target="#Content!A1" TargetMode="External" Id="rId305"/><Relationship Type="http://schemas.openxmlformats.org/officeDocument/2006/relationships/hyperlink" Target="https://africanmarketingconfederation.org/test-payment-gate/" TargetMode="External" Id="rId306"/><Relationship Type="http://schemas.openxmlformats.org/officeDocument/2006/relationships/hyperlink" Target="#Content!A1" TargetMode="External" Id="rId307"/><Relationship Type="http://schemas.openxmlformats.org/officeDocument/2006/relationships/hyperlink" Target="https://africanmarketingconfederation.org/test-payment-gate/" TargetMode="External" Id="rId308"/><Relationship Type="http://schemas.openxmlformats.org/officeDocument/2006/relationships/hyperlink" Target="#Content!A1" TargetMode="External" Id="rId309"/><Relationship Type="http://schemas.openxmlformats.org/officeDocument/2006/relationships/hyperlink" Target="https://africanmarketingconfederation.org/thank-you-for-registering-2024-registrations-kenya/" TargetMode="External" Id="rId310"/><Relationship Type="http://schemas.openxmlformats.org/officeDocument/2006/relationships/hyperlink" Target="#Content!A1" TargetMode="External" Id="rId311"/><Relationship Type="http://schemas.openxmlformats.org/officeDocument/2006/relationships/hyperlink" Target="https://africanmarketingconfederation.org/thank-you-for-registering-2024-registrations-kenya/" TargetMode="External" Id="rId312"/><Relationship Type="http://schemas.openxmlformats.org/officeDocument/2006/relationships/hyperlink" Target="#Content!A1" TargetMode="External" Id="rId313"/><Relationship Type="http://schemas.openxmlformats.org/officeDocument/2006/relationships/hyperlink" Target="https://africanmarketingconfederation.org/thank-you-for-registering-2024-registrations/" TargetMode="External" Id="rId314"/><Relationship Type="http://schemas.openxmlformats.org/officeDocument/2006/relationships/hyperlink" Target="#Content!A1" TargetMode="External" Id="rId315"/><Relationship Type="http://schemas.openxmlformats.org/officeDocument/2006/relationships/hyperlink" Target="https://africanmarketingconfederation.org/thank-you-for-registering-2024-registrations/" TargetMode="External" Id="rId316"/><Relationship Type="http://schemas.openxmlformats.org/officeDocument/2006/relationships/hyperlink" Target="#Content!A1" TargetMode="External" Id="rId317"/><Relationship Type="http://schemas.openxmlformats.org/officeDocument/2006/relationships/hyperlink" Target="https://africanmarketingconfederation.org/thank-you-for-subscribing/" TargetMode="External" Id="rId318"/><Relationship Type="http://schemas.openxmlformats.org/officeDocument/2006/relationships/hyperlink" Target="#Content!A1" TargetMode="External" Id="rId319"/><Relationship Type="http://schemas.openxmlformats.org/officeDocument/2006/relationships/hyperlink" Target="https://africanmarketingconfederation.org/thank-you-for-subscribing/" TargetMode="External" Id="rId320"/><Relationship Type="http://schemas.openxmlformats.org/officeDocument/2006/relationships/hyperlink" Target="#Content!A1" TargetMode="External" Id="rId321"/><Relationship Type="http://schemas.openxmlformats.org/officeDocument/2006/relationships/hyperlink" Target="https://africanmarketingconfederation.org/thank-you-for-the-nomination-2024/" TargetMode="External" Id="rId322"/><Relationship Type="http://schemas.openxmlformats.org/officeDocument/2006/relationships/hyperlink" Target="#Content!A1" TargetMode="External" Id="rId323"/><Relationship Type="http://schemas.openxmlformats.org/officeDocument/2006/relationships/hyperlink" Target="https://africanmarketingconfederation.org/thank-you-for-the-nomination-2024/" TargetMode="External" Id="rId324"/><Relationship Type="http://schemas.openxmlformats.org/officeDocument/2006/relationships/hyperlink" Target="#Content!A1" TargetMode="External" Id="rId325"/><Relationship Type="http://schemas.openxmlformats.org/officeDocument/2006/relationships/hyperlink" Target="https://africanmarketingconfederation.org/thank-you-for-the-submission-2024/" TargetMode="External" Id="rId326"/><Relationship Type="http://schemas.openxmlformats.org/officeDocument/2006/relationships/hyperlink" Target="#Content!A1" TargetMode="External" Id="rId327"/><Relationship Type="http://schemas.openxmlformats.org/officeDocument/2006/relationships/hyperlink" Target="https://africanmarketingconfederation.org/thank-you-for-the-submission-2024/" TargetMode="External" Id="rId328"/><Relationship Type="http://schemas.openxmlformats.org/officeDocument/2006/relationships/hyperlink" Target="#Content!A1" TargetMode="External" Id="rId329"/><Relationship Type="http://schemas.openxmlformats.org/officeDocument/2006/relationships/hyperlink" Target="https://africanmarketingconfederation.org/upcoming-events/" TargetMode="External" Id="rId330"/><Relationship Type="http://schemas.openxmlformats.org/officeDocument/2006/relationships/hyperlink" Target="#Content!A1" TargetMode="External" Id="rId331"/><Relationship Type="http://schemas.openxmlformats.org/officeDocument/2006/relationships/hyperlink" Target="https://africanmarketingconfederation.org/upcoming-events/" TargetMode="External" Id="rId332"/><Relationship Type="http://schemas.openxmlformats.org/officeDocument/2006/relationships/hyperlink" Target="#Content!A1" TargetMode="External" Id="rId333"/><Relationship Type="http://schemas.openxmlformats.org/officeDocument/2006/relationships/hyperlink" Target="https://africanmarketingconfederation.org/virtual-programme/" TargetMode="External" Id="rId334"/><Relationship Type="http://schemas.openxmlformats.org/officeDocument/2006/relationships/hyperlink" Target="#Content!A1" TargetMode="External" Id="rId335"/><Relationship Type="http://schemas.openxmlformats.org/officeDocument/2006/relationships/hyperlink" Target="https://africanmarketingconfederation.org/" TargetMode="External" Id="rId336"/><Relationship Type="http://schemas.openxmlformats.org/officeDocument/2006/relationships/hyperlink" Target="#StructuredData!A1" TargetMode="External" Id="rId337"/><Relationship Type="http://schemas.openxmlformats.org/officeDocument/2006/relationships/hyperlink" Target="https://africanmarketingconfederation.org/about-us/" TargetMode="External" Id="rId338"/><Relationship Type="http://schemas.openxmlformats.org/officeDocument/2006/relationships/hyperlink" Target="#StructuredData!A1" TargetMode="External" Id="rId339"/><Relationship Type="http://schemas.openxmlformats.org/officeDocument/2006/relationships/hyperlink" Target="https://africanmarketingconfederation.org/african-marketing-confederation-tourism-chapter/" TargetMode="External" Id="rId340"/><Relationship Type="http://schemas.openxmlformats.org/officeDocument/2006/relationships/hyperlink" Target="#StructuredData!A1" TargetMode="External" Id="rId341"/><Relationship Type="http://schemas.openxmlformats.org/officeDocument/2006/relationships/hyperlink" Target="https://africanmarketingconfederation.org/amc-awards-2024/" TargetMode="External" Id="rId342"/><Relationship Type="http://schemas.openxmlformats.org/officeDocument/2006/relationships/hyperlink" Target="#StructuredData!A1" TargetMode="External" Id="rId343"/><Relationship Type="http://schemas.openxmlformats.org/officeDocument/2006/relationships/hyperlink" Target="https://africanmarketingconfederation.org/amc-conference-2022-prospectus/" TargetMode="External" Id="rId344"/><Relationship Type="http://schemas.openxmlformats.org/officeDocument/2006/relationships/hyperlink" Target="#StructuredData!A1" TargetMode="External" Id="rId345"/><Relationship Type="http://schemas.openxmlformats.org/officeDocument/2006/relationships/hyperlink" Target="https://africanmarketingconfederation.org/amc-conference-2022-thank-you/" TargetMode="External" Id="rId346"/><Relationship Type="http://schemas.openxmlformats.org/officeDocument/2006/relationships/hyperlink" Target="#StructuredData!A1" TargetMode="External" Id="rId347"/><Relationship Type="http://schemas.openxmlformats.org/officeDocument/2006/relationships/hyperlink" Target="https://africanmarketingconfederation.org/amc-conference-2022/" TargetMode="External" Id="rId348"/><Relationship Type="http://schemas.openxmlformats.org/officeDocument/2006/relationships/hyperlink" Target="#StructuredData!A1" TargetMode="External" Id="rId349"/><Relationship Type="http://schemas.openxmlformats.org/officeDocument/2006/relationships/hyperlink" Target="https://africanmarketingconfederation.org/amc-conference-2023/" TargetMode="External" Id="rId350"/><Relationship Type="http://schemas.openxmlformats.org/officeDocument/2006/relationships/hyperlink" Target="#StructuredData!A1" TargetMode="External" Id="rId351"/><Relationship Type="http://schemas.openxmlformats.org/officeDocument/2006/relationships/hyperlink" Target="https://africanmarketingconfederation.org/amc-conference-2023/amc-awards-book-now/" TargetMode="External" Id="rId352"/><Relationship Type="http://schemas.openxmlformats.org/officeDocument/2006/relationships/hyperlink" Target="#StructuredData!A1" TargetMode="External" Id="rId353"/><Relationship Type="http://schemas.openxmlformats.org/officeDocument/2006/relationships/hyperlink" Target="https://africanmarketingconfederation.org/amc-conference-2023/amc-awards/" TargetMode="External" Id="rId354"/><Relationship Type="http://schemas.openxmlformats.org/officeDocument/2006/relationships/hyperlink" Target="#StructuredData!A1" TargetMode="External" Id="rId355"/><Relationship Type="http://schemas.openxmlformats.org/officeDocument/2006/relationships/hyperlink" Target="https://africanmarketingconfederation.org/amc-conference-2023/book-now-thank-you/" TargetMode="External" Id="rId356"/><Relationship Type="http://schemas.openxmlformats.org/officeDocument/2006/relationships/hyperlink" Target="#StructuredData!A1" TargetMode="External" Id="rId357"/><Relationship Type="http://schemas.openxmlformats.org/officeDocument/2006/relationships/hyperlink" Target="https://africanmarketingconfederation.org/amc-conference-2023/book-now/" TargetMode="External" Id="rId358"/><Relationship Type="http://schemas.openxmlformats.org/officeDocument/2006/relationships/hyperlink" Target="#StructuredData!A1" TargetMode="External" Id="rId359"/><Relationship Type="http://schemas.openxmlformats.org/officeDocument/2006/relationships/hyperlink" Target="https://africanmarketingconfederation.org/amc-conference-2023/download-prospectus/" TargetMode="External" Id="rId360"/><Relationship Type="http://schemas.openxmlformats.org/officeDocument/2006/relationships/hyperlink" Target="#StructuredData!A1" TargetMode="External" Id="rId361"/><Relationship Type="http://schemas.openxmlformats.org/officeDocument/2006/relationships/hyperlink" Target="https://africanmarketingconfederation.org/amc-conference-2023/gallery/" TargetMode="External" Id="rId362"/><Relationship Type="http://schemas.openxmlformats.org/officeDocument/2006/relationships/hyperlink" Target="#StructuredData!A1" TargetMode="External" Id="rId363"/><Relationship Type="http://schemas.openxmlformats.org/officeDocument/2006/relationships/hyperlink" Target="https://africanmarketingconfederation.org/amc-conference-2023/partners/" TargetMode="External" Id="rId364"/><Relationship Type="http://schemas.openxmlformats.org/officeDocument/2006/relationships/hyperlink" Target="#StructuredData!A1" TargetMode="External" Id="rId365"/><Relationship Type="http://schemas.openxmlformats.org/officeDocument/2006/relationships/hyperlink" Target="https://africanmarketingconfederation.org/amc-conference-2023/programme/" TargetMode="External" Id="rId366"/><Relationship Type="http://schemas.openxmlformats.org/officeDocument/2006/relationships/hyperlink" Target="#StructuredData!A1" TargetMode="External" Id="rId367"/><Relationship Type="http://schemas.openxmlformats.org/officeDocument/2006/relationships/hyperlink" Target="https://africanmarketingconfederation.org/amc-conference-2023/speakers/" TargetMode="External" Id="rId368"/><Relationship Type="http://schemas.openxmlformats.org/officeDocument/2006/relationships/hyperlink" Target="#StructuredData!A1" TargetMode="External" Id="rId369"/><Relationship Type="http://schemas.openxmlformats.org/officeDocument/2006/relationships/hyperlink" Target="https://africanmarketingconfederation.org/amc-conference-2024-recap/" TargetMode="External" Id="rId370"/><Relationship Type="http://schemas.openxmlformats.org/officeDocument/2006/relationships/hyperlink" Target="#StructuredData!A1" TargetMode="External" Id="rId371"/><Relationship Type="http://schemas.openxmlformats.org/officeDocument/2006/relationships/hyperlink" Target="https://africanmarketingconfederation.org/amc-conference-2024-sponsors-packages/" TargetMode="External" Id="rId372"/><Relationship Type="http://schemas.openxmlformats.org/officeDocument/2006/relationships/hyperlink" Target="#StructuredData!A1" TargetMode="External" Id="rId373"/><Relationship Type="http://schemas.openxmlformats.org/officeDocument/2006/relationships/hyperlink" Target="https://africanmarketingconfederation.org/amc-conference-2025-highlights/" TargetMode="External" Id="rId374"/><Relationship Type="http://schemas.openxmlformats.org/officeDocument/2006/relationships/hyperlink" Target="#StructuredData!A1" TargetMode="External" Id="rId375"/><Relationship Type="http://schemas.openxmlformats.org/officeDocument/2006/relationships/hyperlink" Target="https://africanmarketingconfederation.org/amc-conference-2025/" TargetMode="External" Id="rId376"/><Relationship Type="http://schemas.openxmlformats.org/officeDocument/2006/relationships/hyperlink" Target="#StructuredData!A1" TargetMode="External" Id="rId377"/><Relationship Type="http://schemas.openxmlformats.org/officeDocument/2006/relationships/hyperlink" Target="https://africanmarketingconfederation.org/amc-conference-2026-awards-nominations-thank-you/" TargetMode="External" Id="rId378"/><Relationship Type="http://schemas.openxmlformats.org/officeDocument/2006/relationships/hyperlink" Target="#StructuredData!A1" TargetMode="External" Id="rId379"/><Relationship Type="http://schemas.openxmlformats.org/officeDocument/2006/relationships/hyperlink" Target="https://africanmarketingconfederation.org/amc-conference-2026-zambia-thank-you/" TargetMode="External" Id="rId380"/><Relationship Type="http://schemas.openxmlformats.org/officeDocument/2006/relationships/hyperlink" Target="#StructuredData!A1" TargetMode="External" Id="rId381"/><Relationship Type="http://schemas.openxmlformats.org/officeDocument/2006/relationships/hyperlink" Target="https://africanmarketingconfederation.org/amc-conference-2026/" TargetMode="External" Id="rId382"/><Relationship Type="http://schemas.openxmlformats.org/officeDocument/2006/relationships/hyperlink" Target="#StructuredData!A1" TargetMode="External" Id="rId383"/><Relationship Type="http://schemas.openxmlformats.org/officeDocument/2006/relationships/hyperlink" Target="https://africanmarketingconfederation.org/amc-conference-programme/" TargetMode="External" Id="rId384"/><Relationship Type="http://schemas.openxmlformats.org/officeDocument/2006/relationships/hyperlink" Target="#StructuredData!A1" TargetMode="External" Id="rId385"/><Relationship Type="http://schemas.openxmlformats.org/officeDocument/2006/relationships/hyperlink" Target="https://africanmarketingconfederation.org/amc-conference-sponsors/" TargetMode="External" Id="rId386"/><Relationship Type="http://schemas.openxmlformats.org/officeDocument/2006/relationships/hyperlink" Target="#StructuredData!A1" TargetMode="External" Id="rId387"/><Relationship Type="http://schemas.openxmlformats.org/officeDocument/2006/relationships/hyperlink" Target="https://africanmarketingconfederation.org/amc-conference-thank-you/" TargetMode="External" Id="rId388"/><Relationship Type="http://schemas.openxmlformats.org/officeDocument/2006/relationships/hyperlink" Target="#StructuredData!A1" TargetMode="External" Id="rId389"/><Relationship Type="http://schemas.openxmlformats.org/officeDocument/2006/relationships/hyperlink" Target="https://africanmarketingconfederation.org/amc-forum-mombasa/" TargetMode="External" Id="rId390"/><Relationship Type="http://schemas.openxmlformats.org/officeDocument/2006/relationships/hyperlink" Target="#StructuredData!A1" TargetMode="External" Id="rId391"/><Relationship Type="http://schemas.openxmlformats.org/officeDocument/2006/relationships/hyperlink" Target="https://africanmarketingconfederation.org/amc-forum-payments/" TargetMode="External" Id="rId392"/><Relationship Type="http://schemas.openxmlformats.org/officeDocument/2006/relationships/hyperlink" Target="#StructuredData!A1" TargetMode="External" Id="rId393"/><Relationship Type="http://schemas.openxmlformats.org/officeDocument/2006/relationships/hyperlink" Target="https://africanmarketingconfederation.org/amc-launch-event-zambia-thank-you-2026/" TargetMode="External" Id="rId394"/><Relationship Type="http://schemas.openxmlformats.org/officeDocument/2006/relationships/hyperlink" Target="#StructuredData!A1" TargetMode="External" Id="rId395"/><Relationship Type="http://schemas.openxmlformats.org/officeDocument/2006/relationships/hyperlink" Target="https://africanmarketingconfederation.org/amc-marketing-conference-2024/" TargetMode="External" Id="rId396"/><Relationship Type="http://schemas.openxmlformats.org/officeDocument/2006/relationships/hyperlink" Target="#StructuredData!A1" TargetMode="External" Id="rId397"/><Relationship Type="http://schemas.openxmlformats.org/officeDocument/2006/relationships/hyperlink" Target="https://africanmarketingconfederation.org/amc-marketing-conference-2024/amc-conference-2025-ghana-sponsors/" TargetMode="External" Id="rId398"/><Relationship Type="http://schemas.openxmlformats.org/officeDocument/2006/relationships/hyperlink" Target="#StructuredData!A1" TargetMode="External" Id="rId399"/><Relationship Type="http://schemas.openxmlformats.org/officeDocument/2006/relationships/hyperlink" Target="https://africanmarketingconfederation.org/amc-marketing-conference-2024/amc-launch-event-2025/" TargetMode="External" Id="rId400"/><Relationship Type="http://schemas.openxmlformats.org/officeDocument/2006/relationships/hyperlink" Target="#StructuredData!A1" TargetMode="External" Id="rId401"/><Relationship Type="http://schemas.openxmlformats.org/officeDocument/2006/relationships/hyperlink" Target="https://africanmarketingconfederation.org/amc-marketing-conference-2024/amc-preregister-2025/" TargetMode="External" Id="rId402"/><Relationship Type="http://schemas.openxmlformats.org/officeDocument/2006/relationships/hyperlink" Target="#StructuredData!A1" TargetMode="External" Id="rId403"/><Relationship Type="http://schemas.openxmlformats.org/officeDocument/2006/relationships/hyperlink" Target="https://africanmarketingconfederation.org/amc-marketing-conference-2024/amc-programme-2025/" TargetMode="External" Id="rId404"/><Relationship Type="http://schemas.openxmlformats.org/officeDocument/2006/relationships/hyperlink" Target="#StructuredData!A1" TargetMode="External" Id="rId405"/><Relationship Type="http://schemas.openxmlformats.org/officeDocument/2006/relationships/hyperlink" Target="https://africanmarketingconfederation.org/amc-marketing-conference-2024/amc-speakers-presentations-2024/" TargetMode="External" Id="rId406"/><Relationship Type="http://schemas.openxmlformats.org/officeDocument/2006/relationships/hyperlink" Target="#StructuredData!A1" TargetMode="External" Id="rId407"/><Relationship Type="http://schemas.openxmlformats.org/officeDocument/2006/relationships/hyperlink" Target="https://africanmarketingconfederation.org/amc-marketing-conference-2024/awards-2025/" TargetMode="External" Id="rId408"/><Relationship Type="http://schemas.openxmlformats.org/officeDocument/2006/relationships/hyperlink" Target="#StructuredData!A1" TargetMode="External" Id="rId409"/><Relationship Type="http://schemas.openxmlformats.org/officeDocument/2006/relationships/hyperlink" Target="https://africanmarketingconfederation.org/amc-marketing-conference-2024/programme-2024/" TargetMode="External" Id="rId410"/><Relationship Type="http://schemas.openxmlformats.org/officeDocument/2006/relationships/hyperlink" Target="#StructuredData!A1" TargetMode="External" Id="rId411"/><Relationship Type="http://schemas.openxmlformats.org/officeDocument/2006/relationships/hyperlink" Target="https://africanmarketingconfederation.org/amc-marketing-conference-2024/speakers-2024/" TargetMode="External" Id="rId412"/><Relationship Type="http://schemas.openxmlformats.org/officeDocument/2006/relationships/hyperlink" Target="#StructuredData!A1" TargetMode="External" Id="rId413"/><Relationship Type="http://schemas.openxmlformats.org/officeDocument/2006/relationships/hyperlink" Target="https://africanmarketingconfederation.org/amc-marketing-conference-2024/testimony-thank-you-page/" TargetMode="External" Id="rId414"/><Relationship Type="http://schemas.openxmlformats.org/officeDocument/2006/relationships/hyperlink" Target="#StructuredData!A1" TargetMode="External" Id="rId415"/><Relationship Type="http://schemas.openxmlformats.org/officeDocument/2006/relationships/hyperlink" Target="https://africanmarketingconfederation.org/amc-masterclass-bookings/" TargetMode="External" Id="rId416"/><Relationship Type="http://schemas.openxmlformats.org/officeDocument/2006/relationships/hyperlink" Target="#StructuredData!A1" TargetMode="External" Id="rId417"/><Relationship Type="http://schemas.openxmlformats.org/officeDocument/2006/relationships/hyperlink" Target="https://africanmarketingconfederation.org/amc-masterclass-thank-you/" TargetMode="External" Id="rId418"/><Relationship Type="http://schemas.openxmlformats.org/officeDocument/2006/relationships/hyperlink" Target="#StructuredData!A1" TargetMode="External" Id="rId419"/><Relationship Type="http://schemas.openxmlformats.org/officeDocument/2006/relationships/hyperlink" Target="https://africanmarketingconfederation.org/amc-masterclass/" TargetMode="External" Id="rId420"/><Relationship Type="http://schemas.openxmlformats.org/officeDocument/2006/relationships/hyperlink" Target="#StructuredData!A1" TargetMode="External" Id="rId421"/><Relationship Type="http://schemas.openxmlformats.org/officeDocument/2006/relationships/hyperlink" Target="https://africanmarketingconfederation.org/amc-relaunch-programme/" TargetMode="External" Id="rId422"/><Relationship Type="http://schemas.openxmlformats.org/officeDocument/2006/relationships/hyperlink" Target="#StructuredData!A1" TargetMode="External" Id="rId423"/><Relationship Type="http://schemas.openxmlformats.org/officeDocument/2006/relationships/hyperlink" Target="https://africanmarketingconfederation.org/amc-sign-up-now-form-2025/" TargetMode="External" Id="rId424"/><Relationship Type="http://schemas.openxmlformats.org/officeDocument/2006/relationships/hyperlink" Target="#StructuredData!A1" TargetMode="External" Id="rId425"/><Relationship Type="http://schemas.openxmlformats.org/officeDocument/2006/relationships/hyperlink" Target="https://africanmarketingconfederation.org/amc-sponsors-2025/" TargetMode="External" Id="rId426"/><Relationship Type="http://schemas.openxmlformats.org/officeDocument/2006/relationships/hyperlink" Target="#StructuredData!A1" TargetMode="External" Id="rId427"/><Relationship Type="http://schemas.openxmlformats.org/officeDocument/2006/relationships/hyperlink" Target="https://africanmarketingconfederation.org/amc-testimony-page-2024/" TargetMode="External" Id="rId428"/><Relationship Type="http://schemas.openxmlformats.org/officeDocument/2006/relationships/hyperlink" Target="#StructuredData!A1" TargetMode="External" Id="rId429"/><Relationship Type="http://schemas.openxmlformats.org/officeDocument/2006/relationships/hyperlink" Target="https://africanmarketingconfederation.org/awards-2026-1/" TargetMode="External" Id="rId430"/><Relationship Type="http://schemas.openxmlformats.org/officeDocument/2006/relationships/hyperlink" Target="#StructuredData!A1" TargetMode="External" Id="rId431"/><Relationship Type="http://schemas.openxmlformats.org/officeDocument/2006/relationships/hyperlink" Target="https://africanmarketingconfederation.org/awards-2026-test/" TargetMode="External" Id="rId432"/><Relationship Type="http://schemas.openxmlformats.org/officeDocument/2006/relationships/hyperlink" Target="#StructuredData!A1" TargetMode="External" Id="rId433"/><Relationship Type="http://schemas.openxmlformats.org/officeDocument/2006/relationships/hyperlink" Target="https://africanmarketingconfederation.org/awards-2026/" TargetMode="External" Id="rId434"/><Relationship Type="http://schemas.openxmlformats.org/officeDocument/2006/relationships/hyperlink" Target="#StructuredData!A1" TargetMode="External" Id="rId435"/><Relationship Type="http://schemas.openxmlformats.org/officeDocument/2006/relationships/hyperlink" Target="https://africanmarketingconfederation.org/certified-professional-marketer-africa/" TargetMode="External" Id="rId436"/><Relationship Type="http://schemas.openxmlformats.org/officeDocument/2006/relationships/hyperlink" Target="#StructuredData!A1" TargetMode="External" Id="rId437"/><Relationship Type="http://schemas.openxmlformats.org/officeDocument/2006/relationships/hyperlink" Target="https://africanmarketingconfederation.org/chartered-marketer-africa-final-submission-fee/" TargetMode="External" Id="rId438"/><Relationship Type="http://schemas.openxmlformats.org/officeDocument/2006/relationships/hyperlink" Target="#StructuredData!A1" TargetMode="External" Id="rId439"/><Relationship Type="http://schemas.openxmlformats.org/officeDocument/2006/relationships/hyperlink" Target="https://africanmarketingconfederation.org/chartered-marketer-africa-programme-fee/" TargetMode="External" Id="rId440"/><Relationship Type="http://schemas.openxmlformats.org/officeDocument/2006/relationships/hyperlink" Target="#StructuredData!A1" TargetMode="External" Id="rId441"/><Relationship Type="http://schemas.openxmlformats.org/officeDocument/2006/relationships/hyperlink" Target="https://africanmarketingconfederation.org/chartered-marketer-africa-thank-you/" TargetMode="External" Id="rId442"/><Relationship Type="http://schemas.openxmlformats.org/officeDocument/2006/relationships/hyperlink" Target="#StructuredData!A1" TargetMode="External" Id="rId443"/><Relationship Type="http://schemas.openxmlformats.org/officeDocument/2006/relationships/hyperlink" Target="https://africanmarketingconfederation.org/chartered-marketer-africa/" TargetMode="External" Id="rId444"/><Relationship Type="http://schemas.openxmlformats.org/officeDocument/2006/relationships/hyperlink" Target="#StructuredData!A1" TargetMode="External" Id="rId445"/><Relationship Type="http://schemas.openxmlformats.org/officeDocument/2006/relationships/hyperlink" Target="https://africanmarketingconfederation.org/checkout/" TargetMode="External" Id="rId446"/><Relationship Type="http://schemas.openxmlformats.org/officeDocument/2006/relationships/hyperlink" Target="#StructuredData!A1" TargetMode="External" Id="rId447"/><Relationship Type="http://schemas.openxmlformats.org/officeDocument/2006/relationships/hyperlink" Target="https://africanmarketingconfederation.org/conference-faq-2025/" TargetMode="External" Id="rId448"/><Relationship Type="http://schemas.openxmlformats.org/officeDocument/2006/relationships/hyperlink" Target="#StructuredData!A1" TargetMode="External" Id="rId449"/><Relationship Type="http://schemas.openxmlformats.org/officeDocument/2006/relationships/hyperlink" Target="https://africanmarketingconfederation.org/conference-registrations-2024/" TargetMode="External" Id="rId450"/><Relationship Type="http://schemas.openxmlformats.org/officeDocument/2006/relationships/hyperlink" Target="#StructuredData!A1" TargetMode="External" Id="rId451"/><Relationship Type="http://schemas.openxmlformats.org/officeDocument/2006/relationships/hyperlink" Target="https://africanmarketingconfederation.org/contact-us/" TargetMode="External" Id="rId452"/><Relationship Type="http://schemas.openxmlformats.org/officeDocument/2006/relationships/hyperlink" Target="#StructuredData!A1" TargetMode="External" Id="rId453"/><Relationship Type="http://schemas.openxmlformats.org/officeDocument/2006/relationships/hyperlink" Target="https://africanmarketingconfederation.org/download-brochure/" TargetMode="External" Id="rId454"/><Relationship Type="http://schemas.openxmlformats.org/officeDocument/2006/relationships/hyperlink" Target="#StructuredData!A1" TargetMode="External" Id="rId455"/><Relationship Type="http://schemas.openxmlformats.org/officeDocument/2006/relationships/hyperlink" Target="https://africanmarketingconfederation.org/download-prospectus-2024/" TargetMode="External" Id="rId456"/><Relationship Type="http://schemas.openxmlformats.org/officeDocument/2006/relationships/hyperlink" Target="#StructuredData!A1" TargetMode="External" Id="rId457"/><Relationship Type="http://schemas.openxmlformats.org/officeDocument/2006/relationships/hyperlink" Target="https://africanmarketingconfederation.org/education/" TargetMode="External" Id="rId458"/><Relationship Type="http://schemas.openxmlformats.org/officeDocument/2006/relationships/hyperlink" Target="#StructuredData!A1" TargetMode="External" Id="rId459"/><Relationship Type="http://schemas.openxmlformats.org/officeDocument/2006/relationships/hyperlink" Target="https://africanmarketingconfederation.org/elementor-16548/" TargetMode="External" Id="rId460"/><Relationship Type="http://schemas.openxmlformats.org/officeDocument/2006/relationships/hyperlink" Target="#StructuredData!A1" TargetMode="External" Id="rId461"/><Relationship Type="http://schemas.openxmlformats.org/officeDocument/2006/relationships/hyperlink" Target="https://africanmarketingconfederation.org/elementor-20341/" TargetMode="External" Id="rId462"/><Relationship Type="http://schemas.openxmlformats.org/officeDocument/2006/relationships/hyperlink" Target="#StructuredData!A1" TargetMode="External" Id="rId463"/><Relationship Type="http://schemas.openxmlformats.org/officeDocument/2006/relationships/hyperlink" Target="https://africanmarketingconfederation.org/elementor-31820/" TargetMode="External" Id="rId464"/><Relationship Type="http://schemas.openxmlformats.org/officeDocument/2006/relationships/hyperlink" Target="#StructuredData!A1" TargetMode="External" Id="rId465"/><Relationship Type="http://schemas.openxmlformats.org/officeDocument/2006/relationships/hyperlink" Target="https://africanmarketingconfederation.org/general-enquiry-form-thank-you/" TargetMode="External" Id="rId466"/><Relationship Type="http://schemas.openxmlformats.org/officeDocument/2006/relationships/hyperlink" Target="#StructuredData!A1" TargetMode="External" Id="rId467"/><Relationship Type="http://schemas.openxmlformats.org/officeDocument/2006/relationships/hyperlink" Target="https://africanmarketingconfederation.org/launch-event-2026-amc-conference/" TargetMode="External" Id="rId468"/><Relationship Type="http://schemas.openxmlformats.org/officeDocument/2006/relationships/hyperlink" Target="#StructuredData!A1" TargetMode="External" Id="rId469"/><Relationship Type="http://schemas.openxmlformats.org/officeDocument/2006/relationships/hyperlink" Target="https://africanmarketingconfederation.org/members/" TargetMode="External" Id="rId470"/><Relationship Type="http://schemas.openxmlformats.org/officeDocument/2006/relationships/hyperlink" Target="#StructuredData!A1" TargetMode="External" Id="rId471"/><Relationship Type="http://schemas.openxmlformats.org/officeDocument/2006/relationships/hyperlink" Target="https://africanmarketingconfederation.org/news-articles/" TargetMode="External" Id="rId472"/><Relationship Type="http://schemas.openxmlformats.org/officeDocument/2006/relationships/hyperlink" Target="#StructuredData!A1" TargetMode="External" Id="rId473"/><Relationship Type="http://schemas.openxmlformats.org/officeDocument/2006/relationships/hyperlink" Target="https://africanmarketingconfederation.org/privacy-policy/" TargetMode="External" Id="rId474"/><Relationship Type="http://schemas.openxmlformats.org/officeDocument/2006/relationships/hyperlink" Target="#StructuredData!A1" TargetMode="External" Id="rId475"/><Relationship Type="http://schemas.openxmlformats.org/officeDocument/2006/relationships/hyperlink" Target="https://africanmarketingconfederation.org/publication-download-list/" TargetMode="External" Id="rId476"/><Relationship Type="http://schemas.openxmlformats.org/officeDocument/2006/relationships/hyperlink" Target="#StructuredData!A1" TargetMode="External" Id="rId477"/><Relationship Type="http://schemas.openxmlformats.org/officeDocument/2006/relationships/hyperlink" Target="https://africanmarketingconfederation.org/publications-2/" TargetMode="External" Id="rId478"/><Relationship Type="http://schemas.openxmlformats.org/officeDocument/2006/relationships/hyperlink" Target="#StructuredData!A1" TargetMode="External" Id="rId479"/><Relationship Type="http://schemas.openxmlformats.org/officeDocument/2006/relationships/hyperlink" Target="https://africanmarketingconfederation.org/speakers-2025/" TargetMode="External" Id="rId480"/><Relationship Type="http://schemas.openxmlformats.org/officeDocument/2006/relationships/hyperlink" Target="#StructuredData!A1" TargetMode="External" Id="rId481"/><Relationship Type="http://schemas.openxmlformats.org/officeDocument/2006/relationships/hyperlink" Target="https://africanmarketingconfederation.org/speakers/" TargetMode="External" Id="rId482"/><Relationship Type="http://schemas.openxmlformats.org/officeDocument/2006/relationships/hyperlink" Target="#StructuredData!A1" TargetMode="External" Id="rId483"/><Relationship Type="http://schemas.openxmlformats.org/officeDocument/2006/relationships/hyperlink" Target="https://africanmarketingconfederation.org/sub-committees/" TargetMode="External" Id="rId484"/><Relationship Type="http://schemas.openxmlformats.org/officeDocument/2006/relationships/hyperlink" Target="#StructuredData!A1" TargetMode="External" Id="rId485"/><Relationship Type="http://schemas.openxmlformats.org/officeDocument/2006/relationships/hyperlink" Target="https://africanmarketingconfederation.org/subscribe/" TargetMode="External" Id="rId486"/><Relationship Type="http://schemas.openxmlformats.org/officeDocument/2006/relationships/hyperlink" Target="#StructuredData!A1" TargetMode="External" Id="rId487"/><Relationship Type="http://schemas.openxmlformats.org/officeDocument/2006/relationships/hyperlink" Target="https://africanmarketingconfederation.org/test-homeslider/" TargetMode="External" Id="rId488"/><Relationship Type="http://schemas.openxmlformats.org/officeDocument/2006/relationships/hyperlink" Target="#StructuredData!A1" TargetMode="External" Id="rId489"/><Relationship Type="http://schemas.openxmlformats.org/officeDocument/2006/relationships/hyperlink" Target="https://africanmarketingconfederation.org/test-payment-gate/" TargetMode="External" Id="rId490"/><Relationship Type="http://schemas.openxmlformats.org/officeDocument/2006/relationships/hyperlink" Target="#StructuredData!A1" TargetMode="External" Id="rId491"/><Relationship Type="http://schemas.openxmlformats.org/officeDocument/2006/relationships/hyperlink" Target="https://africanmarketingconfederation.org/thank-you-for-registering-2024-registrations-kenya/" TargetMode="External" Id="rId492"/><Relationship Type="http://schemas.openxmlformats.org/officeDocument/2006/relationships/hyperlink" Target="#StructuredData!A1" TargetMode="External" Id="rId493"/><Relationship Type="http://schemas.openxmlformats.org/officeDocument/2006/relationships/hyperlink" Target="https://africanmarketingconfederation.org/thank-you-for-registering-2024-registrations/" TargetMode="External" Id="rId494"/><Relationship Type="http://schemas.openxmlformats.org/officeDocument/2006/relationships/hyperlink" Target="#StructuredData!A1" TargetMode="External" Id="rId495"/><Relationship Type="http://schemas.openxmlformats.org/officeDocument/2006/relationships/hyperlink" Target="https://africanmarketingconfederation.org/thank-you-for-subscribing/" TargetMode="External" Id="rId496"/><Relationship Type="http://schemas.openxmlformats.org/officeDocument/2006/relationships/hyperlink" Target="#StructuredData!A1" TargetMode="External" Id="rId497"/><Relationship Type="http://schemas.openxmlformats.org/officeDocument/2006/relationships/hyperlink" Target="https://africanmarketingconfederation.org/thank-you-for-the-nomination-2024/" TargetMode="External" Id="rId498"/><Relationship Type="http://schemas.openxmlformats.org/officeDocument/2006/relationships/hyperlink" Target="#StructuredData!A1" TargetMode="External" Id="rId499"/><Relationship Type="http://schemas.openxmlformats.org/officeDocument/2006/relationships/hyperlink" Target="https://africanmarketingconfederation.org/thank-you-for-the-submission-2024/" TargetMode="External" Id="rId500"/><Relationship Type="http://schemas.openxmlformats.org/officeDocument/2006/relationships/hyperlink" Target="#StructuredData!A1" TargetMode="External" Id="rId501"/><Relationship Type="http://schemas.openxmlformats.org/officeDocument/2006/relationships/hyperlink" Target="https://africanmarketingconfederation.org/upcoming-events/" TargetMode="External" Id="rId502"/><Relationship Type="http://schemas.openxmlformats.org/officeDocument/2006/relationships/hyperlink" Target="#StructuredData!A1" TargetMode="External" Id="rId503"/><Relationship Type="http://schemas.openxmlformats.org/officeDocument/2006/relationships/hyperlink" Target="https://africanmarketingconfederation.org/virtual-programme/" TargetMode="External" Id="rId504"/><Relationship Type="http://schemas.openxmlformats.org/officeDocument/2006/relationships/hyperlink" Target="#StructuredData!A1" TargetMode="External" Id="rId505"/><Relationship Type="http://schemas.openxmlformats.org/officeDocument/2006/relationships/hyperlink" Target="https://africanmarketingconfederation.org/amc-conference-sponsors/" TargetMode="External" Id="rId506"/><Relationship Type="http://schemas.openxmlformats.org/officeDocument/2006/relationships/hyperlink" Target="#Main!A1" TargetMode="External" Id="rId507"/><Relationship Type="http://schemas.openxmlformats.org/officeDocument/2006/relationships/hyperlink" Target="https://africanmarketingconfederation.org/amc-marketing-conference-2024/speakers-2024/" TargetMode="External" Id="rId508"/><Relationship Type="http://schemas.openxmlformats.org/officeDocument/2006/relationships/hyperlink" Target="#Main!A1" TargetMode="External" Id="rId509"/><Relationship Type="http://schemas.openxmlformats.org/officeDocument/2006/relationships/hyperlink" Target="https://africanmarketingconfederation.org/" TargetMode="External" Id="rId510"/><Relationship Type="http://schemas.openxmlformats.org/officeDocument/2006/relationships/hyperlink" Target="#Links!A1" TargetMode="External" Id="rId511"/><Relationship Type="http://schemas.openxmlformats.org/officeDocument/2006/relationships/hyperlink" Target="https://africanmarketingconfederation.org/about-us/" TargetMode="External" Id="rId512"/><Relationship Type="http://schemas.openxmlformats.org/officeDocument/2006/relationships/hyperlink" Target="#Main!A1" TargetMode="External" Id="rId513"/><Relationship Type="http://schemas.openxmlformats.org/officeDocument/2006/relationships/hyperlink" Target="https://africanmarketingconfederation.org/about-us/" TargetMode="External" Id="rId514"/><Relationship Type="http://schemas.openxmlformats.org/officeDocument/2006/relationships/hyperlink" Target="#Links!A1" TargetMode="External" Id="rId515"/><Relationship Type="http://schemas.openxmlformats.org/officeDocument/2006/relationships/hyperlink" Target="https://africanmarketingconfederation.org/african-marketing-confederation-tourism-chapter/" TargetMode="External" Id="rId516"/><Relationship Type="http://schemas.openxmlformats.org/officeDocument/2006/relationships/hyperlink" Target="#Main!A1" TargetMode="External" Id="rId517"/><Relationship Type="http://schemas.openxmlformats.org/officeDocument/2006/relationships/hyperlink" Target="https://africanmarketingconfederation.org/african-marketing-confederation-tourism-chapter/" TargetMode="External" Id="rId518"/><Relationship Type="http://schemas.openxmlformats.org/officeDocument/2006/relationships/hyperlink" Target="#Links!A1" TargetMode="External" Id="rId519"/><Relationship Type="http://schemas.openxmlformats.org/officeDocument/2006/relationships/hyperlink" Target="https://africanmarketingconfederation.org/amc-awards-2024/" TargetMode="External" Id="rId520"/><Relationship Type="http://schemas.openxmlformats.org/officeDocument/2006/relationships/hyperlink" Target="#Main!A1" TargetMode="External" Id="rId521"/><Relationship Type="http://schemas.openxmlformats.org/officeDocument/2006/relationships/hyperlink" Target="https://africanmarketingconfederation.org/amc-awards-2024/" TargetMode="External" Id="rId522"/><Relationship Type="http://schemas.openxmlformats.org/officeDocument/2006/relationships/hyperlink" Target="#Links!A1" TargetMode="External" Id="rId523"/><Relationship Type="http://schemas.openxmlformats.org/officeDocument/2006/relationships/hyperlink" Target="https://africanmarketingconfederation.org/amc-conference-2022-prospectus/" TargetMode="External" Id="rId524"/><Relationship Type="http://schemas.openxmlformats.org/officeDocument/2006/relationships/hyperlink" Target="#Main!A1" TargetMode="External" Id="rId525"/><Relationship Type="http://schemas.openxmlformats.org/officeDocument/2006/relationships/hyperlink" Target="https://africanmarketingconfederation.org/amc-conference-2022-prospectus/" TargetMode="External" Id="rId526"/><Relationship Type="http://schemas.openxmlformats.org/officeDocument/2006/relationships/hyperlink" Target="#Links!A1" TargetMode="External" Id="rId527"/><Relationship Type="http://schemas.openxmlformats.org/officeDocument/2006/relationships/hyperlink" Target="https://africanmarketingconfederation.org/amc-conference-2022-thank-you/" TargetMode="External" Id="rId528"/><Relationship Type="http://schemas.openxmlformats.org/officeDocument/2006/relationships/hyperlink" Target="#Main!A1" TargetMode="External" Id="rId529"/><Relationship Type="http://schemas.openxmlformats.org/officeDocument/2006/relationships/hyperlink" Target="https://africanmarketingconfederation.org/amc-conference-2022-thank-you/" TargetMode="External" Id="rId530"/><Relationship Type="http://schemas.openxmlformats.org/officeDocument/2006/relationships/hyperlink" Target="#Links!A1" TargetMode="External" Id="rId531"/><Relationship Type="http://schemas.openxmlformats.org/officeDocument/2006/relationships/hyperlink" Target="https://africanmarketingconfederation.org/amc-conference-2022/" TargetMode="External" Id="rId532"/><Relationship Type="http://schemas.openxmlformats.org/officeDocument/2006/relationships/hyperlink" Target="#Main!A1" TargetMode="External" Id="rId533"/><Relationship Type="http://schemas.openxmlformats.org/officeDocument/2006/relationships/hyperlink" Target="https://africanmarketingconfederation.org/amc-conference-2022/" TargetMode="External" Id="rId534"/><Relationship Type="http://schemas.openxmlformats.org/officeDocument/2006/relationships/hyperlink" Target="#Links!A1" TargetMode="External" Id="rId535"/><Relationship Type="http://schemas.openxmlformats.org/officeDocument/2006/relationships/hyperlink" Target="https://africanmarketingconfederation.org/amc-conference-2023/" TargetMode="External" Id="rId536"/><Relationship Type="http://schemas.openxmlformats.org/officeDocument/2006/relationships/hyperlink" Target="#Main!A1" TargetMode="External" Id="rId537"/><Relationship Type="http://schemas.openxmlformats.org/officeDocument/2006/relationships/hyperlink" Target="https://africanmarketingconfederation.org/amc-conference-2023/" TargetMode="External" Id="rId538"/><Relationship Type="http://schemas.openxmlformats.org/officeDocument/2006/relationships/hyperlink" Target="#Links!A1" TargetMode="External" Id="rId539"/><Relationship Type="http://schemas.openxmlformats.org/officeDocument/2006/relationships/hyperlink" Target="https://africanmarketingconfederation.org/amc-conference-2023/amc-awards-book-now/" TargetMode="External" Id="rId540"/><Relationship Type="http://schemas.openxmlformats.org/officeDocument/2006/relationships/hyperlink" Target="#Links!A1" TargetMode="External" Id="rId541"/><Relationship Type="http://schemas.openxmlformats.org/officeDocument/2006/relationships/hyperlink" Target="https://africanmarketingconfederation.org/amc-conference-2023/amc-awards/" TargetMode="External" Id="rId542"/><Relationship Type="http://schemas.openxmlformats.org/officeDocument/2006/relationships/hyperlink" Target="#Main!A1" TargetMode="External" Id="rId543"/><Relationship Type="http://schemas.openxmlformats.org/officeDocument/2006/relationships/hyperlink" Target="https://africanmarketingconfederation.org/amc-conference-2023/amc-awards/" TargetMode="External" Id="rId544"/><Relationship Type="http://schemas.openxmlformats.org/officeDocument/2006/relationships/hyperlink" Target="#Links!A1" TargetMode="External" Id="rId545"/><Relationship Type="http://schemas.openxmlformats.org/officeDocument/2006/relationships/hyperlink" Target="https://africanmarketingconfederation.org/amc-conference-2023/book-now-thank-you/" TargetMode="External" Id="rId546"/><Relationship Type="http://schemas.openxmlformats.org/officeDocument/2006/relationships/hyperlink" Target="#Main!A1" TargetMode="External" Id="rId547"/><Relationship Type="http://schemas.openxmlformats.org/officeDocument/2006/relationships/hyperlink" Target="https://africanmarketingconfederation.org/amc-conference-2023/book-now-thank-you/" TargetMode="External" Id="rId548"/><Relationship Type="http://schemas.openxmlformats.org/officeDocument/2006/relationships/hyperlink" Target="#Links!A1" TargetMode="External" Id="rId549"/><Relationship Type="http://schemas.openxmlformats.org/officeDocument/2006/relationships/hyperlink" Target="https://africanmarketingconfederation.org/amc-conference-2023/book-now/" TargetMode="External" Id="rId550"/><Relationship Type="http://schemas.openxmlformats.org/officeDocument/2006/relationships/hyperlink" Target="#Main!A1" TargetMode="External" Id="rId551"/><Relationship Type="http://schemas.openxmlformats.org/officeDocument/2006/relationships/hyperlink" Target="https://africanmarketingconfederation.org/amc-conference-2023/book-now/" TargetMode="External" Id="rId552"/><Relationship Type="http://schemas.openxmlformats.org/officeDocument/2006/relationships/hyperlink" Target="#Links!A1" TargetMode="External" Id="rId553"/><Relationship Type="http://schemas.openxmlformats.org/officeDocument/2006/relationships/hyperlink" Target="https://africanmarketingconfederation.org/amc-conference-2023/download-prospectus/" TargetMode="External" Id="rId554"/><Relationship Type="http://schemas.openxmlformats.org/officeDocument/2006/relationships/hyperlink" Target="#Main!A1" TargetMode="External" Id="rId555"/><Relationship Type="http://schemas.openxmlformats.org/officeDocument/2006/relationships/hyperlink" Target="https://africanmarketingconfederation.org/amc-conference-2023/download-prospectus/" TargetMode="External" Id="rId556"/><Relationship Type="http://schemas.openxmlformats.org/officeDocument/2006/relationships/hyperlink" Target="#Links!A1" TargetMode="External" Id="rId557"/><Relationship Type="http://schemas.openxmlformats.org/officeDocument/2006/relationships/hyperlink" Target="https://africanmarketingconfederation.org/amc-conference-2023/gallery/" TargetMode="External" Id="rId558"/><Relationship Type="http://schemas.openxmlformats.org/officeDocument/2006/relationships/hyperlink" Target="#Main!A1" TargetMode="External" Id="rId559"/><Relationship Type="http://schemas.openxmlformats.org/officeDocument/2006/relationships/hyperlink" Target="https://africanmarketingconfederation.org/amc-conference-2023/gallery/" TargetMode="External" Id="rId560"/><Relationship Type="http://schemas.openxmlformats.org/officeDocument/2006/relationships/hyperlink" Target="#Links!A1" TargetMode="External" Id="rId561"/><Relationship Type="http://schemas.openxmlformats.org/officeDocument/2006/relationships/hyperlink" Target="https://africanmarketingconfederation.org/amc-conference-2023/partners/" TargetMode="External" Id="rId562"/><Relationship Type="http://schemas.openxmlformats.org/officeDocument/2006/relationships/hyperlink" Target="#Main!A1" TargetMode="External" Id="rId563"/><Relationship Type="http://schemas.openxmlformats.org/officeDocument/2006/relationships/hyperlink" Target="https://africanmarketingconfederation.org/amc-conference-2023/partners/" TargetMode="External" Id="rId564"/><Relationship Type="http://schemas.openxmlformats.org/officeDocument/2006/relationships/hyperlink" Target="#Links!A1" TargetMode="External" Id="rId565"/><Relationship Type="http://schemas.openxmlformats.org/officeDocument/2006/relationships/hyperlink" Target="https://africanmarketingconfederation.org/amc-conference-2023/programme/" TargetMode="External" Id="rId566"/><Relationship Type="http://schemas.openxmlformats.org/officeDocument/2006/relationships/hyperlink" Target="#Main!A1" TargetMode="External" Id="rId567"/><Relationship Type="http://schemas.openxmlformats.org/officeDocument/2006/relationships/hyperlink" Target="https://africanmarketingconfederation.org/amc-conference-2023/programme/" TargetMode="External" Id="rId568"/><Relationship Type="http://schemas.openxmlformats.org/officeDocument/2006/relationships/hyperlink" Target="#Links!A1" TargetMode="External" Id="rId569"/><Relationship Type="http://schemas.openxmlformats.org/officeDocument/2006/relationships/hyperlink" Target="https://africanmarketingconfederation.org/amc-conference-2023/speakers/" TargetMode="External" Id="rId570"/><Relationship Type="http://schemas.openxmlformats.org/officeDocument/2006/relationships/hyperlink" Target="#Main!A1" TargetMode="External" Id="rId571"/><Relationship Type="http://schemas.openxmlformats.org/officeDocument/2006/relationships/hyperlink" Target="https://africanmarketingconfederation.org/amc-conference-2023/speakers/" TargetMode="External" Id="rId572"/><Relationship Type="http://schemas.openxmlformats.org/officeDocument/2006/relationships/hyperlink" Target="#Links!A1" TargetMode="External" Id="rId573"/><Relationship Type="http://schemas.openxmlformats.org/officeDocument/2006/relationships/hyperlink" Target="https://africanmarketingconfederation.org/amc-conference-2024-recap/" TargetMode="External" Id="rId574"/><Relationship Type="http://schemas.openxmlformats.org/officeDocument/2006/relationships/hyperlink" Target="#Main!A1" TargetMode="External" Id="rId575"/><Relationship Type="http://schemas.openxmlformats.org/officeDocument/2006/relationships/hyperlink" Target="https://africanmarketingconfederation.org/amc-conference-2024-recap/" TargetMode="External" Id="rId576"/><Relationship Type="http://schemas.openxmlformats.org/officeDocument/2006/relationships/hyperlink" Target="#Links!A1" TargetMode="External" Id="rId577"/><Relationship Type="http://schemas.openxmlformats.org/officeDocument/2006/relationships/hyperlink" Target="https://africanmarketingconfederation.org/amc-conference-2024-sponsors-packages/" TargetMode="External" Id="rId578"/><Relationship Type="http://schemas.openxmlformats.org/officeDocument/2006/relationships/hyperlink" Target="#Main!A1" TargetMode="External" Id="rId579"/><Relationship Type="http://schemas.openxmlformats.org/officeDocument/2006/relationships/hyperlink" Target="https://africanmarketingconfederation.org/amc-conference-2024-sponsors-packages/" TargetMode="External" Id="rId580"/><Relationship Type="http://schemas.openxmlformats.org/officeDocument/2006/relationships/hyperlink" Target="#Links!A1" TargetMode="External" Id="rId581"/><Relationship Type="http://schemas.openxmlformats.org/officeDocument/2006/relationships/hyperlink" Target="https://africanmarketingconfederation.org/amc-conference-2025-highlights/" TargetMode="External" Id="rId582"/><Relationship Type="http://schemas.openxmlformats.org/officeDocument/2006/relationships/hyperlink" Target="#Main!A1" TargetMode="External" Id="rId583"/><Relationship Type="http://schemas.openxmlformats.org/officeDocument/2006/relationships/hyperlink" Target="https://africanmarketingconfederation.org/amc-conference-2025-highlights/" TargetMode="External" Id="rId584"/><Relationship Type="http://schemas.openxmlformats.org/officeDocument/2006/relationships/hyperlink" Target="#Links!A1" TargetMode="External" Id="rId585"/><Relationship Type="http://schemas.openxmlformats.org/officeDocument/2006/relationships/hyperlink" Target="https://africanmarketingconfederation.org/amc-conference-2025/" TargetMode="External" Id="rId586"/><Relationship Type="http://schemas.openxmlformats.org/officeDocument/2006/relationships/hyperlink" Target="#Links!A1" TargetMode="External" Id="rId587"/><Relationship Type="http://schemas.openxmlformats.org/officeDocument/2006/relationships/hyperlink" Target="https://africanmarketingconfederation.org/amc-conference-2026-awards-nominations-thank-you/" TargetMode="External" Id="rId588"/><Relationship Type="http://schemas.openxmlformats.org/officeDocument/2006/relationships/hyperlink" Target="#Main!A1" TargetMode="External" Id="rId589"/><Relationship Type="http://schemas.openxmlformats.org/officeDocument/2006/relationships/hyperlink" Target="https://africanmarketingconfederation.org/amc-conference-2026-awards-nominations-thank-you/" TargetMode="External" Id="rId590"/><Relationship Type="http://schemas.openxmlformats.org/officeDocument/2006/relationships/hyperlink" Target="#Links!A1" TargetMode="External" Id="rId591"/><Relationship Type="http://schemas.openxmlformats.org/officeDocument/2006/relationships/hyperlink" Target="https://africanmarketingconfederation.org/amc-conference-2026-zambia-thank-you/" TargetMode="External" Id="rId592"/><Relationship Type="http://schemas.openxmlformats.org/officeDocument/2006/relationships/hyperlink" Target="#Main!A1" TargetMode="External" Id="rId593"/><Relationship Type="http://schemas.openxmlformats.org/officeDocument/2006/relationships/hyperlink" Target="https://africanmarketingconfederation.org/amc-conference-2026-zambia-thank-you/" TargetMode="External" Id="rId594"/><Relationship Type="http://schemas.openxmlformats.org/officeDocument/2006/relationships/hyperlink" Target="#Links!A1" TargetMode="External" Id="rId595"/><Relationship Type="http://schemas.openxmlformats.org/officeDocument/2006/relationships/hyperlink" Target="https://africanmarketingconfederation.org/amc-conference-2026/" TargetMode="External" Id="rId596"/><Relationship Type="http://schemas.openxmlformats.org/officeDocument/2006/relationships/hyperlink" Target="#Main!A1" TargetMode="External" Id="rId597"/><Relationship Type="http://schemas.openxmlformats.org/officeDocument/2006/relationships/hyperlink" Target="https://africanmarketingconfederation.org/amc-conference-2026/" TargetMode="External" Id="rId598"/><Relationship Type="http://schemas.openxmlformats.org/officeDocument/2006/relationships/hyperlink" Target="#Links!A1" TargetMode="External" Id="rId599"/><Relationship Type="http://schemas.openxmlformats.org/officeDocument/2006/relationships/hyperlink" Target="https://africanmarketingconfederation.org/amc-conference-programme/" TargetMode="External" Id="rId600"/><Relationship Type="http://schemas.openxmlformats.org/officeDocument/2006/relationships/hyperlink" Target="#Main!A1" TargetMode="External" Id="rId601"/><Relationship Type="http://schemas.openxmlformats.org/officeDocument/2006/relationships/hyperlink" Target="https://africanmarketingconfederation.org/amc-conference-programme/" TargetMode="External" Id="rId602"/><Relationship Type="http://schemas.openxmlformats.org/officeDocument/2006/relationships/hyperlink" Target="#Links!A1" TargetMode="External" Id="rId603"/><Relationship Type="http://schemas.openxmlformats.org/officeDocument/2006/relationships/hyperlink" Target="https://africanmarketingconfederation.org/amc-conference-sponsors/" TargetMode="External" Id="rId604"/><Relationship Type="http://schemas.openxmlformats.org/officeDocument/2006/relationships/hyperlink" Target="#Links!A1" TargetMode="External" Id="rId605"/><Relationship Type="http://schemas.openxmlformats.org/officeDocument/2006/relationships/hyperlink" Target="https://africanmarketingconfederation.org/amc-conference-thank-you/" TargetMode="External" Id="rId606"/><Relationship Type="http://schemas.openxmlformats.org/officeDocument/2006/relationships/hyperlink" Target="#Main!A1" TargetMode="External" Id="rId607"/><Relationship Type="http://schemas.openxmlformats.org/officeDocument/2006/relationships/hyperlink" Target="https://africanmarketingconfederation.org/amc-conference-thank-you/" TargetMode="External" Id="rId608"/><Relationship Type="http://schemas.openxmlformats.org/officeDocument/2006/relationships/hyperlink" Target="#Links!A1" TargetMode="External" Id="rId609"/><Relationship Type="http://schemas.openxmlformats.org/officeDocument/2006/relationships/hyperlink" Target="https://africanmarketingconfederation.org/amc-forum-mombasa/" TargetMode="External" Id="rId610"/><Relationship Type="http://schemas.openxmlformats.org/officeDocument/2006/relationships/hyperlink" Target="#Main!A1" TargetMode="External" Id="rId611"/><Relationship Type="http://schemas.openxmlformats.org/officeDocument/2006/relationships/hyperlink" Target="https://africanmarketingconfederation.org/amc-forum-mombasa/" TargetMode="External" Id="rId612"/><Relationship Type="http://schemas.openxmlformats.org/officeDocument/2006/relationships/hyperlink" Target="#Links!A1" TargetMode="External" Id="rId613"/><Relationship Type="http://schemas.openxmlformats.org/officeDocument/2006/relationships/hyperlink" Target="https://africanmarketingconfederation.org/amc-forum-payments/" TargetMode="External" Id="rId614"/><Relationship Type="http://schemas.openxmlformats.org/officeDocument/2006/relationships/hyperlink" Target="#Main!A1" TargetMode="External" Id="rId615"/><Relationship Type="http://schemas.openxmlformats.org/officeDocument/2006/relationships/hyperlink" Target="https://africanmarketingconfederation.org/amc-forum-payments/" TargetMode="External" Id="rId616"/><Relationship Type="http://schemas.openxmlformats.org/officeDocument/2006/relationships/hyperlink" Target="#Links!A1" TargetMode="External" Id="rId617"/><Relationship Type="http://schemas.openxmlformats.org/officeDocument/2006/relationships/hyperlink" Target="https://africanmarketingconfederation.org/amc-launch-event-zambia-thank-you-2026/" TargetMode="External" Id="rId618"/><Relationship Type="http://schemas.openxmlformats.org/officeDocument/2006/relationships/hyperlink" Target="#Main!A1" TargetMode="External" Id="rId619"/><Relationship Type="http://schemas.openxmlformats.org/officeDocument/2006/relationships/hyperlink" Target="https://africanmarketingconfederation.org/amc-launch-event-zambia-thank-you-2026/" TargetMode="External" Id="rId620"/><Relationship Type="http://schemas.openxmlformats.org/officeDocument/2006/relationships/hyperlink" Target="#Links!A1" TargetMode="External" Id="rId621"/><Relationship Type="http://schemas.openxmlformats.org/officeDocument/2006/relationships/hyperlink" Target="https://africanmarketingconfederation.org/amc-marketing-conference-2024/" TargetMode="External" Id="rId622"/><Relationship Type="http://schemas.openxmlformats.org/officeDocument/2006/relationships/hyperlink" Target="#Main!A1" TargetMode="External" Id="rId623"/><Relationship Type="http://schemas.openxmlformats.org/officeDocument/2006/relationships/hyperlink" Target="https://africanmarketingconfederation.org/amc-marketing-conference-2024/" TargetMode="External" Id="rId624"/><Relationship Type="http://schemas.openxmlformats.org/officeDocument/2006/relationships/hyperlink" Target="#Links!A1" TargetMode="External" Id="rId625"/><Relationship Type="http://schemas.openxmlformats.org/officeDocument/2006/relationships/hyperlink" Target="https://africanmarketingconfederation.org/amc-marketing-conference-2024/amc-conference-2025-ghana-sponsors/" TargetMode="External" Id="rId626"/><Relationship Type="http://schemas.openxmlformats.org/officeDocument/2006/relationships/hyperlink" Target="#Main!A1" TargetMode="External" Id="rId627"/><Relationship Type="http://schemas.openxmlformats.org/officeDocument/2006/relationships/hyperlink" Target="https://africanmarketingconfederation.org/amc-marketing-conference-2024/amc-conference-2025-ghana-sponsors/" TargetMode="External" Id="rId628"/><Relationship Type="http://schemas.openxmlformats.org/officeDocument/2006/relationships/hyperlink" Target="#Links!A1" TargetMode="External" Id="rId629"/><Relationship Type="http://schemas.openxmlformats.org/officeDocument/2006/relationships/hyperlink" Target="https://africanmarketingconfederation.org/amc-marketing-conference-2024/amc-launch-event-2025/" TargetMode="External" Id="rId630"/><Relationship Type="http://schemas.openxmlformats.org/officeDocument/2006/relationships/hyperlink" Target="#Main!A1" TargetMode="External" Id="rId631"/><Relationship Type="http://schemas.openxmlformats.org/officeDocument/2006/relationships/hyperlink" Target="https://africanmarketingconfederation.org/amc-marketing-conference-2024/amc-launch-event-2025/" TargetMode="External" Id="rId632"/><Relationship Type="http://schemas.openxmlformats.org/officeDocument/2006/relationships/hyperlink" Target="#Links!A1" TargetMode="External" Id="rId633"/><Relationship Type="http://schemas.openxmlformats.org/officeDocument/2006/relationships/hyperlink" Target="https://africanmarketingconfederation.org/amc-marketing-conference-2024/amc-preregister-2025/" TargetMode="External" Id="rId634"/><Relationship Type="http://schemas.openxmlformats.org/officeDocument/2006/relationships/hyperlink" Target="#Main!A1" TargetMode="External" Id="rId635"/><Relationship Type="http://schemas.openxmlformats.org/officeDocument/2006/relationships/hyperlink" Target="https://africanmarketingconfederation.org/amc-marketing-conference-2024/amc-preregister-2025/" TargetMode="External" Id="rId636"/><Relationship Type="http://schemas.openxmlformats.org/officeDocument/2006/relationships/hyperlink" Target="#Links!A1" TargetMode="External" Id="rId637"/><Relationship Type="http://schemas.openxmlformats.org/officeDocument/2006/relationships/hyperlink" Target="https://africanmarketingconfederation.org/amc-marketing-conference-2024/amc-programme-2025/" TargetMode="External" Id="rId638"/><Relationship Type="http://schemas.openxmlformats.org/officeDocument/2006/relationships/hyperlink" Target="#Links!A1" TargetMode="External" Id="rId639"/><Relationship Type="http://schemas.openxmlformats.org/officeDocument/2006/relationships/hyperlink" Target="https://africanmarketingconfederation.org/amc-marketing-conference-2024/amc-speakers-presentations-2024/" TargetMode="External" Id="rId640"/><Relationship Type="http://schemas.openxmlformats.org/officeDocument/2006/relationships/hyperlink" Target="#Main!A1" TargetMode="External" Id="rId641"/><Relationship Type="http://schemas.openxmlformats.org/officeDocument/2006/relationships/hyperlink" Target="https://africanmarketingconfederation.org/amc-marketing-conference-2024/amc-speakers-presentations-2024/" TargetMode="External" Id="rId642"/><Relationship Type="http://schemas.openxmlformats.org/officeDocument/2006/relationships/hyperlink" Target="#Links!A1" TargetMode="External" Id="rId643"/><Relationship Type="http://schemas.openxmlformats.org/officeDocument/2006/relationships/hyperlink" Target="https://africanmarketingconfederation.org/amc-marketing-conference-2024/awards-2025/" TargetMode="External" Id="rId644"/><Relationship Type="http://schemas.openxmlformats.org/officeDocument/2006/relationships/hyperlink" Target="#Main!A1" TargetMode="External" Id="rId645"/><Relationship Type="http://schemas.openxmlformats.org/officeDocument/2006/relationships/hyperlink" Target="https://africanmarketingconfederation.org/amc-marketing-conference-2024/awards-2025/" TargetMode="External" Id="rId646"/><Relationship Type="http://schemas.openxmlformats.org/officeDocument/2006/relationships/hyperlink" Target="#Links!A1" TargetMode="External" Id="rId647"/><Relationship Type="http://schemas.openxmlformats.org/officeDocument/2006/relationships/hyperlink" Target="https://africanmarketingconfederation.org/amc-marketing-conference-2024/programme-2024/" TargetMode="External" Id="rId648"/><Relationship Type="http://schemas.openxmlformats.org/officeDocument/2006/relationships/hyperlink" Target="#Main!A1" TargetMode="External" Id="rId649"/><Relationship Type="http://schemas.openxmlformats.org/officeDocument/2006/relationships/hyperlink" Target="https://africanmarketingconfederation.org/amc-marketing-conference-2024/programme-2024/" TargetMode="External" Id="rId650"/><Relationship Type="http://schemas.openxmlformats.org/officeDocument/2006/relationships/hyperlink" Target="#Links!A1" TargetMode="External" Id="rId651"/><Relationship Type="http://schemas.openxmlformats.org/officeDocument/2006/relationships/hyperlink" Target="https://africanmarketingconfederation.org/amc-marketing-conference-2024/speakers-2024/" TargetMode="External" Id="rId652"/><Relationship Type="http://schemas.openxmlformats.org/officeDocument/2006/relationships/hyperlink" Target="#Links!A1" TargetMode="External" Id="rId653"/><Relationship Type="http://schemas.openxmlformats.org/officeDocument/2006/relationships/hyperlink" Target="https://africanmarketingconfederation.org/amc-marketing-conference-2024/testimony-thank-you-page/" TargetMode="External" Id="rId654"/><Relationship Type="http://schemas.openxmlformats.org/officeDocument/2006/relationships/hyperlink" Target="#Main!A1" TargetMode="External" Id="rId655"/><Relationship Type="http://schemas.openxmlformats.org/officeDocument/2006/relationships/hyperlink" Target="https://africanmarketingconfederation.org/amc-marketing-conference-2024/testimony-thank-you-page/" TargetMode="External" Id="rId656"/><Relationship Type="http://schemas.openxmlformats.org/officeDocument/2006/relationships/hyperlink" Target="#Links!A1" TargetMode="External" Id="rId657"/><Relationship Type="http://schemas.openxmlformats.org/officeDocument/2006/relationships/hyperlink" Target="https://africanmarketingconfederation.org/amc-masterclass-bookings/" TargetMode="External" Id="rId658"/><Relationship Type="http://schemas.openxmlformats.org/officeDocument/2006/relationships/hyperlink" Target="#Links!A1" TargetMode="External" Id="rId659"/><Relationship Type="http://schemas.openxmlformats.org/officeDocument/2006/relationships/hyperlink" Target="https://africanmarketingconfederation.org/amc-masterclass-thank-you/" TargetMode="External" Id="rId660"/><Relationship Type="http://schemas.openxmlformats.org/officeDocument/2006/relationships/hyperlink" Target="#Main!A1" TargetMode="External" Id="rId661"/><Relationship Type="http://schemas.openxmlformats.org/officeDocument/2006/relationships/hyperlink" Target="https://africanmarketingconfederation.org/amc-masterclass-thank-you/" TargetMode="External" Id="rId662"/><Relationship Type="http://schemas.openxmlformats.org/officeDocument/2006/relationships/hyperlink" Target="#Links!A1" TargetMode="External" Id="rId663"/><Relationship Type="http://schemas.openxmlformats.org/officeDocument/2006/relationships/hyperlink" Target="https://africanmarketingconfederation.org/amc-masterclass/" TargetMode="External" Id="rId664"/><Relationship Type="http://schemas.openxmlformats.org/officeDocument/2006/relationships/hyperlink" Target="#Main!A1" TargetMode="External" Id="rId665"/><Relationship Type="http://schemas.openxmlformats.org/officeDocument/2006/relationships/hyperlink" Target="https://africanmarketingconfederation.org/amc-masterclass/" TargetMode="External" Id="rId666"/><Relationship Type="http://schemas.openxmlformats.org/officeDocument/2006/relationships/hyperlink" Target="#Links!A1" TargetMode="External" Id="rId667"/><Relationship Type="http://schemas.openxmlformats.org/officeDocument/2006/relationships/hyperlink" Target="https://africanmarketingconfederation.org/amc-relaunch-programme/" TargetMode="External" Id="rId668"/><Relationship Type="http://schemas.openxmlformats.org/officeDocument/2006/relationships/hyperlink" Target="#Main!A1" TargetMode="External" Id="rId669"/><Relationship Type="http://schemas.openxmlformats.org/officeDocument/2006/relationships/hyperlink" Target="https://africanmarketingconfederation.org/amc-relaunch-programme/" TargetMode="External" Id="rId670"/><Relationship Type="http://schemas.openxmlformats.org/officeDocument/2006/relationships/hyperlink" Target="#Links!A1" TargetMode="External" Id="rId671"/><Relationship Type="http://schemas.openxmlformats.org/officeDocument/2006/relationships/hyperlink" Target="https://africanmarketingconfederation.org/amc-sign-up-now-form-2025/" TargetMode="External" Id="rId672"/><Relationship Type="http://schemas.openxmlformats.org/officeDocument/2006/relationships/hyperlink" Target="#Main!A1" TargetMode="External" Id="rId673"/><Relationship Type="http://schemas.openxmlformats.org/officeDocument/2006/relationships/hyperlink" Target="https://africanmarketingconfederation.org/amc-sign-up-now-form-2025/" TargetMode="External" Id="rId674"/><Relationship Type="http://schemas.openxmlformats.org/officeDocument/2006/relationships/hyperlink" Target="#Links!A1" TargetMode="External" Id="rId675"/><Relationship Type="http://schemas.openxmlformats.org/officeDocument/2006/relationships/hyperlink" Target="https://africanmarketingconfederation.org/amc-sponsors-2025/" TargetMode="External" Id="rId676"/><Relationship Type="http://schemas.openxmlformats.org/officeDocument/2006/relationships/hyperlink" Target="#Main!A1" TargetMode="External" Id="rId677"/><Relationship Type="http://schemas.openxmlformats.org/officeDocument/2006/relationships/hyperlink" Target="https://africanmarketingconfederation.org/amc-sponsors-2025/" TargetMode="External" Id="rId678"/><Relationship Type="http://schemas.openxmlformats.org/officeDocument/2006/relationships/hyperlink" Target="#Links!A1" TargetMode="External" Id="rId679"/><Relationship Type="http://schemas.openxmlformats.org/officeDocument/2006/relationships/hyperlink" Target="https://africanmarketingconfederation.org/amc-testimony-page-2024/" TargetMode="External" Id="rId680"/><Relationship Type="http://schemas.openxmlformats.org/officeDocument/2006/relationships/hyperlink" Target="#Main!A1" TargetMode="External" Id="rId681"/><Relationship Type="http://schemas.openxmlformats.org/officeDocument/2006/relationships/hyperlink" Target="https://africanmarketingconfederation.org/amc-testimony-page-2024/" TargetMode="External" Id="rId682"/><Relationship Type="http://schemas.openxmlformats.org/officeDocument/2006/relationships/hyperlink" Target="#Links!A1" TargetMode="External" Id="rId683"/><Relationship Type="http://schemas.openxmlformats.org/officeDocument/2006/relationships/hyperlink" Target="https://africanmarketingconfederation.org/awards-2026-1/" TargetMode="External" Id="rId684"/><Relationship Type="http://schemas.openxmlformats.org/officeDocument/2006/relationships/hyperlink" Target="#Links!A1" TargetMode="External" Id="rId685"/><Relationship Type="http://schemas.openxmlformats.org/officeDocument/2006/relationships/hyperlink" Target="https://africanmarketingconfederation.org/awards-2026-test/" TargetMode="External" Id="rId686"/><Relationship Type="http://schemas.openxmlformats.org/officeDocument/2006/relationships/hyperlink" Target="#Main!A1" TargetMode="External" Id="rId687"/><Relationship Type="http://schemas.openxmlformats.org/officeDocument/2006/relationships/hyperlink" Target="https://africanmarketingconfederation.org/awards-2026-test/" TargetMode="External" Id="rId688"/><Relationship Type="http://schemas.openxmlformats.org/officeDocument/2006/relationships/hyperlink" Target="#Links!A1" TargetMode="External" Id="rId689"/><Relationship Type="http://schemas.openxmlformats.org/officeDocument/2006/relationships/hyperlink" Target="https://africanmarketingconfederation.org/awards-2026/" TargetMode="External" Id="rId690"/><Relationship Type="http://schemas.openxmlformats.org/officeDocument/2006/relationships/hyperlink" Target="#Links!A1" TargetMode="External" Id="rId691"/><Relationship Type="http://schemas.openxmlformats.org/officeDocument/2006/relationships/hyperlink" Target="https://africanmarketingconfederation.org/certified-professional-marketer-africa/" TargetMode="External" Id="rId692"/><Relationship Type="http://schemas.openxmlformats.org/officeDocument/2006/relationships/hyperlink" Target="#Main!A1" TargetMode="External" Id="rId693"/><Relationship Type="http://schemas.openxmlformats.org/officeDocument/2006/relationships/hyperlink" Target="https://africanmarketingconfederation.org/certified-professional-marketer-africa/" TargetMode="External" Id="rId694"/><Relationship Type="http://schemas.openxmlformats.org/officeDocument/2006/relationships/hyperlink" Target="#Links!A1" TargetMode="External" Id="rId695"/><Relationship Type="http://schemas.openxmlformats.org/officeDocument/2006/relationships/hyperlink" Target="https://africanmarketingconfederation.org/chartered-marketer-africa-final-submission-fee/" TargetMode="External" Id="rId696"/><Relationship Type="http://schemas.openxmlformats.org/officeDocument/2006/relationships/hyperlink" Target="#Main!A1" TargetMode="External" Id="rId697"/><Relationship Type="http://schemas.openxmlformats.org/officeDocument/2006/relationships/hyperlink" Target="https://africanmarketingconfederation.org/chartered-marketer-africa-final-submission-fee/" TargetMode="External" Id="rId698"/><Relationship Type="http://schemas.openxmlformats.org/officeDocument/2006/relationships/hyperlink" Target="#Links!A1" TargetMode="External" Id="rId699"/><Relationship Type="http://schemas.openxmlformats.org/officeDocument/2006/relationships/hyperlink" Target="https://africanmarketingconfederation.org/chartered-marketer-africa-programme-fee/" TargetMode="External" Id="rId700"/><Relationship Type="http://schemas.openxmlformats.org/officeDocument/2006/relationships/hyperlink" Target="#Main!A1" TargetMode="External" Id="rId701"/><Relationship Type="http://schemas.openxmlformats.org/officeDocument/2006/relationships/hyperlink" Target="https://africanmarketingconfederation.org/chartered-marketer-africa-programme-fee/" TargetMode="External" Id="rId702"/><Relationship Type="http://schemas.openxmlformats.org/officeDocument/2006/relationships/hyperlink" Target="#Links!A1" TargetMode="External" Id="rId703"/><Relationship Type="http://schemas.openxmlformats.org/officeDocument/2006/relationships/hyperlink" Target="https://africanmarketingconfederation.org/chartered-marketer-africa-thank-you/" TargetMode="External" Id="rId704"/><Relationship Type="http://schemas.openxmlformats.org/officeDocument/2006/relationships/hyperlink" Target="#Main!A1" TargetMode="External" Id="rId705"/><Relationship Type="http://schemas.openxmlformats.org/officeDocument/2006/relationships/hyperlink" Target="https://africanmarketingconfederation.org/chartered-marketer-africa-thank-you/" TargetMode="External" Id="rId706"/><Relationship Type="http://schemas.openxmlformats.org/officeDocument/2006/relationships/hyperlink" Target="#Links!A1" TargetMode="External" Id="rId707"/><Relationship Type="http://schemas.openxmlformats.org/officeDocument/2006/relationships/hyperlink" Target="https://africanmarketingconfederation.org/chartered-marketer-africa/" TargetMode="External" Id="rId708"/><Relationship Type="http://schemas.openxmlformats.org/officeDocument/2006/relationships/hyperlink" Target="#Links!A1" TargetMode="External" Id="rId709"/><Relationship Type="http://schemas.openxmlformats.org/officeDocument/2006/relationships/hyperlink" Target="https://africanmarketingconfederation.org/checkout/" TargetMode="External" Id="rId710"/><Relationship Type="http://schemas.openxmlformats.org/officeDocument/2006/relationships/hyperlink" Target="#Main!A1" TargetMode="External" Id="rId711"/><Relationship Type="http://schemas.openxmlformats.org/officeDocument/2006/relationships/hyperlink" Target="https://africanmarketingconfederation.org/checkout/" TargetMode="External" Id="rId712"/><Relationship Type="http://schemas.openxmlformats.org/officeDocument/2006/relationships/hyperlink" Target="#Links!A1" TargetMode="External" Id="rId713"/><Relationship Type="http://schemas.openxmlformats.org/officeDocument/2006/relationships/hyperlink" Target="https://africanmarketingconfederation.org/conference-faq-2025/" TargetMode="External" Id="rId714"/><Relationship Type="http://schemas.openxmlformats.org/officeDocument/2006/relationships/hyperlink" Target="#Links!A1" TargetMode="External" Id="rId715"/><Relationship Type="http://schemas.openxmlformats.org/officeDocument/2006/relationships/hyperlink" Target="https://africanmarketingconfederation.org/conference-registrations-2024/" TargetMode="External" Id="rId716"/><Relationship Type="http://schemas.openxmlformats.org/officeDocument/2006/relationships/hyperlink" Target="#Main!A1" TargetMode="External" Id="rId717"/><Relationship Type="http://schemas.openxmlformats.org/officeDocument/2006/relationships/hyperlink" Target="https://africanmarketingconfederation.org/conference-registrations-2024/" TargetMode="External" Id="rId718"/><Relationship Type="http://schemas.openxmlformats.org/officeDocument/2006/relationships/hyperlink" Target="#Links!A1" TargetMode="External" Id="rId719"/><Relationship Type="http://schemas.openxmlformats.org/officeDocument/2006/relationships/hyperlink" Target="https://africanmarketingconfederation.org/contact-us/" TargetMode="External" Id="rId720"/><Relationship Type="http://schemas.openxmlformats.org/officeDocument/2006/relationships/hyperlink" Target="#Main!A1" TargetMode="External" Id="rId721"/><Relationship Type="http://schemas.openxmlformats.org/officeDocument/2006/relationships/hyperlink" Target="https://africanmarketingconfederation.org/contact-us/" TargetMode="External" Id="rId722"/><Relationship Type="http://schemas.openxmlformats.org/officeDocument/2006/relationships/hyperlink" Target="#Links!A1" TargetMode="External" Id="rId723"/><Relationship Type="http://schemas.openxmlformats.org/officeDocument/2006/relationships/hyperlink" Target="https://africanmarketingconfederation.org/download-brochure/" TargetMode="External" Id="rId724"/><Relationship Type="http://schemas.openxmlformats.org/officeDocument/2006/relationships/hyperlink" Target="#Main!A1" TargetMode="External" Id="rId725"/><Relationship Type="http://schemas.openxmlformats.org/officeDocument/2006/relationships/hyperlink" Target="https://africanmarketingconfederation.org/download-brochure/" TargetMode="External" Id="rId726"/><Relationship Type="http://schemas.openxmlformats.org/officeDocument/2006/relationships/hyperlink" Target="#Links!A1" TargetMode="External" Id="rId727"/><Relationship Type="http://schemas.openxmlformats.org/officeDocument/2006/relationships/hyperlink" Target="https://africanmarketingconfederation.org/download-prospectus-2024/" TargetMode="External" Id="rId728"/><Relationship Type="http://schemas.openxmlformats.org/officeDocument/2006/relationships/hyperlink" Target="#Main!A1" TargetMode="External" Id="rId729"/><Relationship Type="http://schemas.openxmlformats.org/officeDocument/2006/relationships/hyperlink" Target="https://africanmarketingconfederation.org/download-prospectus-2024/" TargetMode="External" Id="rId730"/><Relationship Type="http://schemas.openxmlformats.org/officeDocument/2006/relationships/hyperlink" Target="#Links!A1" TargetMode="External" Id="rId731"/><Relationship Type="http://schemas.openxmlformats.org/officeDocument/2006/relationships/hyperlink" Target="https://africanmarketingconfederation.org/education/" TargetMode="External" Id="rId732"/><Relationship Type="http://schemas.openxmlformats.org/officeDocument/2006/relationships/hyperlink" Target="#Main!A1" TargetMode="External" Id="rId733"/><Relationship Type="http://schemas.openxmlformats.org/officeDocument/2006/relationships/hyperlink" Target="https://africanmarketingconfederation.org/education/" TargetMode="External" Id="rId734"/><Relationship Type="http://schemas.openxmlformats.org/officeDocument/2006/relationships/hyperlink" Target="#Links!A1" TargetMode="External" Id="rId735"/><Relationship Type="http://schemas.openxmlformats.org/officeDocument/2006/relationships/hyperlink" Target="https://africanmarketingconfederation.org/elementor-16548/" TargetMode="External" Id="rId736"/><Relationship Type="http://schemas.openxmlformats.org/officeDocument/2006/relationships/hyperlink" Target="#Main!A1" TargetMode="External" Id="rId737"/><Relationship Type="http://schemas.openxmlformats.org/officeDocument/2006/relationships/hyperlink" Target="https://africanmarketingconfederation.org/elementor-16548/" TargetMode="External" Id="rId738"/><Relationship Type="http://schemas.openxmlformats.org/officeDocument/2006/relationships/hyperlink" Target="#Links!A1" TargetMode="External" Id="rId739"/><Relationship Type="http://schemas.openxmlformats.org/officeDocument/2006/relationships/hyperlink" Target="https://africanmarketingconfederation.org/elementor-20341/" TargetMode="External" Id="rId740"/><Relationship Type="http://schemas.openxmlformats.org/officeDocument/2006/relationships/hyperlink" Target="#Links!A1" TargetMode="External" Id="rId741"/><Relationship Type="http://schemas.openxmlformats.org/officeDocument/2006/relationships/hyperlink" Target="https://africanmarketingconfederation.org/elementor-31820/" TargetMode="External" Id="rId742"/><Relationship Type="http://schemas.openxmlformats.org/officeDocument/2006/relationships/hyperlink" Target="#Main!A1" TargetMode="External" Id="rId743"/><Relationship Type="http://schemas.openxmlformats.org/officeDocument/2006/relationships/hyperlink" Target="https://africanmarketingconfederation.org/elementor-31820/" TargetMode="External" Id="rId744"/><Relationship Type="http://schemas.openxmlformats.org/officeDocument/2006/relationships/hyperlink" Target="#Links!A1" TargetMode="External" Id="rId745"/><Relationship Type="http://schemas.openxmlformats.org/officeDocument/2006/relationships/hyperlink" Target="https://africanmarketingconfederation.org/general-enquiry-form-thank-you/" TargetMode="External" Id="rId746"/><Relationship Type="http://schemas.openxmlformats.org/officeDocument/2006/relationships/hyperlink" Target="#Links!A1" TargetMode="External" Id="rId747"/><Relationship Type="http://schemas.openxmlformats.org/officeDocument/2006/relationships/hyperlink" Target="https://africanmarketingconfederation.org/launch-event-2026-amc-conference/" TargetMode="External" Id="rId748"/><Relationship Type="http://schemas.openxmlformats.org/officeDocument/2006/relationships/hyperlink" Target="#Main!A1" TargetMode="External" Id="rId749"/><Relationship Type="http://schemas.openxmlformats.org/officeDocument/2006/relationships/hyperlink" Target="https://africanmarketingconfederation.org/launch-event-2026-amc-conference/" TargetMode="External" Id="rId750"/><Relationship Type="http://schemas.openxmlformats.org/officeDocument/2006/relationships/hyperlink" Target="#Links!A1" TargetMode="External" Id="rId751"/><Relationship Type="http://schemas.openxmlformats.org/officeDocument/2006/relationships/hyperlink" Target="https://africanmarketingconfederation.org/members/" TargetMode="External" Id="rId752"/><Relationship Type="http://schemas.openxmlformats.org/officeDocument/2006/relationships/hyperlink" Target="#Main!A1" TargetMode="External" Id="rId753"/><Relationship Type="http://schemas.openxmlformats.org/officeDocument/2006/relationships/hyperlink" Target="https://africanmarketingconfederation.org/members/" TargetMode="External" Id="rId754"/><Relationship Type="http://schemas.openxmlformats.org/officeDocument/2006/relationships/hyperlink" Target="#Links!A1" TargetMode="External" Id="rId755"/><Relationship Type="http://schemas.openxmlformats.org/officeDocument/2006/relationships/hyperlink" Target="https://africanmarketingconfederation.org/news-articles/" TargetMode="External" Id="rId756"/><Relationship Type="http://schemas.openxmlformats.org/officeDocument/2006/relationships/hyperlink" Target="#Links!A1" TargetMode="External" Id="rId757"/><Relationship Type="http://schemas.openxmlformats.org/officeDocument/2006/relationships/hyperlink" Target="https://africanmarketingconfederation.org/privacy-policy/" TargetMode="External" Id="rId758"/><Relationship Type="http://schemas.openxmlformats.org/officeDocument/2006/relationships/hyperlink" Target="#Main!A1" TargetMode="External" Id="rId759"/><Relationship Type="http://schemas.openxmlformats.org/officeDocument/2006/relationships/hyperlink" Target="https://africanmarketingconfederation.org/privacy-policy/" TargetMode="External" Id="rId760"/><Relationship Type="http://schemas.openxmlformats.org/officeDocument/2006/relationships/hyperlink" Target="#Links!A1" TargetMode="External" Id="rId761"/><Relationship Type="http://schemas.openxmlformats.org/officeDocument/2006/relationships/hyperlink" Target="https://africanmarketingconfederation.org/publication-download-list/" TargetMode="External" Id="rId762"/><Relationship Type="http://schemas.openxmlformats.org/officeDocument/2006/relationships/hyperlink" Target="#Main!A1" TargetMode="External" Id="rId763"/><Relationship Type="http://schemas.openxmlformats.org/officeDocument/2006/relationships/hyperlink" Target="https://africanmarketingconfederation.org/publication-download-list/" TargetMode="External" Id="rId764"/><Relationship Type="http://schemas.openxmlformats.org/officeDocument/2006/relationships/hyperlink" Target="#Links!A1" TargetMode="External" Id="rId765"/><Relationship Type="http://schemas.openxmlformats.org/officeDocument/2006/relationships/hyperlink" Target="https://africanmarketingconfederation.org/publications-2/" TargetMode="External" Id="rId766"/><Relationship Type="http://schemas.openxmlformats.org/officeDocument/2006/relationships/hyperlink" Target="#Links!A1" TargetMode="External" Id="rId767"/><Relationship Type="http://schemas.openxmlformats.org/officeDocument/2006/relationships/hyperlink" Target="https://africanmarketingconfederation.org/speakers-2025/" TargetMode="External" Id="rId768"/><Relationship Type="http://schemas.openxmlformats.org/officeDocument/2006/relationships/hyperlink" Target="#Links!A1" TargetMode="External" Id="rId769"/><Relationship Type="http://schemas.openxmlformats.org/officeDocument/2006/relationships/hyperlink" Target="https://africanmarketingconfederation.org/speakers/" TargetMode="External" Id="rId770"/><Relationship Type="http://schemas.openxmlformats.org/officeDocument/2006/relationships/hyperlink" Target="#Main!A1" TargetMode="External" Id="rId771"/><Relationship Type="http://schemas.openxmlformats.org/officeDocument/2006/relationships/hyperlink" Target="https://africanmarketingconfederation.org/speakers/" TargetMode="External" Id="rId772"/><Relationship Type="http://schemas.openxmlformats.org/officeDocument/2006/relationships/hyperlink" Target="#Links!A1" TargetMode="External" Id="rId773"/><Relationship Type="http://schemas.openxmlformats.org/officeDocument/2006/relationships/hyperlink" Target="https://africanmarketingconfederation.org/sub-committees/" TargetMode="External" Id="rId774"/><Relationship Type="http://schemas.openxmlformats.org/officeDocument/2006/relationships/hyperlink" Target="#Main!A1" TargetMode="External" Id="rId775"/><Relationship Type="http://schemas.openxmlformats.org/officeDocument/2006/relationships/hyperlink" Target="https://africanmarketingconfederation.org/sub-committees/" TargetMode="External" Id="rId776"/><Relationship Type="http://schemas.openxmlformats.org/officeDocument/2006/relationships/hyperlink" Target="#Links!A1" TargetMode="External" Id="rId777"/><Relationship Type="http://schemas.openxmlformats.org/officeDocument/2006/relationships/hyperlink" Target="https://africanmarketingconfederation.org/subscribe/" TargetMode="External" Id="rId778"/><Relationship Type="http://schemas.openxmlformats.org/officeDocument/2006/relationships/hyperlink" Target="#Main!A1" TargetMode="External" Id="rId779"/><Relationship Type="http://schemas.openxmlformats.org/officeDocument/2006/relationships/hyperlink" Target="https://africanmarketingconfederation.org/subscribe/" TargetMode="External" Id="rId780"/><Relationship Type="http://schemas.openxmlformats.org/officeDocument/2006/relationships/hyperlink" Target="#Links!A1" TargetMode="External" Id="rId781"/><Relationship Type="http://schemas.openxmlformats.org/officeDocument/2006/relationships/hyperlink" Target="https://africanmarketingconfederation.org/test-homeslider/" TargetMode="External" Id="rId782"/><Relationship Type="http://schemas.openxmlformats.org/officeDocument/2006/relationships/hyperlink" Target="#Main!A1" TargetMode="External" Id="rId783"/><Relationship Type="http://schemas.openxmlformats.org/officeDocument/2006/relationships/hyperlink" Target="https://africanmarketingconfederation.org/test-homeslider/" TargetMode="External" Id="rId784"/><Relationship Type="http://schemas.openxmlformats.org/officeDocument/2006/relationships/hyperlink" Target="#Links!A1" TargetMode="External" Id="rId785"/><Relationship Type="http://schemas.openxmlformats.org/officeDocument/2006/relationships/hyperlink" Target="https://africanmarketingconfederation.org/test-payment-gate/" TargetMode="External" Id="rId786"/><Relationship Type="http://schemas.openxmlformats.org/officeDocument/2006/relationships/hyperlink" Target="#Main!A1" TargetMode="External" Id="rId787"/><Relationship Type="http://schemas.openxmlformats.org/officeDocument/2006/relationships/hyperlink" Target="https://africanmarketingconfederation.org/test-payment-gate/" TargetMode="External" Id="rId788"/><Relationship Type="http://schemas.openxmlformats.org/officeDocument/2006/relationships/hyperlink" Target="#Links!A1" TargetMode="External" Id="rId789"/><Relationship Type="http://schemas.openxmlformats.org/officeDocument/2006/relationships/hyperlink" Target="https://africanmarketingconfederation.org/thank-you-for-registering-2024-registrations-kenya/" TargetMode="External" Id="rId790"/><Relationship Type="http://schemas.openxmlformats.org/officeDocument/2006/relationships/hyperlink" Target="#Main!A1" TargetMode="External" Id="rId791"/><Relationship Type="http://schemas.openxmlformats.org/officeDocument/2006/relationships/hyperlink" Target="https://africanmarketingconfederation.org/thank-you-for-registering-2024-registrations-kenya/" TargetMode="External" Id="rId792"/><Relationship Type="http://schemas.openxmlformats.org/officeDocument/2006/relationships/hyperlink" Target="#Links!A1" TargetMode="External" Id="rId793"/><Relationship Type="http://schemas.openxmlformats.org/officeDocument/2006/relationships/hyperlink" Target="https://africanmarketingconfederation.org/thank-you-for-registering-2024-registrations/" TargetMode="External" Id="rId794"/><Relationship Type="http://schemas.openxmlformats.org/officeDocument/2006/relationships/hyperlink" Target="#Main!A1" TargetMode="External" Id="rId795"/><Relationship Type="http://schemas.openxmlformats.org/officeDocument/2006/relationships/hyperlink" Target="https://africanmarketingconfederation.org/thank-you-for-registering-2024-registrations/" TargetMode="External" Id="rId796"/><Relationship Type="http://schemas.openxmlformats.org/officeDocument/2006/relationships/hyperlink" Target="#Links!A1" TargetMode="External" Id="rId797"/><Relationship Type="http://schemas.openxmlformats.org/officeDocument/2006/relationships/hyperlink" Target="https://africanmarketingconfederation.org/thank-you-for-subscribing/" TargetMode="External" Id="rId798"/><Relationship Type="http://schemas.openxmlformats.org/officeDocument/2006/relationships/hyperlink" Target="#Main!A1" TargetMode="External" Id="rId799"/><Relationship Type="http://schemas.openxmlformats.org/officeDocument/2006/relationships/hyperlink" Target="https://africanmarketingconfederation.org/thank-you-for-subscribing/" TargetMode="External" Id="rId800"/><Relationship Type="http://schemas.openxmlformats.org/officeDocument/2006/relationships/hyperlink" Target="#Links!A1" TargetMode="External" Id="rId801"/><Relationship Type="http://schemas.openxmlformats.org/officeDocument/2006/relationships/hyperlink" Target="https://africanmarketingconfederation.org/thank-you-for-the-nomination-2024/" TargetMode="External" Id="rId802"/><Relationship Type="http://schemas.openxmlformats.org/officeDocument/2006/relationships/hyperlink" Target="#Main!A1" TargetMode="External" Id="rId803"/><Relationship Type="http://schemas.openxmlformats.org/officeDocument/2006/relationships/hyperlink" Target="https://africanmarketingconfederation.org/thank-you-for-the-nomination-2024/" TargetMode="External" Id="rId804"/><Relationship Type="http://schemas.openxmlformats.org/officeDocument/2006/relationships/hyperlink" Target="#Links!A1" TargetMode="External" Id="rId805"/><Relationship Type="http://schemas.openxmlformats.org/officeDocument/2006/relationships/hyperlink" Target="https://africanmarketingconfederation.org/thank-you-for-the-submission-2024/" TargetMode="External" Id="rId806"/><Relationship Type="http://schemas.openxmlformats.org/officeDocument/2006/relationships/hyperlink" Target="#Main!A1" TargetMode="External" Id="rId807"/><Relationship Type="http://schemas.openxmlformats.org/officeDocument/2006/relationships/hyperlink" Target="https://africanmarketingconfederation.org/thank-you-for-the-submission-2024/" TargetMode="External" Id="rId808"/><Relationship Type="http://schemas.openxmlformats.org/officeDocument/2006/relationships/hyperlink" Target="#Links!A1" TargetMode="External" Id="rId809"/><Relationship Type="http://schemas.openxmlformats.org/officeDocument/2006/relationships/hyperlink" Target="https://africanmarketingconfederation.org/upcoming-events/" TargetMode="External" Id="rId810"/><Relationship Type="http://schemas.openxmlformats.org/officeDocument/2006/relationships/hyperlink" Target="#Main!A1" TargetMode="External" Id="rId811"/><Relationship Type="http://schemas.openxmlformats.org/officeDocument/2006/relationships/hyperlink" Target="https://africanmarketingconfederation.org/upcoming-events/" TargetMode="External" Id="rId812"/><Relationship Type="http://schemas.openxmlformats.org/officeDocument/2006/relationships/hyperlink" Target="#Links!A1" TargetMode="External" Id="rId813"/><Relationship Type="http://schemas.openxmlformats.org/officeDocument/2006/relationships/hyperlink" Target="https://africanmarketingconfederation.org/virtual-programme/" TargetMode="External" Id="rId814"/><Relationship Type="http://schemas.openxmlformats.org/officeDocument/2006/relationships/hyperlink" Target="#Main!A1" TargetMode="External" Id="rId815"/><Relationship Type="http://schemas.openxmlformats.org/officeDocument/2006/relationships/hyperlink" Target="https://africanmarketingconfederation.org/virtual-programme/" TargetMode="External" Id="rId816"/><Relationship Type="http://schemas.openxmlformats.org/officeDocument/2006/relationships/hyperlink" Target="#Links!A1" TargetMode="External" Id="rId817"/><Relationship Type="http://schemas.openxmlformats.org/officeDocument/2006/relationships/hyperlink" Target="https://africanmarketingconfederation.org/" TargetMode="External" Id="rId818"/><Relationship Type="http://schemas.openxmlformats.org/officeDocument/2006/relationships/hyperlink" Target="#AEO!A1" TargetMode="External" Id="rId819"/><Relationship Type="http://schemas.openxmlformats.org/officeDocument/2006/relationships/hyperlink" Target="https://africanmarketingconfederation.org/about-us/" TargetMode="External" Id="rId820"/><Relationship Type="http://schemas.openxmlformats.org/officeDocument/2006/relationships/hyperlink" Target="#AEO!A1" TargetMode="External" Id="rId821"/><Relationship Type="http://schemas.openxmlformats.org/officeDocument/2006/relationships/hyperlink" Target="https://africanmarketingconfederation.org/african-marketing-confederation-tourism-chapter/" TargetMode="External" Id="rId822"/><Relationship Type="http://schemas.openxmlformats.org/officeDocument/2006/relationships/hyperlink" Target="#AEO!A1" TargetMode="External" Id="rId823"/><Relationship Type="http://schemas.openxmlformats.org/officeDocument/2006/relationships/hyperlink" Target="https://africanmarketingconfederation.org/amc-awards-2024/" TargetMode="External" Id="rId824"/><Relationship Type="http://schemas.openxmlformats.org/officeDocument/2006/relationships/hyperlink" Target="#AEO!A1" TargetMode="External" Id="rId825"/><Relationship Type="http://schemas.openxmlformats.org/officeDocument/2006/relationships/hyperlink" Target="https://africanmarketingconfederation.org/amc-conference-2022-prospectus/" TargetMode="External" Id="rId826"/><Relationship Type="http://schemas.openxmlformats.org/officeDocument/2006/relationships/hyperlink" Target="#AEO!A1" TargetMode="External" Id="rId827"/><Relationship Type="http://schemas.openxmlformats.org/officeDocument/2006/relationships/hyperlink" Target="https://africanmarketingconfederation.org/amc-conference-2022-thank-you/" TargetMode="External" Id="rId828"/><Relationship Type="http://schemas.openxmlformats.org/officeDocument/2006/relationships/hyperlink" Target="#AEO!A1" TargetMode="External" Id="rId829"/><Relationship Type="http://schemas.openxmlformats.org/officeDocument/2006/relationships/hyperlink" Target="https://africanmarketingconfederation.org/amc-conference-2022/" TargetMode="External" Id="rId830"/><Relationship Type="http://schemas.openxmlformats.org/officeDocument/2006/relationships/hyperlink" Target="#AEO!A1" TargetMode="External" Id="rId831"/><Relationship Type="http://schemas.openxmlformats.org/officeDocument/2006/relationships/hyperlink" Target="https://africanmarketingconfederation.org/amc-conference-2023/" TargetMode="External" Id="rId832"/><Relationship Type="http://schemas.openxmlformats.org/officeDocument/2006/relationships/hyperlink" Target="#AEO!A1" TargetMode="External" Id="rId833"/><Relationship Type="http://schemas.openxmlformats.org/officeDocument/2006/relationships/hyperlink" Target="https://africanmarketingconfederation.org/amc-conference-2023/amc-awards-book-now/" TargetMode="External" Id="rId834"/><Relationship Type="http://schemas.openxmlformats.org/officeDocument/2006/relationships/hyperlink" Target="#AEO!A1" TargetMode="External" Id="rId835"/><Relationship Type="http://schemas.openxmlformats.org/officeDocument/2006/relationships/hyperlink" Target="https://africanmarketingconfederation.org/amc-conference-2023/amc-awards/" TargetMode="External" Id="rId836"/><Relationship Type="http://schemas.openxmlformats.org/officeDocument/2006/relationships/hyperlink" Target="#AEO!A1" TargetMode="External" Id="rId837"/><Relationship Type="http://schemas.openxmlformats.org/officeDocument/2006/relationships/hyperlink" Target="https://africanmarketingconfederation.org/amc-conference-2023/book-now-thank-you/" TargetMode="External" Id="rId838"/><Relationship Type="http://schemas.openxmlformats.org/officeDocument/2006/relationships/hyperlink" Target="#AEO!A1" TargetMode="External" Id="rId839"/><Relationship Type="http://schemas.openxmlformats.org/officeDocument/2006/relationships/hyperlink" Target="https://africanmarketingconfederation.org/amc-conference-2023/book-now/" TargetMode="External" Id="rId840"/><Relationship Type="http://schemas.openxmlformats.org/officeDocument/2006/relationships/hyperlink" Target="#AEO!A1" TargetMode="External" Id="rId841"/><Relationship Type="http://schemas.openxmlformats.org/officeDocument/2006/relationships/hyperlink" Target="https://africanmarketingconfederation.org/amc-conference-2023/download-prospectus/" TargetMode="External" Id="rId842"/><Relationship Type="http://schemas.openxmlformats.org/officeDocument/2006/relationships/hyperlink" Target="#AEO!A1" TargetMode="External" Id="rId843"/><Relationship Type="http://schemas.openxmlformats.org/officeDocument/2006/relationships/hyperlink" Target="https://africanmarketingconfederation.org/amc-conference-2023/gallery/" TargetMode="External" Id="rId844"/><Relationship Type="http://schemas.openxmlformats.org/officeDocument/2006/relationships/hyperlink" Target="#AEO!A1" TargetMode="External" Id="rId845"/><Relationship Type="http://schemas.openxmlformats.org/officeDocument/2006/relationships/hyperlink" Target="https://africanmarketingconfederation.org/amc-conference-2023/partners/" TargetMode="External" Id="rId846"/><Relationship Type="http://schemas.openxmlformats.org/officeDocument/2006/relationships/hyperlink" Target="#AEO!A1" TargetMode="External" Id="rId847"/><Relationship Type="http://schemas.openxmlformats.org/officeDocument/2006/relationships/hyperlink" Target="https://africanmarketingconfederation.org/amc-conference-2023/programme/" TargetMode="External" Id="rId848"/><Relationship Type="http://schemas.openxmlformats.org/officeDocument/2006/relationships/hyperlink" Target="#AEO!A1" TargetMode="External" Id="rId849"/><Relationship Type="http://schemas.openxmlformats.org/officeDocument/2006/relationships/hyperlink" Target="https://africanmarketingconfederation.org/amc-conference-2023/speakers/" TargetMode="External" Id="rId850"/><Relationship Type="http://schemas.openxmlformats.org/officeDocument/2006/relationships/hyperlink" Target="#AEO!A1" TargetMode="External" Id="rId851"/><Relationship Type="http://schemas.openxmlformats.org/officeDocument/2006/relationships/hyperlink" Target="https://africanmarketingconfederation.org/amc-conference-2024-recap/" TargetMode="External" Id="rId852"/><Relationship Type="http://schemas.openxmlformats.org/officeDocument/2006/relationships/hyperlink" Target="#AEO!A1" TargetMode="External" Id="rId853"/><Relationship Type="http://schemas.openxmlformats.org/officeDocument/2006/relationships/hyperlink" Target="https://africanmarketingconfederation.org/amc-conference-2024-sponsors-packages/" TargetMode="External" Id="rId854"/><Relationship Type="http://schemas.openxmlformats.org/officeDocument/2006/relationships/hyperlink" Target="#AEO!A1" TargetMode="External" Id="rId855"/><Relationship Type="http://schemas.openxmlformats.org/officeDocument/2006/relationships/hyperlink" Target="https://africanmarketingconfederation.org/amc-conference-2025-highlights/" TargetMode="External" Id="rId856"/><Relationship Type="http://schemas.openxmlformats.org/officeDocument/2006/relationships/hyperlink" Target="#AEO!A1" TargetMode="External" Id="rId857"/><Relationship Type="http://schemas.openxmlformats.org/officeDocument/2006/relationships/hyperlink" Target="https://africanmarketingconfederation.org/amc-conference-2025/" TargetMode="External" Id="rId858"/><Relationship Type="http://schemas.openxmlformats.org/officeDocument/2006/relationships/hyperlink" Target="#AEO!A1" TargetMode="External" Id="rId859"/><Relationship Type="http://schemas.openxmlformats.org/officeDocument/2006/relationships/hyperlink" Target="https://africanmarketingconfederation.org/amc-conference-2026-awards-nominations-thank-you/" TargetMode="External" Id="rId860"/><Relationship Type="http://schemas.openxmlformats.org/officeDocument/2006/relationships/hyperlink" Target="#AEO!A1" TargetMode="External" Id="rId861"/><Relationship Type="http://schemas.openxmlformats.org/officeDocument/2006/relationships/hyperlink" Target="https://africanmarketingconfederation.org/amc-conference-2026-zambia-thank-you/" TargetMode="External" Id="rId862"/><Relationship Type="http://schemas.openxmlformats.org/officeDocument/2006/relationships/hyperlink" Target="#AEO!A1" TargetMode="External" Id="rId863"/><Relationship Type="http://schemas.openxmlformats.org/officeDocument/2006/relationships/hyperlink" Target="https://africanmarketingconfederation.org/amc-conference-2026/" TargetMode="External" Id="rId864"/><Relationship Type="http://schemas.openxmlformats.org/officeDocument/2006/relationships/hyperlink" Target="#AEO!A1" TargetMode="External" Id="rId865"/><Relationship Type="http://schemas.openxmlformats.org/officeDocument/2006/relationships/hyperlink" Target="https://africanmarketingconfederation.org/amc-conference-programme/" TargetMode="External" Id="rId866"/><Relationship Type="http://schemas.openxmlformats.org/officeDocument/2006/relationships/hyperlink" Target="#AEO!A1" TargetMode="External" Id="rId867"/><Relationship Type="http://schemas.openxmlformats.org/officeDocument/2006/relationships/hyperlink" Target="https://africanmarketingconfederation.org/amc-conference-sponsors/" TargetMode="External" Id="rId868"/><Relationship Type="http://schemas.openxmlformats.org/officeDocument/2006/relationships/hyperlink" Target="#AEO!A1" TargetMode="External" Id="rId869"/><Relationship Type="http://schemas.openxmlformats.org/officeDocument/2006/relationships/hyperlink" Target="https://africanmarketingconfederation.org/amc-conference-thank-you/" TargetMode="External" Id="rId870"/><Relationship Type="http://schemas.openxmlformats.org/officeDocument/2006/relationships/hyperlink" Target="#AEO!A1" TargetMode="External" Id="rId871"/><Relationship Type="http://schemas.openxmlformats.org/officeDocument/2006/relationships/hyperlink" Target="https://africanmarketingconfederation.org/amc-forum-mombasa/" TargetMode="External" Id="rId872"/><Relationship Type="http://schemas.openxmlformats.org/officeDocument/2006/relationships/hyperlink" Target="#AEO!A1" TargetMode="External" Id="rId873"/><Relationship Type="http://schemas.openxmlformats.org/officeDocument/2006/relationships/hyperlink" Target="https://africanmarketingconfederation.org/amc-forum-payments/" TargetMode="External" Id="rId874"/><Relationship Type="http://schemas.openxmlformats.org/officeDocument/2006/relationships/hyperlink" Target="#AEO!A1" TargetMode="External" Id="rId875"/><Relationship Type="http://schemas.openxmlformats.org/officeDocument/2006/relationships/hyperlink" Target="https://africanmarketingconfederation.org/amc-launch-event-zambia-thank-you-2026/" TargetMode="External" Id="rId876"/><Relationship Type="http://schemas.openxmlformats.org/officeDocument/2006/relationships/hyperlink" Target="#AEO!A1" TargetMode="External" Id="rId877"/><Relationship Type="http://schemas.openxmlformats.org/officeDocument/2006/relationships/hyperlink" Target="https://africanmarketingconfederation.org/amc-marketing-conference-2024/" TargetMode="External" Id="rId878"/><Relationship Type="http://schemas.openxmlformats.org/officeDocument/2006/relationships/hyperlink" Target="#AEO!A1" TargetMode="External" Id="rId879"/><Relationship Type="http://schemas.openxmlformats.org/officeDocument/2006/relationships/hyperlink" Target="https://africanmarketingconfederation.org/amc-marketing-conference-2024/amc-conference-2025-ghana-sponsors/" TargetMode="External" Id="rId880"/><Relationship Type="http://schemas.openxmlformats.org/officeDocument/2006/relationships/hyperlink" Target="#AEO!A1" TargetMode="External" Id="rId881"/><Relationship Type="http://schemas.openxmlformats.org/officeDocument/2006/relationships/hyperlink" Target="https://africanmarketingconfederation.org/amc-marketing-conference-2024/amc-launch-event-2025/" TargetMode="External" Id="rId882"/><Relationship Type="http://schemas.openxmlformats.org/officeDocument/2006/relationships/hyperlink" Target="#AEO!A1" TargetMode="External" Id="rId883"/><Relationship Type="http://schemas.openxmlformats.org/officeDocument/2006/relationships/hyperlink" Target="https://africanmarketingconfederation.org/amc-marketing-conference-2024/amc-preregister-2025/" TargetMode="External" Id="rId884"/><Relationship Type="http://schemas.openxmlformats.org/officeDocument/2006/relationships/hyperlink" Target="#AEO!A1" TargetMode="External" Id="rId885"/><Relationship Type="http://schemas.openxmlformats.org/officeDocument/2006/relationships/hyperlink" Target="https://africanmarketingconfederation.org/amc-marketing-conference-2024/amc-programme-2025/" TargetMode="External" Id="rId886"/><Relationship Type="http://schemas.openxmlformats.org/officeDocument/2006/relationships/hyperlink" Target="#AEO!A1" TargetMode="External" Id="rId887"/><Relationship Type="http://schemas.openxmlformats.org/officeDocument/2006/relationships/hyperlink" Target="https://africanmarketingconfederation.org/amc-marketing-conference-2024/amc-speakers-presentations-2024/" TargetMode="External" Id="rId888"/><Relationship Type="http://schemas.openxmlformats.org/officeDocument/2006/relationships/hyperlink" Target="#AEO!A1" TargetMode="External" Id="rId889"/><Relationship Type="http://schemas.openxmlformats.org/officeDocument/2006/relationships/hyperlink" Target="https://africanmarketingconfederation.org/amc-marketing-conference-2024/awards-2025/" TargetMode="External" Id="rId890"/><Relationship Type="http://schemas.openxmlformats.org/officeDocument/2006/relationships/hyperlink" Target="#AEO!A1" TargetMode="External" Id="rId891"/><Relationship Type="http://schemas.openxmlformats.org/officeDocument/2006/relationships/hyperlink" Target="https://africanmarketingconfederation.org/amc-marketing-conference-2024/programme-2024/" TargetMode="External" Id="rId892"/><Relationship Type="http://schemas.openxmlformats.org/officeDocument/2006/relationships/hyperlink" Target="#AEO!A1" TargetMode="External" Id="rId893"/><Relationship Type="http://schemas.openxmlformats.org/officeDocument/2006/relationships/hyperlink" Target="https://africanmarketingconfederation.org/amc-marketing-conference-2024/speakers-2024/" TargetMode="External" Id="rId894"/><Relationship Type="http://schemas.openxmlformats.org/officeDocument/2006/relationships/hyperlink" Target="#AEO!A1" TargetMode="External" Id="rId895"/><Relationship Type="http://schemas.openxmlformats.org/officeDocument/2006/relationships/hyperlink" Target="https://africanmarketingconfederation.org/amc-marketing-conference-2024/testimony-thank-you-page/" TargetMode="External" Id="rId896"/><Relationship Type="http://schemas.openxmlformats.org/officeDocument/2006/relationships/hyperlink" Target="#AEO!A1" TargetMode="External" Id="rId897"/><Relationship Type="http://schemas.openxmlformats.org/officeDocument/2006/relationships/hyperlink" Target="https://africanmarketingconfederation.org/amc-masterclass-bookings/" TargetMode="External" Id="rId898"/><Relationship Type="http://schemas.openxmlformats.org/officeDocument/2006/relationships/hyperlink" Target="#AEO!A1" TargetMode="External" Id="rId899"/><Relationship Type="http://schemas.openxmlformats.org/officeDocument/2006/relationships/hyperlink" Target="https://africanmarketingconfederation.org/amc-masterclass-thank-you/" TargetMode="External" Id="rId900"/><Relationship Type="http://schemas.openxmlformats.org/officeDocument/2006/relationships/hyperlink" Target="#AEO!A1" TargetMode="External" Id="rId901"/><Relationship Type="http://schemas.openxmlformats.org/officeDocument/2006/relationships/hyperlink" Target="https://africanmarketingconfederation.org/amc-masterclass/" TargetMode="External" Id="rId902"/><Relationship Type="http://schemas.openxmlformats.org/officeDocument/2006/relationships/hyperlink" Target="#AEO!A1" TargetMode="External" Id="rId903"/><Relationship Type="http://schemas.openxmlformats.org/officeDocument/2006/relationships/hyperlink" Target="https://africanmarketingconfederation.org/amc-relaunch-programme/" TargetMode="External" Id="rId904"/><Relationship Type="http://schemas.openxmlformats.org/officeDocument/2006/relationships/hyperlink" Target="#AEO!A1" TargetMode="External" Id="rId905"/><Relationship Type="http://schemas.openxmlformats.org/officeDocument/2006/relationships/hyperlink" Target="https://africanmarketingconfederation.org/amc-sign-up-now-form-2025/" TargetMode="External" Id="rId906"/><Relationship Type="http://schemas.openxmlformats.org/officeDocument/2006/relationships/hyperlink" Target="#AEO!A1" TargetMode="External" Id="rId907"/><Relationship Type="http://schemas.openxmlformats.org/officeDocument/2006/relationships/hyperlink" Target="https://africanmarketingconfederation.org/amc-sponsors-2025/" TargetMode="External" Id="rId908"/><Relationship Type="http://schemas.openxmlformats.org/officeDocument/2006/relationships/hyperlink" Target="#AEO!A1" TargetMode="External" Id="rId909"/><Relationship Type="http://schemas.openxmlformats.org/officeDocument/2006/relationships/hyperlink" Target="https://africanmarketingconfederation.org/amc-testimony-page-2024/" TargetMode="External" Id="rId910"/><Relationship Type="http://schemas.openxmlformats.org/officeDocument/2006/relationships/hyperlink" Target="#AEO!A1" TargetMode="External" Id="rId911"/><Relationship Type="http://schemas.openxmlformats.org/officeDocument/2006/relationships/hyperlink" Target="https://africanmarketingconfederation.org/awards-2026-1/" TargetMode="External" Id="rId912"/><Relationship Type="http://schemas.openxmlformats.org/officeDocument/2006/relationships/hyperlink" Target="#AEO!A1" TargetMode="External" Id="rId913"/><Relationship Type="http://schemas.openxmlformats.org/officeDocument/2006/relationships/hyperlink" Target="https://africanmarketingconfederation.org/awards-2026-test/" TargetMode="External" Id="rId914"/><Relationship Type="http://schemas.openxmlformats.org/officeDocument/2006/relationships/hyperlink" Target="#AEO!A1" TargetMode="External" Id="rId915"/><Relationship Type="http://schemas.openxmlformats.org/officeDocument/2006/relationships/hyperlink" Target="https://africanmarketingconfederation.org/awards-2026/" TargetMode="External" Id="rId916"/><Relationship Type="http://schemas.openxmlformats.org/officeDocument/2006/relationships/hyperlink" Target="#AEO!A1" TargetMode="External" Id="rId917"/><Relationship Type="http://schemas.openxmlformats.org/officeDocument/2006/relationships/hyperlink" Target="https://africanmarketingconfederation.org/certified-professional-marketer-africa/" TargetMode="External" Id="rId918"/><Relationship Type="http://schemas.openxmlformats.org/officeDocument/2006/relationships/hyperlink" Target="#AEO!A1" TargetMode="External" Id="rId919"/><Relationship Type="http://schemas.openxmlformats.org/officeDocument/2006/relationships/hyperlink" Target="https://africanmarketingconfederation.org/chartered-marketer-africa-final-submission-fee/" TargetMode="External" Id="rId920"/><Relationship Type="http://schemas.openxmlformats.org/officeDocument/2006/relationships/hyperlink" Target="#AEO!A1" TargetMode="External" Id="rId921"/><Relationship Type="http://schemas.openxmlformats.org/officeDocument/2006/relationships/hyperlink" Target="https://africanmarketingconfederation.org/chartered-marketer-africa-programme-fee/" TargetMode="External" Id="rId922"/><Relationship Type="http://schemas.openxmlformats.org/officeDocument/2006/relationships/hyperlink" Target="#AEO!A1" TargetMode="External" Id="rId923"/><Relationship Type="http://schemas.openxmlformats.org/officeDocument/2006/relationships/hyperlink" Target="https://africanmarketingconfederation.org/chartered-marketer-africa-thank-you/" TargetMode="External" Id="rId924"/><Relationship Type="http://schemas.openxmlformats.org/officeDocument/2006/relationships/hyperlink" Target="#AEO!A1" TargetMode="External" Id="rId925"/><Relationship Type="http://schemas.openxmlformats.org/officeDocument/2006/relationships/hyperlink" Target="https://africanmarketingconfederation.org/chartered-marketer-africa/" TargetMode="External" Id="rId926"/><Relationship Type="http://schemas.openxmlformats.org/officeDocument/2006/relationships/hyperlink" Target="#AEO!A1" TargetMode="External" Id="rId927"/><Relationship Type="http://schemas.openxmlformats.org/officeDocument/2006/relationships/hyperlink" Target="https://africanmarketingconfederation.org/checkout/" TargetMode="External" Id="rId928"/><Relationship Type="http://schemas.openxmlformats.org/officeDocument/2006/relationships/hyperlink" Target="#AEO!A1" TargetMode="External" Id="rId929"/><Relationship Type="http://schemas.openxmlformats.org/officeDocument/2006/relationships/hyperlink" Target="https://africanmarketingconfederation.org/conference-faq-2025/" TargetMode="External" Id="rId930"/><Relationship Type="http://schemas.openxmlformats.org/officeDocument/2006/relationships/hyperlink" Target="#AEO!A1" TargetMode="External" Id="rId931"/><Relationship Type="http://schemas.openxmlformats.org/officeDocument/2006/relationships/hyperlink" Target="https://africanmarketingconfederation.org/conference-registrations-2024/" TargetMode="External" Id="rId932"/><Relationship Type="http://schemas.openxmlformats.org/officeDocument/2006/relationships/hyperlink" Target="#AEO!A1" TargetMode="External" Id="rId933"/><Relationship Type="http://schemas.openxmlformats.org/officeDocument/2006/relationships/hyperlink" Target="https://africanmarketingconfederation.org/contact-us/" TargetMode="External" Id="rId934"/><Relationship Type="http://schemas.openxmlformats.org/officeDocument/2006/relationships/hyperlink" Target="#AEO!A1" TargetMode="External" Id="rId935"/><Relationship Type="http://schemas.openxmlformats.org/officeDocument/2006/relationships/hyperlink" Target="https://africanmarketingconfederation.org/download-brochure/" TargetMode="External" Id="rId936"/><Relationship Type="http://schemas.openxmlformats.org/officeDocument/2006/relationships/hyperlink" Target="#AEO!A1" TargetMode="External" Id="rId937"/><Relationship Type="http://schemas.openxmlformats.org/officeDocument/2006/relationships/hyperlink" Target="https://africanmarketingconfederation.org/download-prospectus-2024/" TargetMode="External" Id="rId938"/><Relationship Type="http://schemas.openxmlformats.org/officeDocument/2006/relationships/hyperlink" Target="#AEO!A1" TargetMode="External" Id="rId939"/><Relationship Type="http://schemas.openxmlformats.org/officeDocument/2006/relationships/hyperlink" Target="https://africanmarketingconfederation.org/education/" TargetMode="External" Id="rId940"/><Relationship Type="http://schemas.openxmlformats.org/officeDocument/2006/relationships/hyperlink" Target="#AEO!A1" TargetMode="External" Id="rId941"/><Relationship Type="http://schemas.openxmlformats.org/officeDocument/2006/relationships/hyperlink" Target="https://africanmarketingconfederation.org/elementor-16548/" TargetMode="External" Id="rId942"/><Relationship Type="http://schemas.openxmlformats.org/officeDocument/2006/relationships/hyperlink" Target="#AEO!A1" TargetMode="External" Id="rId943"/><Relationship Type="http://schemas.openxmlformats.org/officeDocument/2006/relationships/hyperlink" Target="https://africanmarketingconfederation.org/elementor-20341/" TargetMode="External" Id="rId944"/><Relationship Type="http://schemas.openxmlformats.org/officeDocument/2006/relationships/hyperlink" Target="#AEO!A1" TargetMode="External" Id="rId945"/><Relationship Type="http://schemas.openxmlformats.org/officeDocument/2006/relationships/hyperlink" Target="https://africanmarketingconfederation.org/elementor-31820/" TargetMode="External" Id="rId946"/><Relationship Type="http://schemas.openxmlformats.org/officeDocument/2006/relationships/hyperlink" Target="#AEO!A1" TargetMode="External" Id="rId947"/><Relationship Type="http://schemas.openxmlformats.org/officeDocument/2006/relationships/hyperlink" Target="https://africanmarketingconfederation.org/general-enquiry-form-thank-you/" TargetMode="External" Id="rId948"/><Relationship Type="http://schemas.openxmlformats.org/officeDocument/2006/relationships/hyperlink" Target="#AEO!A1" TargetMode="External" Id="rId949"/><Relationship Type="http://schemas.openxmlformats.org/officeDocument/2006/relationships/hyperlink" Target="https://africanmarketingconfederation.org/launch-event-2026-amc-conference/" TargetMode="External" Id="rId950"/><Relationship Type="http://schemas.openxmlformats.org/officeDocument/2006/relationships/hyperlink" Target="#AEO!A1" TargetMode="External" Id="rId951"/><Relationship Type="http://schemas.openxmlformats.org/officeDocument/2006/relationships/hyperlink" Target="https://africanmarketingconfederation.org/members/" TargetMode="External" Id="rId952"/><Relationship Type="http://schemas.openxmlformats.org/officeDocument/2006/relationships/hyperlink" Target="#AEO!A1" TargetMode="External" Id="rId953"/><Relationship Type="http://schemas.openxmlformats.org/officeDocument/2006/relationships/hyperlink" Target="https://africanmarketingconfederation.org/news-articles/" TargetMode="External" Id="rId954"/><Relationship Type="http://schemas.openxmlformats.org/officeDocument/2006/relationships/hyperlink" Target="#AEO!A1" TargetMode="External" Id="rId955"/><Relationship Type="http://schemas.openxmlformats.org/officeDocument/2006/relationships/hyperlink" Target="https://africanmarketingconfederation.org/privacy-policy/" TargetMode="External" Id="rId956"/><Relationship Type="http://schemas.openxmlformats.org/officeDocument/2006/relationships/hyperlink" Target="#AEO!A1" TargetMode="External" Id="rId957"/><Relationship Type="http://schemas.openxmlformats.org/officeDocument/2006/relationships/hyperlink" Target="https://africanmarketingconfederation.org/publication-download-list/" TargetMode="External" Id="rId958"/><Relationship Type="http://schemas.openxmlformats.org/officeDocument/2006/relationships/hyperlink" Target="#AEO!A1" TargetMode="External" Id="rId959"/><Relationship Type="http://schemas.openxmlformats.org/officeDocument/2006/relationships/hyperlink" Target="https://africanmarketingconfederation.org/publications-2/" TargetMode="External" Id="rId960"/><Relationship Type="http://schemas.openxmlformats.org/officeDocument/2006/relationships/hyperlink" Target="#AEO!A1" TargetMode="External" Id="rId961"/><Relationship Type="http://schemas.openxmlformats.org/officeDocument/2006/relationships/hyperlink" Target="https://africanmarketingconfederation.org/speakers-2025/" TargetMode="External" Id="rId962"/><Relationship Type="http://schemas.openxmlformats.org/officeDocument/2006/relationships/hyperlink" Target="#AEO!A1" TargetMode="External" Id="rId963"/><Relationship Type="http://schemas.openxmlformats.org/officeDocument/2006/relationships/hyperlink" Target="https://africanmarketingconfederation.org/speakers/" TargetMode="External" Id="rId964"/><Relationship Type="http://schemas.openxmlformats.org/officeDocument/2006/relationships/hyperlink" Target="#AEO!A1" TargetMode="External" Id="rId965"/><Relationship Type="http://schemas.openxmlformats.org/officeDocument/2006/relationships/hyperlink" Target="https://africanmarketingconfederation.org/sub-committees/" TargetMode="External" Id="rId966"/><Relationship Type="http://schemas.openxmlformats.org/officeDocument/2006/relationships/hyperlink" Target="#AEO!A1" TargetMode="External" Id="rId967"/><Relationship Type="http://schemas.openxmlformats.org/officeDocument/2006/relationships/hyperlink" Target="https://africanmarketingconfederation.org/subscribe/" TargetMode="External" Id="rId968"/><Relationship Type="http://schemas.openxmlformats.org/officeDocument/2006/relationships/hyperlink" Target="#AEO!A1" TargetMode="External" Id="rId969"/><Relationship Type="http://schemas.openxmlformats.org/officeDocument/2006/relationships/hyperlink" Target="https://africanmarketingconfederation.org/test-homeslider/" TargetMode="External" Id="rId970"/><Relationship Type="http://schemas.openxmlformats.org/officeDocument/2006/relationships/hyperlink" Target="#AEO!A1" TargetMode="External" Id="rId971"/><Relationship Type="http://schemas.openxmlformats.org/officeDocument/2006/relationships/hyperlink" Target="https://africanmarketingconfederation.org/test-payment-gate/" TargetMode="External" Id="rId972"/><Relationship Type="http://schemas.openxmlformats.org/officeDocument/2006/relationships/hyperlink" Target="#AEO!A1" TargetMode="External" Id="rId973"/><Relationship Type="http://schemas.openxmlformats.org/officeDocument/2006/relationships/hyperlink" Target="https://africanmarketingconfederation.org/thank-you-for-registering-2024-registrations-kenya/" TargetMode="External" Id="rId974"/><Relationship Type="http://schemas.openxmlformats.org/officeDocument/2006/relationships/hyperlink" Target="#AEO!A1" TargetMode="External" Id="rId975"/><Relationship Type="http://schemas.openxmlformats.org/officeDocument/2006/relationships/hyperlink" Target="https://africanmarketingconfederation.org/thank-you-for-registering-2024-registrations/" TargetMode="External" Id="rId976"/><Relationship Type="http://schemas.openxmlformats.org/officeDocument/2006/relationships/hyperlink" Target="#AEO!A1" TargetMode="External" Id="rId977"/><Relationship Type="http://schemas.openxmlformats.org/officeDocument/2006/relationships/hyperlink" Target="https://africanmarketingconfederation.org/thank-you-for-subscribing/" TargetMode="External" Id="rId978"/><Relationship Type="http://schemas.openxmlformats.org/officeDocument/2006/relationships/hyperlink" Target="#AEO!A1" TargetMode="External" Id="rId979"/><Relationship Type="http://schemas.openxmlformats.org/officeDocument/2006/relationships/hyperlink" Target="https://africanmarketingconfederation.org/thank-you-for-the-nomination-2024/" TargetMode="External" Id="rId980"/><Relationship Type="http://schemas.openxmlformats.org/officeDocument/2006/relationships/hyperlink" Target="#AEO!A1" TargetMode="External" Id="rId981"/><Relationship Type="http://schemas.openxmlformats.org/officeDocument/2006/relationships/hyperlink" Target="https://africanmarketingconfederation.org/thank-you-for-the-submission-2024/" TargetMode="External" Id="rId982"/><Relationship Type="http://schemas.openxmlformats.org/officeDocument/2006/relationships/hyperlink" Target="#AEO!A1" TargetMode="External" Id="rId983"/><Relationship Type="http://schemas.openxmlformats.org/officeDocument/2006/relationships/hyperlink" Target="https://africanmarketingconfederation.org/upcoming-events/" TargetMode="External" Id="rId984"/><Relationship Type="http://schemas.openxmlformats.org/officeDocument/2006/relationships/hyperlink" Target="#AEO!A1" TargetMode="External" Id="rId985"/><Relationship Type="http://schemas.openxmlformats.org/officeDocument/2006/relationships/hyperlink" Target="https://africanmarketingconfederation.org/virtual-programme/" TargetMode="External" Id="rId986"/><Relationship Type="http://schemas.openxmlformats.org/officeDocument/2006/relationships/hyperlink" Target="#AEO!A1" TargetMode="External" Id="rId987"/><Relationship Type="http://schemas.openxmlformats.org/officeDocument/2006/relationships/hyperlink" Target="https://africanmarketingconfederation.org/" TargetMode="External" Id="rId988"/><Relationship Type="http://schemas.openxmlformats.org/officeDocument/2006/relationships/hyperlink" Target="#Content!A1" TargetMode="External" Id="rId989"/><Relationship Type="http://schemas.openxmlformats.org/officeDocument/2006/relationships/hyperlink" Target="https://africanmarketingconfederation.org/" TargetMode="External" Id="rId990"/><Relationship Type="http://schemas.openxmlformats.org/officeDocument/2006/relationships/hyperlink" Target="#AEO!A1" TargetMode="External" Id="rId991"/><Relationship Type="http://schemas.openxmlformats.org/officeDocument/2006/relationships/hyperlink" Target="https://africanmarketingconfederation.org/about-us/" TargetMode="External" Id="rId992"/><Relationship Type="http://schemas.openxmlformats.org/officeDocument/2006/relationships/hyperlink" Target="#AEO!A1" TargetMode="External" Id="rId993"/><Relationship Type="http://schemas.openxmlformats.org/officeDocument/2006/relationships/hyperlink" Target="https://africanmarketingconfederation.org/african-marketing-confederation-tourism-chapter/" TargetMode="External" Id="rId994"/><Relationship Type="http://schemas.openxmlformats.org/officeDocument/2006/relationships/hyperlink" Target="#Content!A1" TargetMode="External" Id="rId995"/><Relationship Type="http://schemas.openxmlformats.org/officeDocument/2006/relationships/hyperlink" Target="https://africanmarketingconfederation.org/african-marketing-confederation-tourism-chapter/" TargetMode="External" Id="rId996"/><Relationship Type="http://schemas.openxmlformats.org/officeDocument/2006/relationships/hyperlink" Target="#AEO!A1" TargetMode="External" Id="rId997"/><Relationship Type="http://schemas.openxmlformats.org/officeDocument/2006/relationships/hyperlink" Target="https://africanmarketingconfederation.org/amc-awards-2024/" TargetMode="External" Id="rId998"/><Relationship Type="http://schemas.openxmlformats.org/officeDocument/2006/relationships/hyperlink" Target="#Content!A1" TargetMode="External" Id="rId999"/><Relationship Type="http://schemas.openxmlformats.org/officeDocument/2006/relationships/hyperlink" Target="https://africanmarketingconfederation.org/amc-awards-2024/" TargetMode="External" Id="rId1000"/><Relationship Type="http://schemas.openxmlformats.org/officeDocument/2006/relationships/hyperlink" Target="#AEO!A1" TargetMode="External" Id="rId1001"/><Relationship Type="http://schemas.openxmlformats.org/officeDocument/2006/relationships/hyperlink" Target="https://africanmarketingconfederation.org/amc-conference-2022-prospectus/" TargetMode="External" Id="rId1002"/><Relationship Type="http://schemas.openxmlformats.org/officeDocument/2006/relationships/hyperlink" Target="#AEO!A1" TargetMode="External" Id="rId1003"/><Relationship Type="http://schemas.openxmlformats.org/officeDocument/2006/relationships/hyperlink" Target="https://africanmarketingconfederation.org/amc-conference-2022-thank-you/" TargetMode="External" Id="rId1004"/><Relationship Type="http://schemas.openxmlformats.org/officeDocument/2006/relationships/hyperlink" Target="#AEO!A1" TargetMode="External" Id="rId1005"/><Relationship Type="http://schemas.openxmlformats.org/officeDocument/2006/relationships/hyperlink" Target="https://africanmarketingconfederation.org/amc-conference-2022/" TargetMode="External" Id="rId1006"/><Relationship Type="http://schemas.openxmlformats.org/officeDocument/2006/relationships/hyperlink" Target="#AEO!A1" TargetMode="External" Id="rId1007"/><Relationship Type="http://schemas.openxmlformats.org/officeDocument/2006/relationships/hyperlink" Target="https://africanmarketingconfederation.org/amc-conference-2023/" TargetMode="External" Id="rId1008"/><Relationship Type="http://schemas.openxmlformats.org/officeDocument/2006/relationships/hyperlink" Target="#AEO!A1" TargetMode="External" Id="rId1009"/><Relationship Type="http://schemas.openxmlformats.org/officeDocument/2006/relationships/hyperlink" Target="https://africanmarketingconfederation.org/amc-conference-2023/amc-awards-book-now/" TargetMode="External" Id="rId1010"/><Relationship Type="http://schemas.openxmlformats.org/officeDocument/2006/relationships/hyperlink" Target="#AEO!A1" TargetMode="External" Id="rId1011"/><Relationship Type="http://schemas.openxmlformats.org/officeDocument/2006/relationships/hyperlink" Target="https://africanmarketingconfederation.org/amc-conference-2023/amc-awards/" TargetMode="External" Id="rId1012"/><Relationship Type="http://schemas.openxmlformats.org/officeDocument/2006/relationships/hyperlink" Target="#AEO!A1" TargetMode="External" Id="rId1013"/><Relationship Type="http://schemas.openxmlformats.org/officeDocument/2006/relationships/hyperlink" Target="https://africanmarketingconfederation.org/amc-conference-2023/book-now-thank-you/" TargetMode="External" Id="rId1014"/><Relationship Type="http://schemas.openxmlformats.org/officeDocument/2006/relationships/hyperlink" Target="#AEO!A1" TargetMode="External" Id="rId1015"/><Relationship Type="http://schemas.openxmlformats.org/officeDocument/2006/relationships/hyperlink" Target="https://africanmarketingconfederation.org/amc-conference-2023/book-now/" TargetMode="External" Id="rId1016"/><Relationship Type="http://schemas.openxmlformats.org/officeDocument/2006/relationships/hyperlink" Target="#AEO!A1" TargetMode="External" Id="rId1017"/><Relationship Type="http://schemas.openxmlformats.org/officeDocument/2006/relationships/hyperlink" Target="https://africanmarketingconfederation.org/amc-conference-2023/download-prospectus/" TargetMode="External" Id="rId1018"/><Relationship Type="http://schemas.openxmlformats.org/officeDocument/2006/relationships/hyperlink" Target="#AEO!A1" TargetMode="External" Id="rId1019"/><Relationship Type="http://schemas.openxmlformats.org/officeDocument/2006/relationships/hyperlink" Target="https://africanmarketingconfederation.org/amc-conference-2023/gallery/" TargetMode="External" Id="rId1020"/><Relationship Type="http://schemas.openxmlformats.org/officeDocument/2006/relationships/hyperlink" Target="#AEO!A1" TargetMode="External" Id="rId1021"/><Relationship Type="http://schemas.openxmlformats.org/officeDocument/2006/relationships/hyperlink" Target="https://africanmarketingconfederation.org/amc-conference-2023/partners/" TargetMode="External" Id="rId1022"/><Relationship Type="http://schemas.openxmlformats.org/officeDocument/2006/relationships/hyperlink" Target="#AEO!A1" TargetMode="External" Id="rId1023"/><Relationship Type="http://schemas.openxmlformats.org/officeDocument/2006/relationships/hyperlink" Target="https://africanmarketingconfederation.org/amc-conference-2023/programme/" TargetMode="External" Id="rId1024"/><Relationship Type="http://schemas.openxmlformats.org/officeDocument/2006/relationships/hyperlink" Target="#AEO!A1" TargetMode="External" Id="rId1025"/><Relationship Type="http://schemas.openxmlformats.org/officeDocument/2006/relationships/hyperlink" Target="https://africanmarketingconfederation.org/amc-conference-2023/speakers/" TargetMode="External" Id="rId1026"/><Relationship Type="http://schemas.openxmlformats.org/officeDocument/2006/relationships/hyperlink" Target="#AEO!A1" TargetMode="External" Id="rId1027"/><Relationship Type="http://schemas.openxmlformats.org/officeDocument/2006/relationships/hyperlink" Target="https://africanmarketingconfederation.org/amc-conference-2024-recap/" TargetMode="External" Id="rId1028"/><Relationship Type="http://schemas.openxmlformats.org/officeDocument/2006/relationships/hyperlink" Target="#Content!A1" TargetMode="External" Id="rId1029"/><Relationship Type="http://schemas.openxmlformats.org/officeDocument/2006/relationships/hyperlink" Target="https://africanmarketingconfederation.org/amc-conference-2024-recap/" TargetMode="External" Id="rId1030"/><Relationship Type="http://schemas.openxmlformats.org/officeDocument/2006/relationships/hyperlink" Target="#AEO!A1" TargetMode="External" Id="rId1031"/><Relationship Type="http://schemas.openxmlformats.org/officeDocument/2006/relationships/hyperlink" Target="https://africanmarketingconfederation.org/amc-conference-2024-sponsors-packages/" TargetMode="External" Id="rId1032"/><Relationship Type="http://schemas.openxmlformats.org/officeDocument/2006/relationships/hyperlink" Target="#AEO!A1" TargetMode="External" Id="rId1033"/><Relationship Type="http://schemas.openxmlformats.org/officeDocument/2006/relationships/hyperlink" Target="https://africanmarketingconfederation.org/amc-conference-2025-highlights/" TargetMode="External" Id="rId1034"/><Relationship Type="http://schemas.openxmlformats.org/officeDocument/2006/relationships/hyperlink" Target="#Content!A1" TargetMode="External" Id="rId1035"/><Relationship Type="http://schemas.openxmlformats.org/officeDocument/2006/relationships/hyperlink" Target="https://africanmarketingconfederation.org/amc-conference-2025-highlights/" TargetMode="External" Id="rId1036"/><Relationship Type="http://schemas.openxmlformats.org/officeDocument/2006/relationships/hyperlink" Target="#AEO!A1" TargetMode="External" Id="rId1037"/><Relationship Type="http://schemas.openxmlformats.org/officeDocument/2006/relationships/hyperlink" Target="https://africanmarketingconfederation.org/amc-conference-2025/" TargetMode="External" Id="rId1038"/><Relationship Type="http://schemas.openxmlformats.org/officeDocument/2006/relationships/hyperlink" Target="#Content!A1" TargetMode="External" Id="rId1039"/><Relationship Type="http://schemas.openxmlformats.org/officeDocument/2006/relationships/hyperlink" Target="https://africanmarketingconfederation.org/amc-conference-2025/" TargetMode="External" Id="rId1040"/><Relationship Type="http://schemas.openxmlformats.org/officeDocument/2006/relationships/hyperlink" Target="#AEO!A1" TargetMode="External" Id="rId1041"/><Relationship Type="http://schemas.openxmlformats.org/officeDocument/2006/relationships/hyperlink" Target="https://africanmarketingconfederation.org/amc-conference-2026-awards-nominations-thank-you/" TargetMode="External" Id="rId1042"/><Relationship Type="http://schemas.openxmlformats.org/officeDocument/2006/relationships/hyperlink" Target="#Content!A1" TargetMode="External" Id="rId1043"/><Relationship Type="http://schemas.openxmlformats.org/officeDocument/2006/relationships/hyperlink" Target="https://africanmarketingconfederation.org/amc-conference-2026-awards-nominations-thank-you/" TargetMode="External" Id="rId1044"/><Relationship Type="http://schemas.openxmlformats.org/officeDocument/2006/relationships/hyperlink" Target="#AEO!A1" TargetMode="External" Id="rId1045"/><Relationship Type="http://schemas.openxmlformats.org/officeDocument/2006/relationships/hyperlink" Target="https://africanmarketingconfederation.org/amc-conference-2026-zambia-thank-you/" TargetMode="External" Id="rId1046"/><Relationship Type="http://schemas.openxmlformats.org/officeDocument/2006/relationships/hyperlink" Target="#Content!A1" TargetMode="External" Id="rId1047"/><Relationship Type="http://schemas.openxmlformats.org/officeDocument/2006/relationships/hyperlink" Target="https://africanmarketingconfederation.org/amc-conference-2026-zambia-thank-you/" TargetMode="External" Id="rId1048"/><Relationship Type="http://schemas.openxmlformats.org/officeDocument/2006/relationships/hyperlink" Target="#AEO!A1" TargetMode="External" Id="rId1049"/><Relationship Type="http://schemas.openxmlformats.org/officeDocument/2006/relationships/hyperlink" Target="https://africanmarketingconfederation.org/amc-conference-2026/" TargetMode="External" Id="rId1050"/><Relationship Type="http://schemas.openxmlformats.org/officeDocument/2006/relationships/hyperlink" Target="#AEO!A1" TargetMode="External" Id="rId1051"/><Relationship Type="http://schemas.openxmlformats.org/officeDocument/2006/relationships/hyperlink" Target="https://africanmarketingconfederation.org/amc-conference-programme/" TargetMode="External" Id="rId1052"/><Relationship Type="http://schemas.openxmlformats.org/officeDocument/2006/relationships/hyperlink" Target="#AEO!A1" TargetMode="External" Id="rId1053"/><Relationship Type="http://schemas.openxmlformats.org/officeDocument/2006/relationships/hyperlink" Target="https://africanmarketingconfederation.org/amc-conference-sponsors/" TargetMode="External" Id="rId1054"/><Relationship Type="http://schemas.openxmlformats.org/officeDocument/2006/relationships/hyperlink" Target="#AEO!A1" TargetMode="External" Id="rId1055"/><Relationship Type="http://schemas.openxmlformats.org/officeDocument/2006/relationships/hyperlink" Target="https://africanmarketingconfederation.org/amc-conference-thank-you/" TargetMode="External" Id="rId1056"/><Relationship Type="http://schemas.openxmlformats.org/officeDocument/2006/relationships/hyperlink" Target="#AEO!A1" TargetMode="External" Id="rId1057"/><Relationship Type="http://schemas.openxmlformats.org/officeDocument/2006/relationships/hyperlink" Target="https://africanmarketingconfederation.org/amc-forum-mombasa/" TargetMode="External" Id="rId1058"/><Relationship Type="http://schemas.openxmlformats.org/officeDocument/2006/relationships/hyperlink" Target="#AEO!A1" TargetMode="External" Id="rId1059"/><Relationship Type="http://schemas.openxmlformats.org/officeDocument/2006/relationships/hyperlink" Target="https://africanmarketingconfederation.org/amc-forum-payments/" TargetMode="External" Id="rId1060"/><Relationship Type="http://schemas.openxmlformats.org/officeDocument/2006/relationships/hyperlink" Target="#AEO!A1" TargetMode="External" Id="rId1061"/><Relationship Type="http://schemas.openxmlformats.org/officeDocument/2006/relationships/hyperlink" Target="https://africanmarketingconfederation.org/amc-launch-event-zambia-thank-you-2026/" TargetMode="External" Id="rId1062"/><Relationship Type="http://schemas.openxmlformats.org/officeDocument/2006/relationships/hyperlink" Target="#Content!A1" TargetMode="External" Id="rId1063"/><Relationship Type="http://schemas.openxmlformats.org/officeDocument/2006/relationships/hyperlink" Target="https://africanmarketingconfederation.org/amc-launch-event-zambia-thank-you-2026/" TargetMode="External" Id="rId1064"/><Relationship Type="http://schemas.openxmlformats.org/officeDocument/2006/relationships/hyperlink" Target="#AEO!A1" TargetMode="External" Id="rId1065"/><Relationship Type="http://schemas.openxmlformats.org/officeDocument/2006/relationships/hyperlink" Target="https://africanmarketingconfederation.org/amc-marketing-conference-2024/" TargetMode="External" Id="rId1066"/><Relationship Type="http://schemas.openxmlformats.org/officeDocument/2006/relationships/hyperlink" Target="#AEO!A1" TargetMode="External" Id="rId1067"/><Relationship Type="http://schemas.openxmlformats.org/officeDocument/2006/relationships/hyperlink" Target="https://africanmarketingconfederation.org/amc-marketing-conference-2024/amc-conference-2025-ghana-sponsors/" TargetMode="External" Id="rId1068"/><Relationship Type="http://schemas.openxmlformats.org/officeDocument/2006/relationships/hyperlink" Target="#AEO!A1" TargetMode="External" Id="rId1069"/><Relationship Type="http://schemas.openxmlformats.org/officeDocument/2006/relationships/hyperlink" Target="https://africanmarketingconfederation.org/amc-marketing-conference-2024/amc-launch-event-2025/" TargetMode="External" Id="rId1070"/><Relationship Type="http://schemas.openxmlformats.org/officeDocument/2006/relationships/hyperlink" Target="#Content!A1" TargetMode="External" Id="rId1071"/><Relationship Type="http://schemas.openxmlformats.org/officeDocument/2006/relationships/hyperlink" Target="https://africanmarketingconfederation.org/amc-marketing-conference-2024/amc-launch-event-2025/" TargetMode="External" Id="rId1072"/><Relationship Type="http://schemas.openxmlformats.org/officeDocument/2006/relationships/hyperlink" Target="#AEO!A1" TargetMode="External" Id="rId1073"/><Relationship Type="http://schemas.openxmlformats.org/officeDocument/2006/relationships/hyperlink" Target="https://africanmarketingconfederation.org/amc-marketing-conference-2024/amc-preregister-2025/" TargetMode="External" Id="rId1074"/><Relationship Type="http://schemas.openxmlformats.org/officeDocument/2006/relationships/hyperlink" Target="#AEO!A1" TargetMode="External" Id="rId1075"/><Relationship Type="http://schemas.openxmlformats.org/officeDocument/2006/relationships/hyperlink" Target="https://africanmarketingconfederation.org/amc-marketing-conference-2024/amc-programme-2025/" TargetMode="External" Id="rId1076"/><Relationship Type="http://schemas.openxmlformats.org/officeDocument/2006/relationships/hyperlink" Target="#Content!A1" TargetMode="External" Id="rId1077"/><Relationship Type="http://schemas.openxmlformats.org/officeDocument/2006/relationships/hyperlink" Target="https://africanmarketingconfederation.org/amc-marketing-conference-2024/amc-programme-2025/" TargetMode="External" Id="rId1078"/><Relationship Type="http://schemas.openxmlformats.org/officeDocument/2006/relationships/hyperlink" Target="#AEO!A1" TargetMode="External" Id="rId1079"/><Relationship Type="http://schemas.openxmlformats.org/officeDocument/2006/relationships/hyperlink" Target="https://africanmarketingconfederation.org/amc-marketing-conference-2024/amc-speakers-presentations-2024/" TargetMode="External" Id="rId1080"/><Relationship Type="http://schemas.openxmlformats.org/officeDocument/2006/relationships/hyperlink" Target="#Content!A1" TargetMode="External" Id="rId1081"/><Relationship Type="http://schemas.openxmlformats.org/officeDocument/2006/relationships/hyperlink" Target="https://africanmarketingconfederation.org/amc-marketing-conference-2024/amc-speakers-presentations-2024/" TargetMode="External" Id="rId1082"/><Relationship Type="http://schemas.openxmlformats.org/officeDocument/2006/relationships/hyperlink" Target="#AEO!A1" TargetMode="External" Id="rId1083"/><Relationship Type="http://schemas.openxmlformats.org/officeDocument/2006/relationships/hyperlink" Target="https://africanmarketingconfederation.org/amc-marketing-conference-2024/awards-2025/" TargetMode="External" Id="rId1084"/><Relationship Type="http://schemas.openxmlformats.org/officeDocument/2006/relationships/hyperlink" Target="#AEO!A1" TargetMode="External" Id="rId1085"/><Relationship Type="http://schemas.openxmlformats.org/officeDocument/2006/relationships/hyperlink" Target="https://africanmarketingconfederation.org/amc-marketing-conference-2024/programme-2024/" TargetMode="External" Id="rId1086"/><Relationship Type="http://schemas.openxmlformats.org/officeDocument/2006/relationships/hyperlink" Target="#AEO!A1" TargetMode="External" Id="rId1087"/><Relationship Type="http://schemas.openxmlformats.org/officeDocument/2006/relationships/hyperlink" Target="https://africanmarketingconfederation.org/amc-marketing-conference-2024/speakers-2024/" TargetMode="External" Id="rId1088"/><Relationship Type="http://schemas.openxmlformats.org/officeDocument/2006/relationships/hyperlink" Target="#AEO!A1" TargetMode="External" Id="rId1089"/><Relationship Type="http://schemas.openxmlformats.org/officeDocument/2006/relationships/hyperlink" Target="https://africanmarketingconfederation.org/amc-marketing-conference-2024/testimony-thank-you-page/" TargetMode="External" Id="rId1090"/><Relationship Type="http://schemas.openxmlformats.org/officeDocument/2006/relationships/hyperlink" Target="#Content!A1" TargetMode="External" Id="rId1091"/><Relationship Type="http://schemas.openxmlformats.org/officeDocument/2006/relationships/hyperlink" Target="https://africanmarketingconfederation.org/amc-marketing-conference-2024/testimony-thank-you-page/" TargetMode="External" Id="rId1092"/><Relationship Type="http://schemas.openxmlformats.org/officeDocument/2006/relationships/hyperlink" Target="#AEO!A1" TargetMode="External" Id="rId1093"/><Relationship Type="http://schemas.openxmlformats.org/officeDocument/2006/relationships/hyperlink" Target="https://africanmarketingconfederation.org/amc-masterclass-bookings/" TargetMode="External" Id="rId1094"/><Relationship Type="http://schemas.openxmlformats.org/officeDocument/2006/relationships/hyperlink" Target="#AEO!A1" TargetMode="External" Id="rId1095"/><Relationship Type="http://schemas.openxmlformats.org/officeDocument/2006/relationships/hyperlink" Target="https://africanmarketingconfederation.org/amc-masterclass-thank-you/" TargetMode="External" Id="rId1096"/><Relationship Type="http://schemas.openxmlformats.org/officeDocument/2006/relationships/hyperlink" Target="#AEO!A1" TargetMode="External" Id="rId1097"/><Relationship Type="http://schemas.openxmlformats.org/officeDocument/2006/relationships/hyperlink" Target="https://africanmarketingconfederation.org/amc-masterclass/" TargetMode="External" Id="rId1098"/><Relationship Type="http://schemas.openxmlformats.org/officeDocument/2006/relationships/hyperlink" Target="#AEO!A1" TargetMode="External" Id="rId1099"/><Relationship Type="http://schemas.openxmlformats.org/officeDocument/2006/relationships/hyperlink" Target="https://africanmarketingconfederation.org/amc-relaunch-programme/" TargetMode="External" Id="rId1100"/><Relationship Type="http://schemas.openxmlformats.org/officeDocument/2006/relationships/hyperlink" Target="#AEO!A1" TargetMode="External" Id="rId1101"/><Relationship Type="http://schemas.openxmlformats.org/officeDocument/2006/relationships/hyperlink" Target="https://africanmarketingconfederation.org/amc-sign-up-now-form-2025/" TargetMode="External" Id="rId1102"/><Relationship Type="http://schemas.openxmlformats.org/officeDocument/2006/relationships/hyperlink" Target="#AEO!A1" TargetMode="External" Id="rId1103"/><Relationship Type="http://schemas.openxmlformats.org/officeDocument/2006/relationships/hyperlink" Target="https://africanmarketingconfederation.org/amc-sponsors-2025/" TargetMode="External" Id="rId1104"/><Relationship Type="http://schemas.openxmlformats.org/officeDocument/2006/relationships/hyperlink" Target="#AEO!A1" TargetMode="External" Id="rId1105"/><Relationship Type="http://schemas.openxmlformats.org/officeDocument/2006/relationships/hyperlink" Target="https://africanmarketingconfederation.org/amc-testimony-page-2024/" TargetMode="External" Id="rId1106"/><Relationship Type="http://schemas.openxmlformats.org/officeDocument/2006/relationships/hyperlink" Target="#Content!A1" TargetMode="External" Id="rId1107"/><Relationship Type="http://schemas.openxmlformats.org/officeDocument/2006/relationships/hyperlink" Target="https://africanmarketingconfederation.org/amc-testimony-page-2024/" TargetMode="External" Id="rId1108"/><Relationship Type="http://schemas.openxmlformats.org/officeDocument/2006/relationships/hyperlink" Target="#AEO!A1" TargetMode="External" Id="rId1109"/><Relationship Type="http://schemas.openxmlformats.org/officeDocument/2006/relationships/hyperlink" Target="https://africanmarketingconfederation.org/awards-2026-1/" TargetMode="External" Id="rId1110"/><Relationship Type="http://schemas.openxmlformats.org/officeDocument/2006/relationships/hyperlink" Target="#Content!A1" TargetMode="External" Id="rId1111"/><Relationship Type="http://schemas.openxmlformats.org/officeDocument/2006/relationships/hyperlink" Target="https://africanmarketingconfederation.org/awards-2026-1/" TargetMode="External" Id="rId1112"/><Relationship Type="http://schemas.openxmlformats.org/officeDocument/2006/relationships/hyperlink" Target="#AEO!A1" TargetMode="External" Id="rId1113"/><Relationship Type="http://schemas.openxmlformats.org/officeDocument/2006/relationships/hyperlink" Target="https://africanmarketingconfederation.org/awards-2026-test/" TargetMode="External" Id="rId1114"/><Relationship Type="http://schemas.openxmlformats.org/officeDocument/2006/relationships/hyperlink" Target="#Content!A1" TargetMode="External" Id="rId1115"/><Relationship Type="http://schemas.openxmlformats.org/officeDocument/2006/relationships/hyperlink" Target="https://africanmarketingconfederation.org/awards-2026-test/" TargetMode="External" Id="rId1116"/><Relationship Type="http://schemas.openxmlformats.org/officeDocument/2006/relationships/hyperlink" Target="#AEO!A1" TargetMode="External" Id="rId1117"/><Relationship Type="http://schemas.openxmlformats.org/officeDocument/2006/relationships/hyperlink" Target="https://africanmarketingconfederation.org/awards-2026/" TargetMode="External" Id="rId1118"/><Relationship Type="http://schemas.openxmlformats.org/officeDocument/2006/relationships/hyperlink" Target="#Content!A1" TargetMode="External" Id="rId1119"/><Relationship Type="http://schemas.openxmlformats.org/officeDocument/2006/relationships/hyperlink" Target="https://africanmarketingconfederation.org/awards-2026/" TargetMode="External" Id="rId1120"/><Relationship Type="http://schemas.openxmlformats.org/officeDocument/2006/relationships/hyperlink" Target="#AEO!A1" TargetMode="External" Id="rId1121"/><Relationship Type="http://schemas.openxmlformats.org/officeDocument/2006/relationships/hyperlink" Target="https://africanmarketingconfederation.org/certified-professional-marketer-africa/" TargetMode="External" Id="rId1122"/><Relationship Type="http://schemas.openxmlformats.org/officeDocument/2006/relationships/hyperlink" Target="#AEO!A1" TargetMode="External" Id="rId1123"/><Relationship Type="http://schemas.openxmlformats.org/officeDocument/2006/relationships/hyperlink" Target="https://africanmarketingconfederation.org/chartered-marketer-africa-final-submission-fee/" TargetMode="External" Id="rId1124"/><Relationship Type="http://schemas.openxmlformats.org/officeDocument/2006/relationships/hyperlink" Target="#AEO!A1" TargetMode="External" Id="rId1125"/><Relationship Type="http://schemas.openxmlformats.org/officeDocument/2006/relationships/hyperlink" Target="https://africanmarketingconfederation.org/chartered-marketer-africa-programme-fee/" TargetMode="External" Id="rId1126"/><Relationship Type="http://schemas.openxmlformats.org/officeDocument/2006/relationships/hyperlink" Target="#AEO!A1" TargetMode="External" Id="rId1127"/><Relationship Type="http://schemas.openxmlformats.org/officeDocument/2006/relationships/hyperlink" Target="https://africanmarketingconfederation.org/chartered-marketer-africa-thank-you/" TargetMode="External" Id="rId1128"/><Relationship Type="http://schemas.openxmlformats.org/officeDocument/2006/relationships/hyperlink" Target="#AEO!A1" TargetMode="External" Id="rId1129"/><Relationship Type="http://schemas.openxmlformats.org/officeDocument/2006/relationships/hyperlink" Target="https://africanmarketingconfederation.org/chartered-marketer-africa/" TargetMode="External" Id="rId1130"/><Relationship Type="http://schemas.openxmlformats.org/officeDocument/2006/relationships/hyperlink" Target="#AEO!A1" TargetMode="External" Id="rId1131"/><Relationship Type="http://schemas.openxmlformats.org/officeDocument/2006/relationships/hyperlink" Target="https://africanmarketingconfederation.org/checkout/" TargetMode="External" Id="rId1132"/><Relationship Type="http://schemas.openxmlformats.org/officeDocument/2006/relationships/hyperlink" Target="#AEO!A1" TargetMode="External" Id="rId1133"/><Relationship Type="http://schemas.openxmlformats.org/officeDocument/2006/relationships/hyperlink" Target="https://africanmarketingconfederation.org/conference-faq-2025/" TargetMode="External" Id="rId1134"/><Relationship Type="http://schemas.openxmlformats.org/officeDocument/2006/relationships/hyperlink" Target="#AEO!A1" TargetMode="External" Id="rId1135"/><Relationship Type="http://schemas.openxmlformats.org/officeDocument/2006/relationships/hyperlink" Target="https://africanmarketingconfederation.org/conference-registrations-2024/" TargetMode="External" Id="rId1136"/><Relationship Type="http://schemas.openxmlformats.org/officeDocument/2006/relationships/hyperlink" Target="#AEO!A1" TargetMode="External" Id="rId1137"/><Relationship Type="http://schemas.openxmlformats.org/officeDocument/2006/relationships/hyperlink" Target="https://africanmarketingconfederation.org/contact-us/" TargetMode="External" Id="rId1138"/><Relationship Type="http://schemas.openxmlformats.org/officeDocument/2006/relationships/hyperlink" Target="#Content!A1" TargetMode="External" Id="rId1139"/><Relationship Type="http://schemas.openxmlformats.org/officeDocument/2006/relationships/hyperlink" Target="https://africanmarketingconfederation.org/contact-us/" TargetMode="External" Id="rId1140"/><Relationship Type="http://schemas.openxmlformats.org/officeDocument/2006/relationships/hyperlink" Target="#AEO!A1" TargetMode="External" Id="rId1141"/><Relationship Type="http://schemas.openxmlformats.org/officeDocument/2006/relationships/hyperlink" Target="https://africanmarketingconfederation.org/download-brochure/" TargetMode="External" Id="rId1142"/><Relationship Type="http://schemas.openxmlformats.org/officeDocument/2006/relationships/hyperlink" Target="#AEO!A1" TargetMode="External" Id="rId1143"/><Relationship Type="http://schemas.openxmlformats.org/officeDocument/2006/relationships/hyperlink" Target="https://africanmarketingconfederation.org/download-prospectus-2024/" TargetMode="External" Id="rId1144"/><Relationship Type="http://schemas.openxmlformats.org/officeDocument/2006/relationships/hyperlink" Target="#AEO!A1" TargetMode="External" Id="rId1145"/><Relationship Type="http://schemas.openxmlformats.org/officeDocument/2006/relationships/hyperlink" Target="https://africanmarketingconfederation.org/education/" TargetMode="External" Id="rId1146"/><Relationship Type="http://schemas.openxmlformats.org/officeDocument/2006/relationships/hyperlink" Target="#AEO!A1" TargetMode="External" Id="rId1147"/><Relationship Type="http://schemas.openxmlformats.org/officeDocument/2006/relationships/hyperlink" Target="https://africanmarketingconfederation.org/elementor-16548/" TargetMode="External" Id="rId1148"/><Relationship Type="http://schemas.openxmlformats.org/officeDocument/2006/relationships/hyperlink" Target="#AEO!A1" TargetMode="External" Id="rId1149"/><Relationship Type="http://schemas.openxmlformats.org/officeDocument/2006/relationships/hyperlink" Target="https://africanmarketingconfederation.org/elementor-20341/" TargetMode="External" Id="rId1150"/><Relationship Type="http://schemas.openxmlformats.org/officeDocument/2006/relationships/hyperlink" Target="#AEO!A1" TargetMode="External" Id="rId1151"/><Relationship Type="http://schemas.openxmlformats.org/officeDocument/2006/relationships/hyperlink" Target="https://africanmarketingconfederation.org/elementor-31820/" TargetMode="External" Id="rId1152"/><Relationship Type="http://schemas.openxmlformats.org/officeDocument/2006/relationships/hyperlink" Target="#AEO!A1" TargetMode="External" Id="rId1153"/><Relationship Type="http://schemas.openxmlformats.org/officeDocument/2006/relationships/hyperlink" Target="https://africanmarketingconfederation.org/general-enquiry-form-thank-you/" TargetMode="External" Id="rId1154"/><Relationship Type="http://schemas.openxmlformats.org/officeDocument/2006/relationships/hyperlink" Target="#AEO!A1" TargetMode="External" Id="rId1155"/><Relationship Type="http://schemas.openxmlformats.org/officeDocument/2006/relationships/hyperlink" Target="https://africanmarketingconfederation.org/launch-event-2026-amc-conference/" TargetMode="External" Id="rId1156"/><Relationship Type="http://schemas.openxmlformats.org/officeDocument/2006/relationships/hyperlink" Target="#AEO!A1" TargetMode="External" Id="rId1157"/><Relationship Type="http://schemas.openxmlformats.org/officeDocument/2006/relationships/hyperlink" Target="https://africanmarketingconfederation.org/members/" TargetMode="External" Id="rId1158"/><Relationship Type="http://schemas.openxmlformats.org/officeDocument/2006/relationships/hyperlink" Target="#AEO!A1" TargetMode="External" Id="rId1159"/><Relationship Type="http://schemas.openxmlformats.org/officeDocument/2006/relationships/hyperlink" Target="https://africanmarketingconfederation.org/news-articles/" TargetMode="External" Id="rId1160"/><Relationship Type="http://schemas.openxmlformats.org/officeDocument/2006/relationships/hyperlink" Target="#AEO!A1" TargetMode="External" Id="rId1161"/><Relationship Type="http://schemas.openxmlformats.org/officeDocument/2006/relationships/hyperlink" Target="https://africanmarketingconfederation.org/privacy-policy/" TargetMode="External" Id="rId1162"/><Relationship Type="http://schemas.openxmlformats.org/officeDocument/2006/relationships/hyperlink" Target="#Content!A1" TargetMode="External" Id="rId1163"/><Relationship Type="http://schemas.openxmlformats.org/officeDocument/2006/relationships/hyperlink" Target="https://africanmarketingconfederation.org/privacy-policy/" TargetMode="External" Id="rId1164"/><Relationship Type="http://schemas.openxmlformats.org/officeDocument/2006/relationships/hyperlink" Target="#AEO!A1" TargetMode="External" Id="rId1165"/><Relationship Type="http://schemas.openxmlformats.org/officeDocument/2006/relationships/hyperlink" Target="https://africanmarketingconfederation.org/publication-download-list/" TargetMode="External" Id="rId1166"/><Relationship Type="http://schemas.openxmlformats.org/officeDocument/2006/relationships/hyperlink" Target="#AEO!A1" TargetMode="External" Id="rId1167"/><Relationship Type="http://schemas.openxmlformats.org/officeDocument/2006/relationships/hyperlink" Target="https://africanmarketingconfederation.org/publications-2/" TargetMode="External" Id="rId1168"/><Relationship Type="http://schemas.openxmlformats.org/officeDocument/2006/relationships/hyperlink" Target="#AEO!A1" TargetMode="External" Id="rId1169"/><Relationship Type="http://schemas.openxmlformats.org/officeDocument/2006/relationships/hyperlink" Target="https://africanmarketingconfederation.org/speakers-2025/" TargetMode="External" Id="rId1170"/><Relationship Type="http://schemas.openxmlformats.org/officeDocument/2006/relationships/hyperlink" Target="#Content!A1" TargetMode="External" Id="rId1171"/><Relationship Type="http://schemas.openxmlformats.org/officeDocument/2006/relationships/hyperlink" Target="https://africanmarketingconfederation.org/speakers-2025/" TargetMode="External" Id="rId1172"/><Relationship Type="http://schemas.openxmlformats.org/officeDocument/2006/relationships/hyperlink" Target="#AEO!A1" TargetMode="External" Id="rId1173"/><Relationship Type="http://schemas.openxmlformats.org/officeDocument/2006/relationships/hyperlink" Target="https://africanmarketingconfederation.org/speakers/" TargetMode="External" Id="rId1174"/><Relationship Type="http://schemas.openxmlformats.org/officeDocument/2006/relationships/hyperlink" Target="#AEO!A1" TargetMode="External" Id="rId1175"/><Relationship Type="http://schemas.openxmlformats.org/officeDocument/2006/relationships/hyperlink" Target="https://africanmarketingconfederation.org/sub-committees/" TargetMode="External" Id="rId1176"/><Relationship Type="http://schemas.openxmlformats.org/officeDocument/2006/relationships/hyperlink" Target="#AEO!A1" TargetMode="External" Id="rId1177"/><Relationship Type="http://schemas.openxmlformats.org/officeDocument/2006/relationships/hyperlink" Target="https://africanmarketingconfederation.org/subscribe/" TargetMode="External" Id="rId1178"/><Relationship Type="http://schemas.openxmlformats.org/officeDocument/2006/relationships/hyperlink" Target="#AEO!A1" TargetMode="External" Id="rId1179"/><Relationship Type="http://schemas.openxmlformats.org/officeDocument/2006/relationships/hyperlink" Target="https://africanmarketingconfederation.org/test-homeslider/" TargetMode="External" Id="rId1180"/><Relationship Type="http://schemas.openxmlformats.org/officeDocument/2006/relationships/hyperlink" Target="#AEO!A1" TargetMode="External" Id="rId1181"/><Relationship Type="http://schemas.openxmlformats.org/officeDocument/2006/relationships/hyperlink" Target="https://africanmarketingconfederation.org/test-payment-gate/" TargetMode="External" Id="rId1182"/><Relationship Type="http://schemas.openxmlformats.org/officeDocument/2006/relationships/hyperlink" Target="#AEO!A1" TargetMode="External" Id="rId1183"/><Relationship Type="http://schemas.openxmlformats.org/officeDocument/2006/relationships/hyperlink" Target="https://africanmarketingconfederation.org/thank-you-for-registering-2024-registrations-kenya/" TargetMode="External" Id="rId1184"/><Relationship Type="http://schemas.openxmlformats.org/officeDocument/2006/relationships/hyperlink" Target="#AEO!A1" TargetMode="External" Id="rId1185"/><Relationship Type="http://schemas.openxmlformats.org/officeDocument/2006/relationships/hyperlink" Target="https://africanmarketingconfederation.org/thank-you-for-registering-2024-registrations/" TargetMode="External" Id="rId1186"/><Relationship Type="http://schemas.openxmlformats.org/officeDocument/2006/relationships/hyperlink" Target="#AEO!A1" TargetMode="External" Id="rId1187"/><Relationship Type="http://schemas.openxmlformats.org/officeDocument/2006/relationships/hyperlink" Target="https://africanmarketingconfederation.org/thank-you-for-subscribing/" TargetMode="External" Id="rId1188"/><Relationship Type="http://schemas.openxmlformats.org/officeDocument/2006/relationships/hyperlink" Target="#AEO!A1" TargetMode="External" Id="rId1189"/><Relationship Type="http://schemas.openxmlformats.org/officeDocument/2006/relationships/hyperlink" Target="https://africanmarketingconfederation.org/thank-you-for-the-nomination-2024/" TargetMode="External" Id="rId1190"/><Relationship Type="http://schemas.openxmlformats.org/officeDocument/2006/relationships/hyperlink" Target="#AEO!A1" TargetMode="External" Id="rId1191"/><Relationship Type="http://schemas.openxmlformats.org/officeDocument/2006/relationships/hyperlink" Target="https://africanmarketingconfederation.org/thank-you-for-the-submission-2024/" TargetMode="External" Id="rId1192"/><Relationship Type="http://schemas.openxmlformats.org/officeDocument/2006/relationships/hyperlink" Target="#AEO!A1" TargetMode="External" Id="rId1193"/><Relationship Type="http://schemas.openxmlformats.org/officeDocument/2006/relationships/hyperlink" Target="https://africanmarketingconfederation.org/upcoming-events/" TargetMode="External" Id="rId1194"/><Relationship Type="http://schemas.openxmlformats.org/officeDocument/2006/relationships/hyperlink" Target="#AEO!A1" TargetMode="External" Id="rId1195"/><Relationship Type="http://schemas.openxmlformats.org/officeDocument/2006/relationships/hyperlink" Target="https://africanmarketingconfederation.org/virtual-programme/" TargetMode="External" Id="rId1196"/><Relationship Type="http://schemas.openxmlformats.org/officeDocument/2006/relationships/hyperlink" Target="#AEO!A1" TargetMode="External" Id="rId1197"/><Relationship Type="http://schemas.openxmlformats.org/officeDocument/2006/relationships/hyperlink" Target="https://africanmarketingconfederation.org/" TargetMode="External" Id="rId1198"/><Relationship Type="http://schemas.openxmlformats.org/officeDocument/2006/relationships/hyperlink" Target="#AEO!A1" TargetMode="External" Id="rId1199"/><Relationship Type="http://schemas.openxmlformats.org/officeDocument/2006/relationships/hyperlink" Target="https://africanmarketingconfederation.org/about-us/" TargetMode="External" Id="rId1200"/><Relationship Type="http://schemas.openxmlformats.org/officeDocument/2006/relationships/hyperlink" Target="#AEO!A1" TargetMode="External" Id="rId1201"/><Relationship Type="http://schemas.openxmlformats.org/officeDocument/2006/relationships/hyperlink" Target="https://africanmarketingconfederation.org/african-marketing-confederation-tourism-chapter/" TargetMode="External" Id="rId1202"/><Relationship Type="http://schemas.openxmlformats.org/officeDocument/2006/relationships/hyperlink" Target="#AEO!A1" TargetMode="External" Id="rId1203"/><Relationship Type="http://schemas.openxmlformats.org/officeDocument/2006/relationships/hyperlink" Target="https://africanmarketingconfederation.org/amc-awards-2024/" TargetMode="External" Id="rId1204"/><Relationship Type="http://schemas.openxmlformats.org/officeDocument/2006/relationships/hyperlink" Target="#AEO!A1" TargetMode="External" Id="rId1205"/><Relationship Type="http://schemas.openxmlformats.org/officeDocument/2006/relationships/hyperlink" Target="https://africanmarketingconfederation.org/amc-conference-2022-prospectus/" TargetMode="External" Id="rId1206"/><Relationship Type="http://schemas.openxmlformats.org/officeDocument/2006/relationships/hyperlink" Target="#AEO!A1" TargetMode="External" Id="rId1207"/><Relationship Type="http://schemas.openxmlformats.org/officeDocument/2006/relationships/hyperlink" Target="https://africanmarketingconfederation.org/amc-conference-2022-thank-you/" TargetMode="External" Id="rId1208"/><Relationship Type="http://schemas.openxmlformats.org/officeDocument/2006/relationships/hyperlink" Target="#AEO!A1" TargetMode="External" Id="rId1209"/><Relationship Type="http://schemas.openxmlformats.org/officeDocument/2006/relationships/hyperlink" Target="https://africanmarketingconfederation.org/amc-conference-2022/" TargetMode="External" Id="rId1210"/><Relationship Type="http://schemas.openxmlformats.org/officeDocument/2006/relationships/hyperlink" Target="#AEO!A1" TargetMode="External" Id="rId1211"/><Relationship Type="http://schemas.openxmlformats.org/officeDocument/2006/relationships/hyperlink" Target="https://africanmarketingconfederation.org/amc-conference-2023/" TargetMode="External" Id="rId1212"/><Relationship Type="http://schemas.openxmlformats.org/officeDocument/2006/relationships/hyperlink" Target="#AEO!A1" TargetMode="External" Id="rId1213"/><Relationship Type="http://schemas.openxmlformats.org/officeDocument/2006/relationships/hyperlink" Target="https://africanmarketingconfederation.org/amc-conference-2023/amc-awards-book-now/" TargetMode="External" Id="rId1214"/><Relationship Type="http://schemas.openxmlformats.org/officeDocument/2006/relationships/hyperlink" Target="#AEO!A1" TargetMode="External" Id="rId1215"/><Relationship Type="http://schemas.openxmlformats.org/officeDocument/2006/relationships/hyperlink" Target="https://africanmarketingconfederation.org/amc-conference-2023/amc-awards/" TargetMode="External" Id="rId1216"/><Relationship Type="http://schemas.openxmlformats.org/officeDocument/2006/relationships/hyperlink" Target="#AEO!A1" TargetMode="External" Id="rId1217"/><Relationship Type="http://schemas.openxmlformats.org/officeDocument/2006/relationships/hyperlink" Target="https://africanmarketingconfederation.org/amc-conference-2023/book-now-thank-you/" TargetMode="External" Id="rId1218"/><Relationship Type="http://schemas.openxmlformats.org/officeDocument/2006/relationships/hyperlink" Target="#AEO!A1" TargetMode="External" Id="rId1219"/><Relationship Type="http://schemas.openxmlformats.org/officeDocument/2006/relationships/hyperlink" Target="https://africanmarketingconfederation.org/amc-conference-2023/book-now/" TargetMode="External" Id="rId1220"/><Relationship Type="http://schemas.openxmlformats.org/officeDocument/2006/relationships/hyperlink" Target="#AEO!A1" TargetMode="External" Id="rId1221"/><Relationship Type="http://schemas.openxmlformats.org/officeDocument/2006/relationships/hyperlink" Target="https://africanmarketingconfederation.org/amc-conference-2023/download-prospectus/" TargetMode="External" Id="rId1222"/><Relationship Type="http://schemas.openxmlformats.org/officeDocument/2006/relationships/hyperlink" Target="#AEO!A1" TargetMode="External" Id="rId1223"/><Relationship Type="http://schemas.openxmlformats.org/officeDocument/2006/relationships/hyperlink" Target="https://africanmarketingconfederation.org/amc-conference-2023/gallery/" TargetMode="External" Id="rId1224"/><Relationship Type="http://schemas.openxmlformats.org/officeDocument/2006/relationships/hyperlink" Target="#AEO!A1" TargetMode="External" Id="rId1225"/><Relationship Type="http://schemas.openxmlformats.org/officeDocument/2006/relationships/hyperlink" Target="https://africanmarketingconfederation.org/amc-conference-2023/partners/" TargetMode="External" Id="rId1226"/><Relationship Type="http://schemas.openxmlformats.org/officeDocument/2006/relationships/hyperlink" Target="#AEO!A1" TargetMode="External" Id="rId1227"/><Relationship Type="http://schemas.openxmlformats.org/officeDocument/2006/relationships/hyperlink" Target="https://africanmarketingconfederation.org/amc-conference-2023/programme/" TargetMode="External" Id="rId1228"/><Relationship Type="http://schemas.openxmlformats.org/officeDocument/2006/relationships/hyperlink" Target="#AEO!A1" TargetMode="External" Id="rId1229"/><Relationship Type="http://schemas.openxmlformats.org/officeDocument/2006/relationships/hyperlink" Target="https://africanmarketingconfederation.org/amc-conference-2023/speakers/" TargetMode="External" Id="rId1230"/><Relationship Type="http://schemas.openxmlformats.org/officeDocument/2006/relationships/hyperlink" Target="#AEO!A1" TargetMode="External" Id="rId1231"/><Relationship Type="http://schemas.openxmlformats.org/officeDocument/2006/relationships/hyperlink" Target="https://africanmarketingconfederation.org/amc-conference-2024-recap/" TargetMode="External" Id="rId1232"/><Relationship Type="http://schemas.openxmlformats.org/officeDocument/2006/relationships/hyperlink" Target="#AEO!A1" TargetMode="External" Id="rId1233"/><Relationship Type="http://schemas.openxmlformats.org/officeDocument/2006/relationships/hyperlink" Target="https://africanmarketingconfederation.org/amc-conference-2024-sponsors-packages/" TargetMode="External" Id="rId1234"/><Relationship Type="http://schemas.openxmlformats.org/officeDocument/2006/relationships/hyperlink" Target="#AEO!A1" TargetMode="External" Id="rId1235"/><Relationship Type="http://schemas.openxmlformats.org/officeDocument/2006/relationships/hyperlink" Target="https://africanmarketingconfederation.org/amc-conference-2025-highlights/" TargetMode="External" Id="rId1236"/><Relationship Type="http://schemas.openxmlformats.org/officeDocument/2006/relationships/hyperlink" Target="#AEO!A1" TargetMode="External" Id="rId1237"/><Relationship Type="http://schemas.openxmlformats.org/officeDocument/2006/relationships/hyperlink" Target="https://africanmarketingconfederation.org/amc-conference-2025/" TargetMode="External" Id="rId1238"/><Relationship Type="http://schemas.openxmlformats.org/officeDocument/2006/relationships/hyperlink" Target="#AEO!A1" TargetMode="External" Id="rId1239"/><Relationship Type="http://schemas.openxmlformats.org/officeDocument/2006/relationships/hyperlink" Target="https://africanmarketingconfederation.org/amc-conference-2026-awards-nominations-thank-you/" TargetMode="External" Id="rId1240"/><Relationship Type="http://schemas.openxmlformats.org/officeDocument/2006/relationships/hyperlink" Target="#AEO!A1" TargetMode="External" Id="rId1241"/><Relationship Type="http://schemas.openxmlformats.org/officeDocument/2006/relationships/hyperlink" Target="https://africanmarketingconfederation.org/amc-conference-2026-zambia-thank-you/" TargetMode="External" Id="rId1242"/><Relationship Type="http://schemas.openxmlformats.org/officeDocument/2006/relationships/hyperlink" Target="#AEO!A1" TargetMode="External" Id="rId1243"/><Relationship Type="http://schemas.openxmlformats.org/officeDocument/2006/relationships/hyperlink" Target="https://africanmarketingconfederation.org/amc-conference-2026/" TargetMode="External" Id="rId1244"/><Relationship Type="http://schemas.openxmlformats.org/officeDocument/2006/relationships/hyperlink" Target="#AEO!A1" TargetMode="External" Id="rId1245"/><Relationship Type="http://schemas.openxmlformats.org/officeDocument/2006/relationships/hyperlink" Target="https://africanmarketingconfederation.org/amc-conference-programme/" TargetMode="External" Id="rId1246"/><Relationship Type="http://schemas.openxmlformats.org/officeDocument/2006/relationships/hyperlink" Target="#AEO!A1" TargetMode="External" Id="rId1247"/><Relationship Type="http://schemas.openxmlformats.org/officeDocument/2006/relationships/hyperlink" Target="https://africanmarketingconfederation.org/amc-conference-sponsors/" TargetMode="External" Id="rId1248"/><Relationship Type="http://schemas.openxmlformats.org/officeDocument/2006/relationships/hyperlink" Target="#AEO!A1" TargetMode="External" Id="rId1249"/><Relationship Type="http://schemas.openxmlformats.org/officeDocument/2006/relationships/hyperlink" Target="https://africanmarketingconfederation.org/amc-conference-thank-you/" TargetMode="External" Id="rId1250"/><Relationship Type="http://schemas.openxmlformats.org/officeDocument/2006/relationships/hyperlink" Target="#AEO!A1" TargetMode="External" Id="rId1251"/><Relationship Type="http://schemas.openxmlformats.org/officeDocument/2006/relationships/hyperlink" Target="https://africanmarketingconfederation.org/amc-forum-mombasa/" TargetMode="External" Id="rId1252"/><Relationship Type="http://schemas.openxmlformats.org/officeDocument/2006/relationships/hyperlink" Target="#AEO!A1" TargetMode="External" Id="rId1253"/><Relationship Type="http://schemas.openxmlformats.org/officeDocument/2006/relationships/hyperlink" Target="https://africanmarketingconfederation.org/amc-forum-payments/" TargetMode="External" Id="rId1254"/><Relationship Type="http://schemas.openxmlformats.org/officeDocument/2006/relationships/hyperlink" Target="#AEO!A1" TargetMode="External" Id="rId1255"/><Relationship Type="http://schemas.openxmlformats.org/officeDocument/2006/relationships/hyperlink" Target="https://africanmarketingconfederation.org/amc-launch-event-zambia-thank-you-2026/" TargetMode="External" Id="rId1256"/><Relationship Type="http://schemas.openxmlformats.org/officeDocument/2006/relationships/hyperlink" Target="#AEO!A1" TargetMode="External" Id="rId1257"/><Relationship Type="http://schemas.openxmlformats.org/officeDocument/2006/relationships/hyperlink" Target="https://africanmarketingconfederation.org/amc-marketing-conference-2024/" TargetMode="External" Id="rId1258"/><Relationship Type="http://schemas.openxmlformats.org/officeDocument/2006/relationships/hyperlink" Target="#AEO!A1" TargetMode="External" Id="rId1259"/><Relationship Type="http://schemas.openxmlformats.org/officeDocument/2006/relationships/hyperlink" Target="https://africanmarketingconfederation.org/amc-marketing-conference-2024/amc-conference-2025-ghana-sponsors/" TargetMode="External" Id="rId1260"/><Relationship Type="http://schemas.openxmlformats.org/officeDocument/2006/relationships/hyperlink" Target="#AEO!A1" TargetMode="External" Id="rId1261"/><Relationship Type="http://schemas.openxmlformats.org/officeDocument/2006/relationships/hyperlink" Target="https://africanmarketingconfederation.org/amc-marketing-conference-2024/amc-launch-event-2025/" TargetMode="External" Id="rId1262"/><Relationship Type="http://schemas.openxmlformats.org/officeDocument/2006/relationships/hyperlink" Target="#AEO!A1" TargetMode="External" Id="rId1263"/><Relationship Type="http://schemas.openxmlformats.org/officeDocument/2006/relationships/hyperlink" Target="https://africanmarketingconfederation.org/amc-marketing-conference-2024/amc-preregister-2025/" TargetMode="External" Id="rId1264"/><Relationship Type="http://schemas.openxmlformats.org/officeDocument/2006/relationships/hyperlink" Target="#AEO!A1" TargetMode="External" Id="rId1265"/><Relationship Type="http://schemas.openxmlformats.org/officeDocument/2006/relationships/hyperlink" Target="https://africanmarketingconfederation.org/amc-marketing-conference-2024/amc-programme-2025/" TargetMode="External" Id="rId1266"/><Relationship Type="http://schemas.openxmlformats.org/officeDocument/2006/relationships/hyperlink" Target="#AEO!A1" TargetMode="External" Id="rId1267"/><Relationship Type="http://schemas.openxmlformats.org/officeDocument/2006/relationships/hyperlink" Target="https://africanmarketingconfederation.org/amc-marketing-conference-2024/amc-speakers-presentations-2024/" TargetMode="External" Id="rId1268"/><Relationship Type="http://schemas.openxmlformats.org/officeDocument/2006/relationships/hyperlink" Target="#AEO!A1" TargetMode="External" Id="rId1269"/><Relationship Type="http://schemas.openxmlformats.org/officeDocument/2006/relationships/hyperlink" Target="https://africanmarketingconfederation.org/amc-marketing-conference-2024/awards-2025/" TargetMode="External" Id="rId1270"/><Relationship Type="http://schemas.openxmlformats.org/officeDocument/2006/relationships/hyperlink" Target="#AEO!A1" TargetMode="External" Id="rId1271"/><Relationship Type="http://schemas.openxmlformats.org/officeDocument/2006/relationships/hyperlink" Target="https://africanmarketingconfederation.org/amc-marketing-conference-2024/programme-2024/" TargetMode="External" Id="rId1272"/><Relationship Type="http://schemas.openxmlformats.org/officeDocument/2006/relationships/hyperlink" Target="#AEO!A1" TargetMode="External" Id="rId1273"/><Relationship Type="http://schemas.openxmlformats.org/officeDocument/2006/relationships/hyperlink" Target="https://africanmarketingconfederation.org/amc-marketing-conference-2024/speakers-2024/" TargetMode="External" Id="rId1274"/><Relationship Type="http://schemas.openxmlformats.org/officeDocument/2006/relationships/hyperlink" Target="#AEO!A1" TargetMode="External" Id="rId1275"/><Relationship Type="http://schemas.openxmlformats.org/officeDocument/2006/relationships/hyperlink" Target="https://africanmarketingconfederation.org/amc-marketing-conference-2024/testimony-thank-you-page/" TargetMode="External" Id="rId1276"/><Relationship Type="http://schemas.openxmlformats.org/officeDocument/2006/relationships/hyperlink" Target="#AEO!A1" TargetMode="External" Id="rId1277"/><Relationship Type="http://schemas.openxmlformats.org/officeDocument/2006/relationships/hyperlink" Target="https://africanmarketingconfederation.org/amc-masterclass-bookings/" TargetMode="External" Id="rId1278"/><Relationship Type="http://schemas.openxmlformats.org/officeDocument/2006/relationships/hyperlink" Target="#AEO!A1" TargetMode="External" Id="rId1279"/><Relationship Type="http://schemas.openxmlformats.org/officeDocument/2006/relationships/hyperlink" Target="https://africanmarketingconfederation.org/amc-masterclass-thank-you/" TargetMode="External" Id="rId1280"/><Relationship Type="http://schemas.openxmlformats.org/officeDocument/2006/relationships/hyperlink" Target="#AEO!A1" TargetMode="External" Id="rId1281"/><Relationship Type="http://schemas.openxmlformats.org/officeDocument/2006/relationships/hyperlink" Target="https://africanmarketingconfederation.org/amc-masterclass/" TargetMode="External" Id="rId1282"/><Relationship Type="http://schemas.openxmlformats.org/officeDocument/2006/relationships/hyperlink" Target="#AEO!A1" TargetMode="External" Id="rId1283"/><Relationship Type="http://schemas.openxmlformats.org/officeDocument/2006/relationships/hyperlink" Target="https://africanmarketingconfederation.org/amc-relaunch-programme/" TargetMode="External" Id="rId1284"/><Relationship Type="http://schemas.openxmlformats.org/officeDocument/2006/relationships/hyperlink" Target="#AEO!A1" TargetMode="External" Id="rId1285"/><Relationship Type="http://schemas.openxmlformats.org/officeDocument/2006/relationships/hyperlink" Target="https://africanmarketingconfederation.org/amc-sign-up-now-form-2025/" TargetMode="External" Id="rId1286"/><Relationship Type="http://schemas.openxmlformats.org/officeDocument/2006/relationships/hyperlink" Target="#AEO!A1" TargetMode="External" Id="rId1287"/><Relationship Type="http://schemas.openxmlformats.org/officeDocument/2006/relationships/hyperlink" Target="https://africanmarketingconfederation.org/amc-sponsors-2025/" TargetMode="External" Id="rId1288"/><Relationship Type="http://schemas.openxmlformats.org/officeDocument/2006/relationships/hyperlink" Target="#AEO!A1" TargetMode="External" Id="rId1289"/><Relationship Type="http://schemas.openxmlformats.org/officeDocument/2006/relationships/hyperlink" Target="https://africanmarketingconfederation.org/amc-testimony-page-2024/" TargetMode="External" Id="rId1290"/><Relationship Type="http://schemas.openxmlformats.org/officeDocument/2006/relationships/hyperlink" Target="#AEO!A1" TargetMode="External" Id="rId1291"/><Relationship Type="http://schemas.openxmlformats.org/officeDocument/2006/relationships/hyperlink" Target="https://africanmarketingconfederation.org/awards-2026-1/" TargetMode="External" Id="rId1292"/><Relationship Type="http://schemas.openxmlformats.org/officeDocument/2006/relationships/hyperlink" Target="#AEO!A1" TargetMode="External" Id="rId1293"/><Relationship Type="http://schemas.openxmlformats.org/officeDocument/2006/relationships/hyperlink" Target="https://africanmarketingconfederation.org/awards-2026-test/" TargetMode="External" Id="rId1294"/><Relationship Type="http://schemas.openxmlformats.org/officeDocument/2006/relationships/hyperlink" Target="#AEO!A1" TargetMode="External" Id="rId1295"/><Relationship Type="http://schemas.openxmlformats.org/officeDocument/2006/relationships/hyperlink" Target="https://africanmarketingconfederation.org/awards-2026/" TargetMode="External" Id="rId1296"/><Relationship Type="http://schemas.openxmlformats.org/officeDocument/2006/relationships/hyperlink" Target="#AEO!A1" TargetMode="External" Id="rId1297"/><Relationship Type="http://schemas.openxmlformats.org/officeDocument/2006/relationships/hyperlink" Target="https://africanmarketingconfederation.org/certified-professional-marketer-africa/" TargetMode="External" Id="rId1298"/><Relationship Type="http://schemas.openxmlformats.org/officeDocument/2006/relationships/hyperlink" Target="#AEO!A1" TargetMode="External" Id="rId1299"/><Relationship Type="http://schemas.openxmlformats.org/officeDocument/2006/relationships/hyperlink" Target="https://africanmarketingconfederation.org/chartered-marketer-africa-final-submission-fee/" TargetMode="External" Id="rId1300"/><Relationship Type="http://schemas.openxmlformats.org/officeDocument/2006/relationships/hyperlink" Target="#AEO!A1" TargetMode="External" Id="rId1301"/><Relationship Type="http://schemas.openxmlformats.org/officeDocument/2006/relationships/hyperlink" Target="https://africanmarketingconfederation.org/chartered-marketer-africa-programme-fee/" TargetMode="External" Id="rId1302"/><Relationship Type="http://schemas.openxmlformats.org/officeDocument/2006/relationships/hyperlink" Target="#AEO!A1" TargetMode="External" Id="rId1303"/><Relationship Type="http://schemas.openxmlformats.org/officeDocument/2006/relationships/hyperlink" Target="https://africanmarketingconfederation.org/chartered-marketer-africa-thank-you/" TargetMode="External" Id="rId1304"/><Relationship Type="http://schemas.openxmlformats.org/officeDocument/2006/relationships/hyperlink" Target="#AEO!A1" TargetMode="External" Id="rId1305"/><Relationship Type="http://schemas.openxmlformats.org/officeDocument/2006/relationships/hyperlink" Target="https://africanmarketingconfederation.org/chartered-marketer-africa/" TargetMode="External" Id="rId1306"/><Relationship Type="http://schemas.openxmlformats.org/officeDocument/2006/relationships/hyperlink" Target="#AEO!A1" TargetMode="External" Id="rId1307"/><Relationship Type="http://schemas.openxmlformats.org/officeDocument/2006/relationships/hyperlink" Target="https://africanmarketingconfederation.org/checkout/" TargetMode="External" Id="rId1308"/><Relationship Type="http://schemas.openxmlformats.org/officeDocument/2006/relationships/hyperlink" Target="#AEO!A1" TargetMode="External" Id="rId1309"/><Relationship Type="http://schemas.openxmlformats.org/officeDocument/2006/relationships/hyperlink" Target="https://africanmarketingconfederation.org/conference-faq-2025/" TargetMode="External" Id="rId1310"/><Relationship Type="http://schemas.openxmlformats.org/officeDocument/2006/relationships/hyperlink" Target="#AEO!A1" TargetMode="External" Id="rId1311"/><Relationship Type="http://schemas.openxmlformats.org/officeDocument/2006/relationships/hyperlink" Target="https://africanmarketingconfederation.org/conference-registrations-2024/" TargetMode="External" Id="rId1312"/><Relationship Type="http://schemas.openxmlformats.org/officeDocument/2006/relationships/hyperlink" Target="#AEO!A1" TargetMode="External" Id="rId1313"/><Relationship Type="http://schemas.openxmlformats.org/officeDocument/2006/relationships/hyperlink" Target="https://africanmarketingconfederation.org/contact-us/" TargetMode="External" Id="rId1314"/><Relationship Type="http://schemas.openxmlformats.org/officeDocument/2006/relationships/hyperlink" Target="#AEO!A1" TargetMode="External" Id="rId1315"/><Relationship Type="http://schemas.openxmlformats.org/officeDocument/2006/relationships/hyperlink" Target="https://africanmarketingconfederation.org/download-brochure/" TargetMode="External" Id="rId1316"/><Relationship Type="http://schemas.openxmlformats.org/officeDocument/2006/relationships/hyperlink" Target="#AEO!A1" TargetMode="External" Id="rId1317"/><Relationship Type="http://schemas.openxmlformats.org/officeDocument/2006/relationships/hyperlink" Target="https://africanmarketingconfederation.org/download-prospectus-2024/" TargetMode="External" Id="rId1318"/><Relationship Type="http://schemas.openxmlformats.org/officeDocument/2006/relationships/hyperlink" Target="#AEO!A1" TargetMode="External" Id="rId1319"/><Relationship Type="http://schemas.openxmlformats.org/officeDocument/2006/relationships/hyperlink" Target="https://africanmarketingconfederation.org/education/" TargetMode="External" Id="rId1320"/><Relationship Type="http://schemas.openxmlformats.org/officeDocument/2006/relationships/hyperlink" Target="#AEO!A1" TargetMode="External" Id="rId1321"/><Relationship Type="http://schemas.openxmlformats.org/officeDocument/2006/relationships/hyperlink" Target="https://africanmarketingconfederation.org/elementor-16548/" TargetMode="External" Id="rId1322"/><Relationship Type="http://schemas.openxmlformats.org/officeDocument/2006/relationships/hyperlink" Target="#AEO!A1" TargetMode="External" Id="rId1323"/><Relationship Type="http://schemas.openxmlformats.org/officeDocument/2006/relationships/hyperlink" Target="https://africanmarketingconfederation.org/elementor-20341/" TargetMode="External" Id="rId1324"/><Relationship Type="http://schemas.openxmlformats.org/officeDocument/2006/relationships/hyperlink" Target="#AEO!A1" TargetMode="External" Id="rId1325"/><Relationship Type="http://schemas.openxmlformats.org/officeDocument/2006/relationships/hyperlink" Target="https://africanmarketingconfederation.org/elementor-31820/" TargetMode="External" Id="rId1326"/><Relationship Type="http://schemas.openxmlformats.org/officeDocument/2006/relationships/hyperlink" Target="#AEO!A1" TargetMode="External" Id="rId1327"/><Relationship Type="http://schemas.openxmlformats.org/officeDocument/2006/relationships/hyperlink" Target="https://africanmarketingconfederation.org/general-enquiry-form-thank-you/" TargetMode="External" Id="rId1328"/><Relationship Type="http://schemas.openxmlformats.org/officeDocument/2006/relationships/hyperlink" Target="#AEO!A1" TargetMode="External" Id="rId1329"/><Relationship Type="http://schemas.openxmlformats.org/officeDocument/2006/relationships/hyperlink" Target="https://africanmarketingconfederation.org/launch-event-2026-amc-conference/" TargetMode="External" Id="rId1330"/><Relationship Type="http://schemas.openxmlformats.org/officeDocument/2006/relationships/hyperlink" Target="#AEO!A1" TargetMode="External" Id="rId1331"/><Relationship Type="http://schemas.openxmlformats.org/officeDocument/2006/relationships/hyperlink" Target="https://africanmarketingconfederation.org/members/" TargetMode="External" Id="rId1332"/><Relationship Type="http://schemas.openxmlformats.org/officeDocument/2006/relationships/hyperlink" Target="#AEO!A1" TargetMode="External" Id="rId1333"/><Relationship Type="http://schemas.openxmlformats.org/officeDocument/2006/relationships/hyperlink" Target="https://africanmarketingconfederation.org/news-articles/" TargetMode="External" Id="rId1334"/><Relationship Type="http://schemas.openxmlformats.org/officeDocument/2006/relationships/hyperlink" Target="#AEO!A1" TargetMode="External" Id="rId1335"/><Relationship Type="http://schemas.openxmlformats.org/officeDocument/2006/relationships/hyperlink" Target="https://africanmarketingconfederation.org/privacy-policy/" TargetMode="External" Id="rId1336"/><Relationship Type="http://schemas.openxmlformats.org/officeDocument/2006/relationships/hyperlink" Target="#AEO!A1" TargetMode="External" Id="rId1337"/><Relationship Type="http://schemas.openxmlformats.org/officeDocument/2006/relationships/hyperlink" Target="https://africanmarketingconfederation.org/publication-download-list/" TargetMode="External" Id="rId1338"/><Relationship Type="http://schemas.openxmlformats.org/officeDocument/2006/relationships/hyperlink" Target="#AEO!A1" TargetMode="External" Id="rId1339"/><Relationship Type="http://schemas.openxmlformats.org/officeDocument/2006/relationships/hyperlink" Target="https://africanmarketingconfederation.org/publications-2/" TargetMode="External" Id="rId1340"/><Relationship Type="http://schemas.openxmlformats.org/officeDocument/2006/relationships/hyperlink" Target="#AEO!A1" TargetMode="External" Id="rId1341"/><Relationship Type="http://schemas.openxmlformats.org/officeDocument/2006/relationships/hyperlink" Target="https://africanmarketingconfederation.org/speakers-2025/" TargetMode="External" Id="rId1342"/><Relationship Type="http://schemas.openxmlformats.org/officeDocument/2006/relationships/hyperlink" Target="#AEO!A1" TargetMode="External" Id="rId1343"/><Relationship Type="http://schemas.openxmlformats.org/officeDocument/2006/relationships/hyperlink" Target="https://africanmarketingconfederation.org/speakers/" TargetMode="External" Id="rId1344"/><Relationship Type="http://schemas.openxmlformats.org/officeDocument/2006/relationships/hyperlink" Target="#AEO!A1" TargetMode="External" Id="rId1345"/><Relationship Type="http://schemas.openxmlformats.org/officeDocument/2006/relationships/hyperlink" Target="https://africanmarketingconfederation.org/sub-committees/" TargetMode="External" Id="rId1346"/><Relationship Type="http://schemas.openxmlformats.org/officeDocument/2006/relationships/hyperlink" Target="#AEO!A1" TargetMode="External" Id="rId1347"/><Relationship Type="http://schemas.openxmlformats.org/officeDocument/2006/relationships/hyperlink" Target="https://africanmarketingconfederation.org/subscribe/" TargetMode="External" Id="rId1348"/><Relationship Type="http://schemas.openxmlformats.org/officeDocument/2006/relationships/hyperlink" Target="#AEO!A1" TargetMode="External" Id="rId1349"/><Relationship Type="http://schemas.openxmlformats.org/officeDocument/2006/relationships/hyperlink" Target="https://africanmarketingconfederation.org/test-homeslider/" TargetMode="External" Id="rId1350"/><Relationship Type="http://schemas.openxmlformats.org/officeDocument/2006/relationships/hyperlink" Target="#AEO!A1" TargetMode="External" Id="rId1351"/><Relationship Type="http://schemas.openxmlformats.org/officeDocument/2006/relationships/hyperlink" Target="https://africanmarketingconfederation.org/test-payment-gate/" TargetMode="External" Id="rId1352"/><Relationship Type="http://schemas.openxmlformats.org/officeDocument/2006/relationships/hyperlink" Target="#AEO!A1" TargetMode="External" Id="rId1353"/><Relationship Type="http://schemas.openxmlformats.org/officeDocument/2006/relationships/hyperlink" Target="https://africanmarketingconfederation.org/thank-you-for-registering-2024-registrations-kenya/" TargetMode="External" Id="rId1354"/><Relationship Type="http://schemas.openxmlformats.org/officeDocument/2006/relationships/hyperlink" Target="#AEO!A1" TargetMode="External" Id="rId1355"/><Relationship Type="http://schemas.openxmlformats.org/officeDocument/2006/relationships/hyperlink" Target="https://africanmarketingconfederation.org/thank-you-for-registering-2024-registrations/" TargetMode="External" Id="rId1356"/><Relationship Type="http://schemas.openxmlformats.org/officeDocument/2006/relationships/hyperlink" Target="#AEO!A1" TargetMode="External" Id="rId1357"/><Relationship Type="http://schemas.openxmlformats.org/officeDocument/2006/relationships/hyperlink" Target="https://africanmarketingconfederation.org/thank-you-for-subscribing/" TargetMode="External" Id="rId1358"/><Relationship Type="http://schemas.openxmlformats.org/officeDocument/2006/relationships/hyperlink" Target="#AEO!A1" TargetMode="External" Id="rId1359"/><Relationship Type="http://schemas.openxmlformats.org/officeDocument/2006/relationships/hyperlink" Target="https://africanmarketingconfederation.org/thank-you-for-the-nomination-2024/" TargetMode="External" Id="rId1360"/><Relationship Type="http://schemas.openxmlformats.org/officeDocument/2006/relationships/hyperlink" Target="#AEO!A1" TargetMode="External" Id="rId1361"/><Relationship Type="http://schemas.openxmlformats.org/officeDocument/2006/relationships/hyperlink" Target="https://africanmarketingconfederation.org/thank-you-for-the-submission-2024/" TargetMode="External" Id="rId1362"/><Relationship Type="http://schemas.openxmlformats.org/officeDocument/2006/relationships/hyperlink" Target="#AEO!A1" TargetMode="External" Id="rId1363"/><Relationship Type="http://schemas.openxmlformats.org/officeDocument/2006/relationships/hyperlink" Target="https://africanmarketingconfederation.org/upcoming-events/" TargetMode="External" Id="rId1364"/><Relationship Type="http://schemas.openxmlformats.org/officeDocument/2006/relationships/hyperlink" Target="#AEO!A1" TargetMode="External" Id="rId1365"/><Relationship Type="http://schemas.openxmlformats.org/officeDocument/2006/relationships/hyperlink" Target="https://africanmarketingconfederation.org/virtual-programme/" TargetMode="External" Id="rId1366"/><Relationship Type="http://schemas.openxmlformats.org/officeDocument/2006/relationships/hyperlink" Target="#AEO!A1" TargetMode="External" Id="rId1367"/><Relationship Type="http://schemas.openxmlformats.org/officeDocument/2006/relationships/hyperlink" Target="https://africanmarketingconfederation.org/" TargetMode="External" Id="rId1368"/><Relationship Type="http://schemas.openxmlformats.org/officeDocument/2006/relationships/hyperlink" Target="#Main!A1" TargetMode="External" Id="rId1369"/><Relationship Type="http://schemas.openxmlformats.org/officeDocument/2006/relationships/hyperlink" Target="https://africanmarketingconfederation.org/about-us/" TargetMode="External" Id="rId1370"/><Relationship Type="http://schemas.openxmlformats.org/officeDocument/2006/relationships/hyperlink" Target="#Main!A1" TargetMode="External" Id="rId1371"/><Relationship Type="http://schemas.openxmlformats.org/officeDocument/2006/relationships/hyperlink" Target="https://africanmarketingconfederation.org/african-marketing-confederation-tourism-chapter/" TargetMode="External" Id="rId1372"/><Relationship Type="http://schemas.openxmlformats.org/officeDocument/2006/relationships/hyperlink" Target="#Main!A1" TargetMode="External" Id="rId1373"/><Relationship Type="http://schemas.openxmlformats.org/officeDocument/2006/relationships/hyperlink" Target="https://africanmarketingconfederation.org/amc-conference-2022-prospectus/" TargetMode="External" Id="rId1374"/><Relationship Type="http://schemas.openxmlformats.org/officeDocument/2006/relationships/hyperlink" Target="#Main!A1" TargetMode="External" Id="rId1375"/><Relationship Type="http://schemas.openxmlformats.org/officeDocument/2006/relationships/hyperlink" Target="https://africanmarketingconfederation.org/amc-conference-2022-thank-you/" TargetMode="External" Id="rId1376"/><Relationship Type="http://schemas.openxmlformats.org/officeDocument/2006/relationships/hyperlink" Target="#Main!A1" TargetMode="External" Id="rId1377"/><Relationship Type="http://schemas.openxmlformats.org/officeDocument/2006/relationships/hyperlink" Target="https://africanmarketingconfederation.org/amc-conference-2025-highlights/" TargetMode="External" Id="rId1378"/><Relationship Type="http://schemas.openxmlformats.org/officeDocument/2006/relationships/hyperlink" Target="#Main!A1" TargetMode="External" Id="rId1379"/><Relationship Type="http://schemas.openxmlformats.org/officeDocument/2006/relationships/hyperlink" Target="https://africanmarketingconfederation.org/amc-conference-2025/" TargetMode="External" Id="rId1380"/><Relationship Type="http://schemas.openxmlformats.org/officeDocument/2006/relationships/hyperlink" Target="#Main!A1" TargetMode="External" Id="rId1381"/><Relationship Type="http://schemas.openxmlformats.org/officeDocument/2006/relationships/hyperlink" Target="https://africanmarketingconfederation.org/amc-conference-2026-awards-nominations-thank-you/" TargetMode="External" Id="rId1382"/><Relationship Type="http://schemas.openxmlformats.org/officeDocument/2006/relationships/hyperlink" Target="#Main!A1" TargetMode="External" Id="rId1383"/><Relationship Type="http://schemas.openxmlformats.org/officeDocument/2006/relationships/hyperlink" Target="https://africanmarketingconfederation.org/amc-conference-2026-zambia-thank-you/" TargetMode="External" Id="rId1384"/><Relationship Type="http://schemas.openxmlformats.org/officeDocument/2006/relationships/hyperlink" Target="#Main!A1" TargetMode="External" Id="rId1385"/><Relationship Type="http://schemas.openxmlformats.org/officeDocument/2006/relationships/hyperlink" Target="https://africanmarketingconfederation.org/amc-launch-event-zambia-thank-you-2026/" TargetMode="External" Id="rId1386"/><Relationship Type="http://schemas.openxmlformats.org/officeDocument/2006/relationships/hyperlink" Target="#Main!A1" TargetMode="External" Id="rId1387"/><Relationship Type="http://schemas.openxmlformats.org/officeDocument/2006/relationships/hyperlink" Target="https://africanmarketingconfederation.org/amc-marketing-conference-2024/amc-conference-2025-ghana-sponsors/" TargetMode="External" Id="rId1388"/><Relationship Type="http://schemas.openxmlformats.org/officeDocument/2006/relationships/hyperlink" Target="#Main!A1" TargetMode="External" Id="rId1389"/><Relationship Type="http://schemas.openxmlformats.org/officeDocument/2006/relationships/hyperlink" Target="https://africanmarketingconfederation.org/amc-marketing-conference-2024/amc-programme-2025/" TargetMode="External" Id="rId1390"/><Relationship Type="http://schemas.openxmlformats.org/officeDocument/2006/relationships/hyperlink" Target="#Main!A1" TargetMode="External" Id="rId1391"/><Relationship Type="http://schemas.openxmlformats.org/officeDocument/2006/relationships/hyperlink" Target="https://africanmarketingconfederation.org/amc-marketing-conference-2024/amc-speakers-presentations-2024/" TargetMode="External" Id="rId1392"/><Relationship Type="http://schemas.openxmlformats.org/officeDocument/2006/relationships/hyperlink" Target="#Main!A1" TargetMode="External" Id="rId1393"/><Relationship Type="http://schemas.openxmlformats.org/officeDocument/2006/relationships/hyperlink" Target="https://africanmarketingconfederation.org/amc-masterclass-thank-you/" TargetMode="External" Id="rId1394"/><Relationship Type="http://schemas.openxmlformats.org/officeDocument/2006/relationships/hyperlink" Target="#Main!A1" TargetMode="External" Id="rId1395"/><Relationship Type="http://schemas.openxmlformats.org/officeDocument/2006/relationships/hyperlink" Target="https://africanmarketingconfederation.org/certified-professional-marketer-africa/" TargetMode="External" Id="rId1396"/><Relationship Type="http://schemas.openxmlformats.org/officeDocument/2006/relationships/hyperlink" Target="#Main!A1" TargetMode="External" Id="rId1397"/><Relationship Type="http://schemas.openxmlformats.org/officeDocument/2006/relationships/hyperlink" Target="https://africanmarketingconfederation.org/chartered-marketer-africa-final-submission-fee/" TargetMode="External" Id="rId1398"/><Relationship Type="http://schemas.openxmlformats.org/officeDocument/2006/relationships/hyperlink" Target="#Main!A1" TargetMode="External" Id="rId1399"/><Relationship Type="http://schemas.openxmlformats.org/officeDocument/2006/relationships/hyperlink" Target="https://africanmarketingconfederation.org/chartered-marketer-africa-programme-fee/" TargetMode="External" Id="rId1400"/><Relationship Type="http://schemas.openxmlformats.org/officeDocument/2006/relationships/hyperlink" Target="#Main!A1" TargetMode="External" Id="rId1401"/><Relationship Type="http://schemas.openxmlformats.org/officeDocument/2006/relationships/hyperlink" Target="https://africanmarketingconfederation.org/chartered-marketer-africa-thank-you/" TargetMode="External" Id="rId1402"/><Relationship Type="http://schemas.openxmlformats.org/officeDocument/2006/relationships/hyperlink" Target="#Main!A1" TargetMode="External" Id="rId1403"/><Relationship Type="http://schemas.openxmlformats.org/officeDocument/2006/relationships/hyperlink" Target="https://africanmarketingconfederation.org/chartered-marketer-africa/" TargetMode="External" Id="rId1404"/><Relationship Type="http://schemas.openxmlformats.org/officeDocument/2006/relationships/hyperlink" Target="#Main!A1" TargetMode="External" Id="rId1405"/><Relationship Type="http://schemas.openxmlformats.org/officeDocument/2006/relationships/hyperlink" Target="https://africanmarketingconfederation.org/checkout/" TargetMode="External" Id="rId1406"/><Relationship Type="http://schemas.openxmlformats.org/officeDocument/2006/relationships/hyperlink" Target="#Main!A1" TargetMode="External" Id="rId1407"/><Relationship Type="http://schemas.openxmlformats.org/officeDocument/2006/relationships/hyperlink" Target="https://africanmarketingconfederation.org/conference-faq-2025/" TargetMode="External" Id="rId1408"/><Relationship Type="http://schemas.openxmlformats.org/officeDocument/2006/relationships/hyperlink" Target="#Main!A1" TargetMode="External" Id="rId1409"/><Relationship Type="http://schemas.openxmlformats.org/officeDocument/2006/relationships/hyperlink" Target="https://africanmarketingconfederation.org/conference-registrations-2024/" TargetMode="External" Id="rId1410"/><Relationship Type="http://schemas.openxmlformats.org/officeDocument/2006/relationships/hyperlink" Target="#Main!A1" TargetMode="External" Id="rId1411"/><Relationship Type="http://schemas.openxmlformats.org/officeDocument/2006/relationships/hyperlink" Target="https://africanmarketingconfederation.org/general-enquiry-form-thank-you/" TargetMode="External" Id="rId1412"/><Relationship Type="http://schemas.openxmlformats.org/officeDocument/2006/relationships/hyperlink" Target="#Main!A1" TargetMode="External" Id="rId1413"/><Relationship Type="http://schemas.openxmlformats.org/officeDocument/2006/relationships/hyperlink" Target="https://africanmarketingconfederation.org/launch-event-2026-amc-conference/" TargetMode="External" Id="rId1414"/><Relationship Type="http://schemas.openxmlformats.org/officeDocument/2006/relationships/hyperlink" Target="#Main!A1" TargetMode="External" Id="rId1415"/><Relationship Type="http://schemas.openxmlformats.org/officeDocument/2006/relationships/hyperlink" Target="https://africanmarketingconfederation.org/speakers-2025/" TargetMode="External" Id="rId1416"/><Relationship Type="http://schemas.openxmlformats.org/officeDocument/2006/relationships/hyperlink" Target="#Main!A1" TargetMode="External" Id="rId1417"/><Relationship Type="http://schemas.openxmlformats.org/officeDocument/2006/relationships/hyperlink" Target="https://africanmarketingconfederation.org/thank-you-for-registering-2024-registrations-kenya/" TargetMode="External" Id="rId1418"/><Relationship Type="http://schemas.openxmlformats.org/officeDocument/2006/relationships/hyperlink" Target="#Main!A1" TargetMode="External" Id="rId1419"/><Relationship Type="http://schemas.openxmlformats.org/officeDocument/2006/relationships/hyperlink" Target="https://africanmarketingconfederation.org/thank-you-for-registering-2024-registrations/" TargetMode="External" Id="rId1420"/><Relationship Type="http://schemas.openxmlformats.org/officeDocument/2006/relationships/hyperlink" Target="#Main!A1" TargetMode="External" Id="rId1421"/><Relationship Type="http://schemas.openxmlformats.org/officeDocument/2006/relationships/hyperlink" Target="https://africanmarketingconfederation.org/thank-you-for-the-nomination-2024/" TargetMode="External" Id="rId1422"/><Relationship Type="http://schemas.openxmlformats.org/officeDocument/2006/relationships/hyperlink" Target="#Main!A1" TargetMode="External" Id="rId1423"/><Relationship Type="http://schemas.openxmlformats.org/officeDocument/2006/relationships/hyperlink" Target="https://africanmarketingconfederation.org/thank-you-for-the-submission-2024/" TargetMode="External" Id="rId1424"/><Relationship Type="http://schemas.openxmlformats.org/officeDocument/2006/relationships/hyperlink" Target="#Main!A1" TargetMode="External" Id="rId1425"/></Relationships>
</file>

<file path=xl/worksheets/_rels/sheet15.xml.rels><Relationships xmlns="http://schemas.openxmlformats.org/package/2006/relationships"><Relationship Type="http://schemas.openxmlformats.org/officeDocument/2006/relationships/hyperlink" Target="#Dashboard!A1" TargetMode="External" Id="rId1"/></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FixPlan!A13" TargetMode="External" Id="rId3"/><Relationship Type="http://schemas.openxmlformats.org/officeDocument/2006/relationships/hyperlink" Target="https://africanmarketingconfederation.org/" TargetMode="External" Id="rId4"/><Relationship Type="http://schemas.openxmlformats.org/officeDocument/2006/relationships/hyperlink" Target="#FixPlan!A12" TargetMode="External" Id="rId5"/><Relationship Type="http://schemas.openxmlformats.org/officeDocument/2006/relationships/hyperlink" Target="https://africanmarketingconfederation.org/" TargetMode="External" Id="rId6"/><Relationship Type="http://schemas.openxmlformats.org/officeDocument/2006/relationships/hyperlink" Target="#FixPlan!A20" TargetMode="External" Id="rId7"/><Relationship Type="http://schemas.openxmlformats.org/officeDocument/2006/relationships/hyperlink" Target="https://africanmarketingconfederation.org/" TargetMode="External" Id="rId8"/><Relationship Type="http://schemas.openxmlformats.org/officeDocument/2006/relationships/hyperlink" Target="#FixPlan!A21" TargetMode="External" Id="rId9"/><Relationship Type="http://schemas.openxmlformats.org/officeDocument/2006/relationships/hyperlink" Target="https://africanmarketingconfederation.org/" TargetMode="External" Id="rId10"/><Relationship Type="http://schemas.openxmlformats.org/officeDocument/2006/relationships/hyperlink" Target="#FixPlan!A22" TargetMode="External" Id="rId11"/><Relationship Type="http://schemas.openxmlformats.org/officeDocument/2006/relationships/hyperlink" Target="https://africanmarketingconfederation.org/" TargetMode="External" Id="rId12"/><Relationship Type="http://schemas.openxmlformats.org/officeDocument/2006/relationships/hyperlink" Target="#FixPlan!A23" TargetMode="External" Id="rId13"/><Relationship Type="http://schemas.openxmlformats.org/officeDocument/2006/relationships/hyperlink" Target="https://africanmarketingconfederation.org/" TargetMode="External" Id="rId14"/><Relationship Type="http://schemas.openxmlformats.org/officeDocument/2006/relationships/hyperlink" Target="#FixPlan!A24" TargetMode="External" Id="rId15"/><Relationship Type="http://schemas.openxmlformats.org/officeDocument/2006/relationships/hyperlink" Target="https://africanmarketingconfederation.org/" TargetMode="External" Id="rId16"/><Relationship Type="http://schemas.openxmlformats.org/officeDocument/2006/relationships/hyperlink" Target="#FixPlan!A25" TargetMode="External" Id="rId17"/><Relationship Type="http://schemas.openxmlformats.org/officeDocument/2006/relationships/hyperlink" Target="https://africanmarketingconfederation.org/" TargetMode="External" Id="rId18"/><Relationship Type="http://schemas.openxmlformats.org/officeDocument/2006/relationships/hyperlink" Target="#FixPlan!A26" TargetMode="External" Id="rId19"/><Relationship Type="http://schemas.openxmlformats.org/officeDocument/2006/relationships/hyperlink" Target="https://africanmarketingconfederation.org/publication-download-list/" TargetMode="External" Id="rId20"/><Relationship Type="http://schemas.openxmlformats.org/officeDocument/2006/relationships/hyperlink" Target="#FixPlan!A17" TargetMode="External" Id="rId21"/><Relationship Type="http://schemas.openxmlformats.org/officeDocument/2006/relationships/hyperlink" Target="https://africanmarketingconfederation.org/publication-download-list/" TargetMode="External" Id="rId22"/><Relationship Type="http://schemas.openxmlformats.org/officeDocument/2006/relationships/hyperlink" Target="#FixPlan!A16" TargetMode="External" Id="rId23"/><Relationship Type="http://schemas.openxmlformats.org/officeDocument/2006/relationships/hyperlink" Target="https://africanmarketingconfederation.org/publication-download-list/" TargetMode="External" Id="rId24"/><Relationship Type="http://schemas.openxmlformats.org/officeDocument/2006/relationships/hyperlink" Target="#FixPlan!A12" TargetMode="External" Id="rId25"/><Relationship Type="http://schemas.openxmlformats.org/officeDocument/2006/relationships/hyperlink" Target="https://africanmarketingconfederation.org/publication-download-list/" TargetMode="External" Id="rId26"/><Relationship Type="http://schemas.openxmlformats.org/officeDocument/2006/relationships/hyperlink" Target="#FixPlan!A20" TargetMode="External" Id="rId27"/><Relationship Type="http://schemas.openxmlformats.org/officeDocument/2006/relationships/hyperlink" Target="https://africanmarketingconfederation.org/publication-download-list/" TargetMode="External" Id="rId28"/><Relationship Type="http://schemas.openxmlformats.org/officeDocument/2006/relationships/hyperlink" Target="#FixPlan!A21" TargetMode="External" Id="rId29"/><Relationship Type="http://schemas.openxmlformats.org/officeDocument/2006/relationships/hyperlink" Target="https://africanmarketingconfederation.org/publication-download-list/" TargetMode="External" Id="rId30"/><Relationship Type="http://schemas.openxmlformats.org/officeDocument/2006/relationships/hyperlink" Target="#FixPlan!A22" TargetMode="External" Id="rId31"/><Relationship Type="http://schemas.openxmlformats.org/officeDocument/2006/relationships/hyperlink" Target="https://africanmarketingconfederation.org/publication-download-list/" TargetMode="External" Id="rId32"/><Relationship Type="http://schemas.openxmlformats.org/officeDocument/2006/relationships/hyperlink" Target="#FixPlan!A23" TargetMode="External" Id="rId33"/><Relationship Type="http://schemas.openxmlformats.org/officeDocument/2006/relationships/hyperlink" Target="https://africanmarketingconfederation.org/publication-download-list/" TargetMode="External" Id="rId34"/><Relationship Type="http://schemas.openxmlformats.org/officeDocument/2006/relationships/hyperlink" Target="#FixPlan!A24" TargetMode="External" Id="rId35"/><Relationship Type="http://schemas.openxmlformats.org/officeDocument/2006/relationships/hyperlink" Target="https://africanmarketingconfederation.org/publication-download-list/" TargetMode="External" Id="rId36"/><Relationship Type="http://schemas.openxmlformats.org/officeDocument/2006/relationships/hyperlink" Target="#FixPlan!A25" TargetMode="External" Id="rId37"/><Relationship Type="http://schemas.openxmlformats.org/officeDocument/2006/relationships/hyperlink" Target="https://africanmarketingconfederation.org/publication-download-list/" TargetMode="External" Id="rId38"/><Relationship Type="http://schemas.openxmlformats.org/officeDocument/2006/relationships/hyperlink" Target="#FixPlan!A26" TargetMode="External" Id="rId39"/><Relationship Type="http://schemas.openxmlformats.org/officeDocument/2006/relationships/hyperlink" Target="https://africanmarketingconfederation.org/launch-event-2026-amc-conference/" TargetMode="External" Id="rId40"/><Relationship Type="http://schemas.openxmlformats.org/officeDocument/2006/relationships/hyperlink" Target="#FixPlan!A16" TargetMode="External" Id="rId41"/><Relationship Type="http://schemas.openxmlformats.org/officeDocument/2006/relationships/hyperlink" Target="https://africanmarketingconfederation.org/launch-event-2026-amc-conference/" TargetMode="External" Id="rId42"/><Relationship Type="http://schemas.openxmlformats.org/officeDocument/2006/relationships/hyperlink" Target="#FixPlan!A12" TargetMode="External" Id="rId43"/><Relationship Type="http://schemas.openxmlformats.org/officeDocument/2006/relationships/hyperlink" Target="https://africanmarketingconfederation.org/launch-event-2026-amc-conference/" TargetMode="External" Id="rId44"/><Relationship Type="http://schemas.openxmlformats.org/officeDocument/2006/relationships/hyperlink" Target="#FixPlan!A20" TargetMode="External" Id="rId45"/><Relationship Type="http://schemas.openxmlformats.org/officeDocument/2006/relationships/hyperlink" Target="https://africanmarketingconfederation.org/launch-event-2026-amc-conference/" TargetMode="External" Id="rId46"/><Relationship Type="http://schemas.openxmlformats.org/officeDocument/2006/relationships/hyperlink" Target="#FixPlan!A21" TargetMode="External" Id="rId47"/><Relationship Type="http://schemas.openxmlformats.org/officeDocument/2006/relationships/hyperlink" Target="https://africanmarketingconfederation.org/launch-event-2026-amc-conference/" TargetMode="External" Id="rId48"/><Relationship Type="http://schemas.openxmlformats.org/officeDocument/2006/relationships/hyperlink" Target="#FixPlan!A22" TargetMode="External" Id="rId49"/><Relationship Type="http://schemas.openxmlformats.org/officeDocument/2006/relationships/hyperlink" Target="https://africanmarketingconfederation.org/launch-event-2026-amc-conference/" TargetMode="External" Id="rId50"/><Relationship Type="http://schemas.openxmlformats.org/officeDocument/2006/relationships/hyperlink" Target="#FixPlan!A23" TargetMode="External" Id="rId51"/><Relationship Type="http://schemas.openxmlformats.org/officeDocument/2006/relationships/hyperlink" Target="https://africanmarketingconfederation.org/launch-event-2026-amc-conference/" TargetMode="External" Id="rId52"/><Relationship Type="http://schemas.openxmlformats.org/officeDocument/2006/relationships/hyperlink" Target="#FixPlan!A24" TargetMode="External" Id="rId53"/><Relationship Type="http://schemas.openxmlformats.org/officeDocument/2006/relationships/hyperlink" Target="https://africanmarketingconfederation.org/launch-event-2026-amc-conference/" TargetMode="External" Id="rId54"/><Relationship Type="http://schemas.openxmlformats.org/officeDocument/2006/relationships/hyperlink" Target="#FixPlan!A25" TargetMode="External" Id="rId55"/><Relationship Type="http://schemas.openxmlformats.org/officeDocument/2006/relationships/hyperlink" Target="https://africanmarketingconfederation.org/launch-event-2026-amc-conference/" TargetMode="External" Id="rId56"/><Relationship Type="http://schemas.openxmlformats.org/officeDocument/2006/relationships/hyperlink" Target="#FixPlan!A26" TargetMode="External" Id="rId57"/><Relationship Type="http://schemas.openxmlformats.org/officeDocument/2006/relationships/hyperlink" Target="https://africanmarketingconfederation.org/publications-2/" TargetMode="External" Id="rId58"/><Relationship Type="http://schemas.openxmlformats.org/officeDocument/2006/relationships/hyperlink" Target="#FixPlan!A16" TargetMode="External" Id="rId59"/><Relationship Type="http://schemas.openxmlformats.org/officeDocument/2006/relationships/hyperlink" Target="https://africanmarketingconfederation.org/publications-2/" TargetMode="External" Id="rId60"/><Relationship Type="http://schemas.openxmlformats.org/officeDocument/2006/relationships/hyperlink" Target="#FixPlan!A12" TargetMode="External" Id="rId61"/><Relationship Type="http://schemas.openxmlformats.org/officeDocument/2006/relationships/hyperlink" Target="https://africanmarketingconfederation.org/publications-2/" TargetMode="External" Id="rId62"/><Relationship Type="http://schemas.openxmlformats.org/officeDocument/2006/relationships/hyperlink" Target="#FixPlan!A20" TargetMode="External" Id="rId63"/><Relationship Type="http://schemas.openxmlformats.org/officeDocument/2006/relationships/hyperlink" Target="https://africanmarketingconfederation.org/publications-2/" TargetMode="External" Id="rId64"/><Relationship Type="http://schemas.openxmlformats.org/officeDocument/2006/relationships/hyperlink" Target="#FixPlan!A21" TargetMode="External" Id="rId65"/><Relationship Type="http://schemas.openxmlformats.org/officeDocument/2006/relationships/hyperlink" Target="https://africanmarketingconfederation.org/publications-2/" TargetMode="External" Id="rId66"/><Relationship Type="http://schemas.openxmlformats.org/officeDocument/2006/relationships/hyperlink" Target="#FixPlan!A22" TargetMode="External" Id="rId67"/><Relationship Type="http://schemas.openxmlformats.org/officeDocument/2006/relationships/hyperlink" Target="https://africanmarketingconfederation.org/publications-2/" TargetMode="External" Id="rId68"/><Relationship Type="http://schemas.openxmlformats.org/officeDocument/2006/relationships/hyperlink" Target="#FixPlan!A23" TargetMode="External" Id="rId69"/><Relationship Type="http://schemas.openxmlformats.org/officeDocument/2006/relationships/hyperlink" Target="https://africanmarketingconfederation.org/publications-2/" TargetMode="External" Id="rId70"/><Relationship Type="http://schemas.openxmlformats.org/officeDocument/2006/relationships/hyperlink" Target="#FixPlan!A24" TargetMode="External" Id="rId71"/><Relationship Type="http://schemas.openxmlformats.org/officeDocument/2006/relationships/hyperlink" Target="https://africanmarketingconfederation.org/publications-2/" TargetMode="External" Id="rId72"/><Relationship Type="http://schemas.openxmlformats.org/officeDocument/2006/relationships/hyperlink" Target="#FixPlan!A25" TargetMode="External" Id="rId73"/><Relationship Type="http://schemas.openxmlformats.org/officeDocument/2006/relationships/hyperlink" Target="https://africanmarketingconfederation.org/publications-2/" TargetMode="External" Id="rId74"/><Relationship Type="http://schemas.openxmlformats.org/officeDocument/2006/relationships/hyperlink" Target="#FixPlan!A26" TargetMode="External" Id="rId75"/><Relationship Type="http://schemas.openxmlformats.org/officeDocument/2006/relationships/hyperlink" Target="https://africanmarketingconfederation.org/certified-professional-marketer-africa/" TargetMode="External" Id="rId76"/><Relationship Type="http://schemas.openxmlformats.org/officeDocument/2006/relationships/hyperlink" Target="#FixPlan!A17" TargetMode="External" Id="rId77"/><Relationship Type="http://schemas.openxmlformats.org/officeDocument/2006/relationships/hyperlink" Target="https://africanmarketingconfederation.org/certified-professional-marketer-africa/" TargetMode="External" Id="rId78"/><Relationship Type="http://schemas.openxmlformats.org/officeDocument/2006/relationships/hyperlink" Target="#FixPlan!A12" TargetMode="External" Id="rId79"/><Relationship Type="http://schemas.openxmlformats.org/officeDocument/2006/relationships/hyperlink" Target="https://africanmarketingconfederation.org/certified-professional-marketer-africa/" TargetMode="External" Id="rId80"/><Relationship Type="http://schemas.openxmlformats.org/officeDocument/2006/relationships/hyperlink" Target="#FixPlan!A20" TargetMode="External" Id="rId81"/><Relationship Type="http://schemas.openxmlformats.org/officeDocument/2006/relationships/hyperlink" Target="https://africanmarketingconfederation.org/certified-professional-marketer-africa/" TargetMode="External" Id="rId82"/><Relationship Type="http://schemas.openxmlformats.org/officeDocument/2006/relationships/hyperlink" Target="#FixPlan!A21" TargetMode="External" Id="rId83"/><Relationship Type="http://schemas.openxmlformats.org/officeDocument/2006/relationships/hyperlink" Target="https://africanmarketingconfederation.org/certified-professional-marketer-africa/" TargetMode="External" Id="rId84"/><Relationship Type="http://schemas.openxmlformats.org/officeDocument/2006/relationships/hyperlink" Target="#FixPlan!A22" TargetMode="External" Id="rId85"/><Relationship Type="http://schemas.openxmlformats.org/officeDocument/2006/relationships/hyperlink" Target="https://africanmarketingconfederation.org/certified-professional-marketer-africa/" TargetMode="External" Id="rId86"/><Relationship Type="http://schemas.openxmlformats.org/officeDocument/2006/relationships/hyperlink" Target="#FixPlan!A23" TargetMode="External" Id="rId87"/><Relationship Type="http://schemas.openxmlformats.org/officeDocument/2006/relationships/hyperlink" Target="https://africanmarketingconfederation.org/certified-professional-marketer-africa/" TargetMode="External" Id="rId88"/><Relationship Type="http://schemas.openxmlformats.org/officeDocument/2006/relationships/hyperlink" Target="#FixPlan!A24" TargetMode="External" Id="rId89"/><Relationship Type="http://schemas.openxmlformats.org/officeDocument/2006/relationships/hyperlink" Target="https://africanmarketingconfederation.org/certified-professional-marketer-africa/" TargetMode="External" Id="rId90"/><Relationship Type="http://schemas.openxmlformats.org/officeDocument/2006/relationships/hyperlink" Target="#FixPlan!A25" TargetMode="External" Id="rId91"/><Relationship Type="http://schemas.openxmlformats.org/officeDocument/2006/relationships/hyperlink" Target="https://africanmarketingconfederation.org/certified-professional-marketer-africa/" TargetMode="External" Id="rId92"/><Relationship Type="http://schemas.openxmlformats.org/officeDocument/2006/relationships/hyperlink" Target="#FixPlan!A26" TargetMode="External" Id="rId93"/><Relationship Type="http://schemas.openxmlformats.org/officeDocument/2006/relationships/hyperlink" Target="https://africanmarketingconfederation.org/chartered-marketer-africa/" TargetMode="External" Id="rId94"/><Relationship Type="http://schemas.openxmlformats.org/officeDocument/2006/relationships/hyperlink" Target="#FixPlan!A12" TargetMode="External" Id="rId95"/><Relationship Type="http://schemas.openxmlformats.org/officeDocument/2006/relationships/hyperlink" Target="https://africanmarketingconfederation.org/chartered-marketer-africa/" TargetMode="External" Id="rId96"/><Relationship Type="http://schemas.openxmlformats.org/officeDocument/2006/relationships/hyperlink" Target="#FixPlan!A20" TargetMode="External" Id="rId97"/><Relationship Type="http://schemas.openxmlformats.org/officeDocument/2006/relationships/hyperlink" Target="https://africanmarketingconfederation.org/chartered-marketer-africa/" TargetMode="External" Id="rId98"/><Relationship Type="http://schemas.openxmlformats.org/officeDocument/2006/relationships/hyperlink" Target="#FixPlan!A21" TargetMode="External" Id="rId99"/><Relationship Type="http://schemas.openxmlformats.org/officeDocument/2006/relationships/hyperlink" Target="https://africanmarketingconfederation.org/chartered-marketer-africa/" TargetMode="External" Id="rId100"/><Relationship Type="http://schemas.openxmlformats.org/officeDocument/2006/relationships/hyperlink" Target="#FixPlan!A22" TargetMode="External" Id="rId101"/><Relationship Type="http://schemas.openxmlformats.org/officeDocument/2006/relationships/hyperlink" Target="https://africanmarketingconfederation.org/chartered-marketer-africa/" TargetMode="External" Id="rId102"/><Relationship Type="http://schemas.openxmlformats.org/officeDocument/2006/relationships/hyperlink" Target="#FixPlan!A23" TargetMode="External" Id="rId103"/><Relationship Type="http://schemas.openxmlformats.org/officeDocument/2006/relationships/hyperlink" Target="https://africanmarketingconfederation.org/chartered-marketer-africa/" TargetMode="External" Id="rId104"/><Relationship Type="http://schemas.openxmlformats.org/officeDocument/2006/relationships/hyperlink" Target="#FixPlan!A24" TargetMode="External" Id="rId105"/><Relationship Type="http://schemas.openxmlformats.org/officeDocument/2006/relationships/hyperlink" Target="https://africanmarketingconfederation.org/chartered-marketer-africa/" TargetMode="External" Id="rId106"/><Relationship Type="http://schemas.openxmlformats.org/officeDocument/2006/relationships/hyperlink" Target="#FixPlan!A25" TargetMode="External" Id="rId107"/><Relationship Type="http://schemas.openxmlformats.org/officeDocument/2006/relationships/hyperlink" Target="https://africanmarketingconfederation.org/chartered-marketer-africa/" TargetMode="External" Id="rId108"/><Relationship Type="http://schemas.openxmlformats.org/officeDocument/2006/relationships/hyperlink" Target="#FixPlan!A26" TargetMode="External" Id="rId109"/><Relationship Type="http://schemas.openxmlformats.org/officeDocument/2006/relationships/hyperlink" Target="https://africanmarketingconfederation.org/amc-conference-2026/" TargetMode="External" Id="rId110"/><Relationship Type="http://schemas.openxmlformats.org/officeDocument/2006/relationships/hyperlink" Target="#FixPlan!A12" TargetMode="External" Id="rId111"/><Relationship Type="http://schemas.openxmlformats.org/officeDocument/2006/relationships/hyperlink" Target="https://africanmarketingconfederation.org/amc-conference-2026/" TargetMode="External" Id="rId112"/><Relationship Type="http://schemas.openxmlformats.org/officeDocument/2006/relationships/hyperlink" Target="#FixPlan!A27" TargetMode="External" Id="rId113"/><Relationship Type="http://schemas.openxmlformats.org/officeDocument/2006/relationships/hyperlink" Target="https://africanmarketingconfederation.org/amc-conference-2026/" TargetMode="External" Id="rId114"/><Relationship Type="http://schemas.openxmlformats.org/officeDocument/2006/relationships/hyperlink" Target="#FixPlan!A20" TargetMode="External" Id="rId115"/><Relationship Type="http://schemas.openxmlformats.org/officeDocument/2006/relationships/hyperlink" Target="https://africanmarketingconfederation.org/amc-conference-2026/" TargetMode="External" Id="rId116"/><Relationship Type="http://schemas.openxmlformats.org/officeDocument/2006/relationships/hyperlink" Target="#FixPlan!A21" TargetMode="External" Id="rId117"/><Relationship Type="http://schemas.openxmlformats.org/officeDocument/2006/relationships/hyperlink" Target="https://africanmarketingconfederation.org/amc-conference-2026/" TargetMode="External" Id="rId118"/><Relationship Type="http://schemas.openxmlformats.org/officeDocument/2006/relationships/hyperlink" Target="#FixPlan!A22" TargetMode="External" Id="rId119"/><Relationship Type="http://schemas.openxmlformats.org/officeDocument/2006/relationships/hyperlink" Target="https://africanmarketingconfederation.org/amc-conference-2026/" TargetMode="External" Id="rId120"/><Relationship Type="http://schemas.openxmlformats.org/officeDocument/2006/relationships/hyperlink" Target="#FixPlan!A23" TargetMode="External" Id="rId121"/><Relationship Type="http://schemas.openxmlformats.org/officeDocument/2006/relationships/hyperlink" Target="https://africanmarketingconfederation.org/amc-conference-2026/" TargetMode="External" Id="rId122"/><Relationship Type="http://schemas.openxmlformats.org/officeDocument/2006/relationships/hyperlink" Target="#FixPlan!A24" TargetMode="External" Id="rId123"/><Relationship Type="http://schemas.openxmlformats.org/officeDocument/2006/relationships/hyperlink" Target="https://africanmarketingconfederation.org/amc-conference-2026/" TargetMode="External" Id="rId124"/><Relationship Type="http://schemas.openxmlformats.org/officeDocument/2006/relationships/hyperlink" Target="#FixPlan!A25" TargetMode="External" Id="rId125"/><Relationship Type="http://schemas.openxmlformats.org/officeDocument/2006/relationships/hyperlink" Target="https://africanmarketingconfederation.org/amc-conference-2026/" TargetMode="External" Id="rId126"/><Relationship Type="http://schemas.openxmlformats.org/officeDocument/2006/relationships/hyperlink" Target="#FixPlan!A26" TargetMode="External" Id="rId127"/><Relationship Type="http://schemas.openxmlformats.org/officeDocument/2006/relationships/hyperlink" Target="https://africanmarketingconfederation.org/education/" TargetMode="External" Id="rId128"/><Relationship Type="http://schemas.openxmlformats.org/officeDocument/2006/relationships/hyperlink" Target="#FixPlan!A17" TargetMode="External" Id="rId129"/><Relationship Type="http://schemas.openxmlformats.org/officeDocument/2006/relationships/hyperlink" Target="https://africanmarketingconfederation.org/education/" TargetMode="External" Id="rId130"/><Relationship Type="http://schemas.openxmlformats.org/officeDocument/2006/relationships/hyperlink" Target="#FixPlan!A12" TargetMode="External" Id="rId131"/><Relationship Type="http://schemas.openxmlformats.org/officeDocument/2006/relationships/hyperlink" Target="https://africanmarketingconfederation.org/education/" TargetMode="External" Id="rId132"/><Relationship Type="http://schemas.openxmlformats.org/officeDocument/2006/relationships/hyperlink" Target="#FixPlan!A20" TargetMode="External" Id="rId133"/><Relationship Type="http://schemas.openxmlformats.org/officeDocument/2006/relationships/hyperlink" Target="https://africanmarketingconfederation.org/education/" TargetMode="External" Id="rId134"/><Relationship Type="http://schemas.openxmlformats.org/officeDocument/2006/relationships/hyperlink" Target="#FixPlan!A21" TargetMode="External" Id="rId135"/><Relationship Type="http://schemas.openxmlformats.org/officeDocument/2006/relationships/hyperlink" Target="https://africanmarketingconfederation.org/education/" TargetMode="External" Id="rId136"/><Relationship Type="http://schemas.openxmlformats.org/officeDocument/2006/relationships/hyperlink" Target="#FixPlan!A22" TargetMode="External" Id="rId137"/><Relationship Type="http://schemas.openxmlformats.org/officeDocument/2006/relationships/hyperlink" Target="https://africanmarketingconfederation.org/education/" TargetMode="External" Id="rId138"/><Relationship Type="http://schemas.openxmlformats.org/officeDocument/2006/relationships/hyperlink" Target="#FixPlan!A23" TargetMode="External" Id="rId139"/><Relationship Type="http://schemas.openxmlformats.org/officeDocument/2006/relationships/hyperlink" Target="https://africanmarketingconfederation.org/education/" TargetMode="External" Id="rId140"/><Relationship Type="http://schemas.openxmlformats.org/officeDocument/2006/relationships/hyperlink" Target="#FixPlan!A24" TargetMode="External" Id="rId141"/><Relationship Type="http://schemas.openxmlformats.org/officeDocument/2006/relationships/hyperlink" Target="https://africanmarketingconfederation.org/education/" TargetMode="External" Id="rId142"/><Relationship Type="http://schemas.openxmlformats.org/officeDocument/2006/relationships/hyperlink" Target="#FixPlan!A25" TargetMode="External" Id="rId143"/><Relationship Type="http://schemas.openxmlformats.org/officeDocument/2006/relationships/hyperlink" Target="https://africanmarketingconfederation.org/education/" TargetMode="External" Id="rId144"/><Relationship Type="http://schemas.openxmlformats.org/officeDocument/2006/relationships/hyperlink" Target="#FixPlan!A26" TargetMode="External" Id="rId145"/><Relationship Type="http://schemas.openxmlformats.org/officeDocument/2006/relationships/hyperlink" Target="https://africanmarketingconfederation.org/awards-2026/" TargetMode="External" Id="rId146"/><Relationship Type="http://schemas.openxmlformats.org/officeDocument/2006/relationships/hyperlink" Target="#FixPlan!A13" TargetMode="External" Id="rId147"/><Relationship Type="http://schemas.openxmlformats.org/officeDocument/2006/relationships/hyperlink" Target="https://africanmarketingconfederation.org/awards-2026/" TargetMode="External" Id="rId148"/><Relationship Type="http://schemas.openxmlformats.org/officeDocument/2006/relationships/hyperlink" Target="#FixPlan!A12" TargetMode="External" Id="rId149"/><Relationship Type="http://schemas.openxmlformats.org/officeDocument/2006/relationships/hyperlink" Target="https://africanmarketingconfederation.org/awards-2026/" TargetMode="External" Id="rId150"/><Relationship Type="http://schemas.openxmlformats.org/officeDocument/2006/relationships/hyperlink" Target="#FixPlan!A20" TargetMode="External" Id="rId151"/><Relationship Type="http://schemas.openxmlformats.org/officeDocument/2006/relationships/hyperlink" Target="https://africanmarketingconfederation.org/awards-2026/" TargetMode="External" Id="rId152"/><Relationship Type="http://schemas.openxmlformats.org/officeDocument/2006/relationships/hyperlink" Target="#FixPlan!A21" TargetMode="External" Id="rId153"/><Relationship Type="http://schemas.openxmlformats.org/officeDocument/2006/relationships/hyperlink" Target="https://africanmarketingconfederation.org/awards-2026/" TargetMode="External" Id="rId154"/><Relationship Type="http://schemas.openxmlformats.org/officeDocument/2006/relationships/hyperlink" Target="#FixPlan!A22" TargetMode="External" Id="rId155"/><Relationship Type="http://schemas.openxmlformats.org/officeDocument/2006/relationships/hyperlink" Target="https://africanmarketingconfederation.org/awards-2026/" TargetMode="External" Id="rId156"/><Relationship Type="http://schemas.openxmlformats.org/officeDocument/2006/relationships/hyperlink" Target="#FixPlan!A23" TargetMode="External" Id="rId157"/><Relationship Type="http://schemas.openxmlformats.org/officeDocument/2006/relationships/hyperlink" Target="https://africanmarketingconfederation.org/awards-2026/" TargetMode="External" Id="rId158"/><Relationship Type="http://schemas.openxmlformats.org/officeDocument/2006/relationships/hyperlink" Target="#FixPlan!A24" TargetMode="External" Id="rId159"/><Relationship Type="http://schemas.openxmlformats.org/officeDocument/2006/relationships/hyperlink" Target="https://africanmarketingconfederation.org/awards-2026/" TargetMode="External" Id="rId160"/><Relationship Type="http://schemas.openxmlformats.org/officeDocument/2006/relationships/hyperlink" Target="#FixPlan!A25" TargetMode="External" Id="rId161"/><Relationship Type="http://schemas.openxmlformats.org/officeDocument/2006/relationships/hyperlink" Target="https://africanmarketingconfederation.org/awards-2026/" TargetMode="External" Id="rId162"/><Relationship Type="http://schemas.openxmlformats.org/officeDocument/2006/relationships/hyperlink" Target="#FixPlan!A26" TargetMode="External" Id="rId163"/><Relationship Type="http://schemas.openxmlformats.org/officeDocument/2006/relationships/hyperlink" Target="https://africanmarketingconfederation.org/contact-us/" TargetMode="External" Id="rId164"/><Relationship Type="http://schemas.openxmlformats.org/officeDocument/2006/relationships/hyperlink" Target="#FixPlan!A13" TargetMode="External" Id="rId165"/><Relationship Type="http://schemas.openxmlformats.org/officeDocument/2006/relationships/hyperlink" Target="https://africanmarketingconfederation.org/contact-us/" TargetMode="External" Id="rId166"/><Relationship Type="http://schemas.openxmlformats.org/officeDocument/2006/relationships/hyperlink" Target="#FixPlan!A12" TargetMode="External" Id="rId167"/><Relationship Type="http://schemas.openxmlformats.org/officeDocument/2006/relationships/hyperlink" Target="https://africanmarketingconfederation.org/contact-us/" TargetMode="External" Id="rId168"/><Relationship Type="http://schemas.openxmlformats.org/officeDocument/2006/relationships/hyperlink" Target="#FixPlan!A20" TargetMode="External" Id="rId169"/><Relationship Type="http://schemas.openxmlformats.org/officeDocument/2006/relationships/hyperlink" Target="https://africanmarketingconfederation.org/contact-us/" TargetMode="External" Id="rId170"/><Relationship Type="http://schemas.openxmlformats.org/officeDocument/2006/relationships/hyperlink" Target="#FixPlan!A21" TargetMode="External" Id="rId171"/><Relationship Type="http://schemas.openxmlformats.org/officeDocument/2006/relationships/hyperlink" Target="https://africanmarketingconfederation.org/contact-us/" TargetMode="External" Id="rId172"/><Relationship Type="http://schemas.openxmlformats.org/officeDocument/2006/relationships/hyperlink" Target="#FixPlan!A22" TargetMode="External" Id="rId173"/><Relationship Type="http://schemas.openxmlformats.org/officeDocument/2006/relationships/hyperlink" Target="https://africanmarketingconfederation.org/contact-us/" TargetMode="External" Id="rId174"/><Relationship Type="http://schemas.openxmlformats.org/officeDocument/2006/relationships/hyperlink" Target="#FixPlan!A23" TargetMode="External" Id="rId175"/><Relationship Type="http://schemas.openxmlformats.org/officeDocument/2006/relationships/hyperlink" Target="https://africanmarketingconfederation.org/contact-us/" TargetMode="External" Id="rId176"/><Relationship Type="http://schemas.openxmlformats.org/officeDocument/2006/relationships/hyperlink" Target="#FixPlan!A24" TargetMode="External" Id="rId177"/><Relationship Type="http://schemas.openxmlformats.org/officeDocument/2006/relationships/hyperlink" Target="https://africanmarketingconfederation.org/contact-us/" TargetMode="External" Id="rId178"/><Relationship Type="http://schemas.openxmlformats.org/officeDocument/2006/relationships/hyperlink" Target="#FixPlan!A25" TargetMode="External" Id="rId179"/><Relationship Type="http://schemas.openxmlformats.org/officeDocument/2006/relationships/hyperlink" Target="https://africanmarketingconfederation.org/contact-us/" TargetMode="External" Id="rId180"/><Relationship Type="http://schemas.openxmlformats.org/officeDocument/2006/relationships/hyperlink" Target="#FixPlan!A26" TargetMode="External" Id="rId181"/><Relationship Type="http://schemas.openxmlformats.org/officeDocument/2006/relationships/hyperlink" Target="https://africanmarketingconfederation.org/news-articles/" TargetMode="External" Id="rId182"/><Relationship Type="http://schemas.openxmlformats.org/officeDocument/2006/relationships/hyperlink" Target="#FixPlan!A12" TargetMode="External" Id="rId183"/><Relationship Type="http://schemas.openxmlformats.org/officeDocument/2006/relationships/hyperlink" Target="https://africanmarketingconfederation.org/news-articles/" TargetMode="External" Id="rId184"/><Relationship Type="http://schemas.openxmlformats.org/officeDocument/2006/relationships/hyperlink" Target="#FixPlan!A20" TargetMode="External" Id="rId185"/><Relationship Type="http://schemas.openxmlformats.org/officeDocument/2006/relationships/hyperlink" Target="https://africanmarketingconfederation.org/news-articles/" TargetMode="External" Id="rId186"/><Relationship Type="http://schemas.openxmlformats.org/officeDocument/2006/relationships/hyperlink" Target="#FixPlan!A21" TargetMode="External" Id="rId187"/><Relationship Type="http://schemas.openxmlformats.org/officeDocument/2006/relationships/hyperlink" Target="https://africanmarketingconfederation.org/news-articles/" TargetMode="External" Id="rId188"/><Relationship Type="http://schemas.openxmlformats.org/officeDocument/2006/relationships/hyperlink" Target="#FixPlan!A22" TargetMode="External" Id="rId189"/><Relationship Type="http://schemas.openxmlformats.org/officeDocument/2006/relationships/hyperlink" Target="https://africanmarketingconfederation.org/news-articles/" TargetMode="External" Id="rId190"/><Relationship Type="http://schemas.openxmlformats.org/officeDocument/2006/relationships/hyperlink" Target="#FixPlan!A23" TargetMode="External" Id="rId191"/><Relationship Type="http://schemas.openxmlformats.org/officeDocument/2006/relationships/hyperlink" Target="https://africanmarketingconfederation.org/news-articles/" TargetMode="External" Id="rId192"/><Relationship Type="http://schemas.openxmlformats.org/officeDocument/2006/relationships/hyperlink" Target="#FixPlan!A24" TargetMode="External" Id="rId193"/><Relationship Type="http://schemas.openxmlformats.org/officeDocument/2006/relationships/hyperlink" Target="https://africanmarketingconfederation.org/news-articles/" TargetMode="External" Id="rId194"/><Relationship Type="http://schemas.openxmlformats.org/officeDocument/2006/relationships/hyperlink" Target="#FixPlan!A25" TargetMode="External" Id="rId195"/><Relationship Type="http://schemas.openxmlformats.org/officeDocument/2006/relationships/hyperlink" Target="https://africanmarketingconfederation.org/news-articles/" TargetMode="External" Id="rId196"/><Relationship Type="http://schemas.openxmlformats.org/officeDocument/2006/relationships/hyperlink" Target="#FixPlan!A26" TargetMode="External" Id="rId197"/><Relationship Type="http://schemas.openxmlformats.org/officeDocument/2006/relationships/hyperlink" Target="https://africanmarketingconfederation.org/african-marketing-confederation-tourism-chapter/" TargetMode="External" Id="rId198"/><Relationship Type="http://schemas.openxmlformats.org/officeDocument/2006/relationships/hyperlink" Target="#FixPlan!A13" TargetMode="External" Id="rId199"/><Relationship Type="http://schemas.openxmlformats.org/officeDocument/2006/relationships/hyperlink" Target="https://africanmarketingconfederation.org/african-marketing-confederation-tourism-chapter/" TargetMode="External" Id="rId200"/><Relationship Type="http://schemas.openxmlformats.org/officeDocument/2006/relationships/hyperlink" Target="#FixPlan!A12" TargetMode="External" Id="rId201"/><Relationship Type="http://schemas.openxmlformats.org/officeDocument/2006/relationships/hyperlink" Target="https://africanmarketingconfederation.org/african-marketing-confederation-tourism-chapter/" TargetMode="External" Id="rId202"/><Relationship Type="http://schemas.openxmlformats.org/officeDocument/2006/relationships/hyperlink" Target="#FixPlan!A20" TargetMode="External" Id="rId203"/><Relationship Type="http://schemas.openxmlformats.org/officeDocument/2006/relationships/hyperlink" Target="https://africanmarketingconfederation.org/african-marketing-confederation-tourism-chapter/" TargetMode="External" Id="rId204"/><Relationship Type="http://schemas.openxmlformats.org/officeDocument/2006/relationships/hyperlink" Target="#FixPlan!A21" TargetMode="External" Id="rId205"/><Relationship Type="http://schemas.openxmlformats.org/officeDocument/2006/relationships/hyperlink" Target="https://africanmarketingconfederation.org/african-marketing-confederation-tourism-chapter/" TargetMode="External" Id="rId206"/><Relationship Type="http://schemas.openxmlformats.org/officeDocument/2006/relationships/hyperlink" Target="#FixPlan!A22" TargetMode="External" Id="rId207"/><Relationship Type="http://schemas.openxmlformats.org/officeDocument/2006/relationships/hyperlink" Target="https://africanmarketingconfederation.org/african-marketing-confederation-tourism-chapter/" TargetMode="External" Id="rId208"/><Relationship Type="http://schemas.openxmlformats.org/officeDocument/2006/relationships/hyperlink" Target="#FixPlan!A23" TargetMode="External" Id="rId209"/><Relationship Type="http://schemas.openxmlformats.org/officeDocument/2006/relationships/hyperlink" Target="https://africanmarketingconfederation.org/african-marketing-confederation-tourism-chapter/" TargetMode="External" Id="rId210"/><Relationship Type="http://schemas.openxmlformats.org/officeDocument/2006/relationships/hyperlink" Target="#FixPlan!A24" TargetMode="External" Id="rId211"/><Relationship Type="http://schemas.openxmlformats.org/officeDocument/2006/relationships/hyperlink" Target="https://africanmarketingconfederation.org/african-marketing-confederation-tourism-chapter/" TargetMode="External" Id="rId212"/><Relationship Type="http://schemas.openxmlformats.org/officeDocument/2006/relationships/hyperlink" Target="#FixPlan!A25" TargetMode="External" Id="rId213"/><Relationship Type="http://schemas.openxmlformats.org/officeDocument/2006/relationships/hyperlink" Target="https://africanmarketingconfederation.org/african-marketing-confederation-tourism-chapter/" TargetMode="External" Id="rId214"/><Relationship Type="http://schemas.openxmlformats.org/officeDocument/2006/relationships/hyperlink" Target="#FixPlan!A26" TargetMode="External" Id="rId215"/><Relationship Type="http://schemas.openxmlformats.org/officeDocument/2006/relationships/hyperlink" Target="https://africanmarketingconfederation.org/sub-committees/" TargetMode="External" Id="rId216"/><Relationship Type="http://schemas.openxmlformats.org/officeDocument/2006/relationships/hyperlink" Target="#FixPlan!A12" TargetMode="External" Id="rId217"/><Relationship Type="http://schemas.openxmlformats.org/officeDocument/2006/relationships/hyperlink" Target="https://africanmarketingconfederation.org/sub-committees/" TargetMode="External" Id="rId218"/><Relationship Type="http://schemas.openxmlformats.org/officeDocument/2006/relationships/hyperlink" Target="#FixPlan!A20" TargetMode="External" Id="rId219"/><Relationship Type="http://schemas.openxmlformats.org/officeDocument/2006/relationships/hyperlink" Target="https://africanmarketingconfederation.org/sub-committees/" TargetMode="External" Id="rId220"/><Relationship Type="http://schemas.openxmlformats.org/officeDocument/2006/relationships/hyperlink" Target="#FixPlan!A21" TargetMode="External" Id="rId221"/><Relationship Type="http://schemas.openxmlformats.org/officeDocument/2006/relationships/hyperlink" Target="https://africanmarketingconfederation.org/sub-committees/" TargetMode="External" Id="rId222"/><Relationship Type="http://schemas.openxmlformats.org/officeDocument/2006/relationships/hyperlink" Target="#FixPlan!A22" TargetMode="External" Id="rId223"/><Relationship Type="http://schemas.openxmlformats.org/officeDocument/2006/relationships/hyperlink" Target="https://africanmarketingconfederation.org/sub-committees/" TargetMode="External" Id="rId224"/><Relationship Type="http://schemas.openxmlformats.org/officeDocument/2006/relationships/hyperlink" Target="#FixPlan!A23" TargetMode="External" Id="rId225"/><Relationship Type="http://schemas.openxmlformats.org/officeDocument/2006/relationships/hyperlink" Target="https://africanmarketingconfederation.org/sub-committees/" TargetMode="External" Id="rId226"/><Relationship Type="http://schemas.openxmlformats.org/officeDocument/2006/relationships/hyperlink" Target="#FixPlan!A24" TargetMode="External" Id="rId227"/><Relationship Type="http://schemas.openxmlformats.org/officeDocument/2006/relationships/hyperlink" Target="https://africanmarketingconfederation.org/sub-committees/" TargetMode="External" Id="rId228"/><Relationship Type="http://schemas.openxmlformats.org/officeDocument/2006/relationships/hyperlink" Target="#FixPlan!A25" TargetMode="External" Id="rId229"/><Relationship Type="http://schemas.openxmlformats.org/officeDocument/2006/relationships/hyperlink" Target="https://africanmarketingconfederation.org/sub-committees/" TargetMode="External" Id="rId230"/><Relationship Type="http://schemas.openxmlformats.org/officeDocument/2006/relationships/hyperlink" Target="#FixPlan!A26" TargetMode="External" Id="rId231"/><Relationship Type="http://schemas.openxmlformats.org/officeDocument/2006/relationships/hyperlink" Target="https://africanmarketingconfederation.org/members/" TargetMode="External" Id="rId232"/><Relationship Type="http://schemas.openxmlformats.org/officeDocument/2006/relationships/hyperlink" Target="#FixPlan!A12" TargetMode="External" Id="rId233"/><Relationship Type="http://schemas.openxmlformats.org/officeDocument/2006/relationships/hyperlink" Target="https://africanmarketingconfederation.org/members/" TargetMode="External" Id="rId234"/><Relationship Type="http://schemas.openxmlformats.org/officeDocument/2006/relationships/hyperlink" Target="#FixPlan!A20" TargetMode="External" Id="rId235"/><Relationship Type="http://schemas.openxmlformats.org/officeDocument/2006/relationships/hyperlink" Target="https://africanmarketingconfederation.org/members/" TargetMode="External" Id="rId236"/><Relationship Type="http://schemas.openxmlformats.org/officeDocument/2006/relationships/hyperlink" Target="#FixPlan!A21" TargetMode="External" Id="rId237"/><Relationship Type="http://schemas.openxmlformats.org/officeDocument/2006/relationships/hyperlink" Target="https://africanmarketingconfederation.org/members/" TargetMode="External" Id="rId238"/><Relationship Type="http://schemas.openxmlformats.org/officeDocument/2006/relationships/hyperlink" Target="#FixPlan!A22" TargetMode="External" Id="rId239"/><Relationship Type="http://schemas.openxmlformats.org/officeDocument/2006/relationships/hyperlink" Target="https://africanmarketingconfederation.org/members/" TargetMode="External" Id="rId240"/><Relationship Type="http://schemas.openxmlformats.org/officeDocument/2006/relationships/hyperlink" Target="#FixPlan!A23" TargetMode="External" Id="rId241"/><Relationship Type="http://schemas.openxmlformats.org/officeDocument/2006/relationships/hyperlink" Target="https://africanmarketingconfederation.org/members/" TargetMode="External" Id="rId242"/><Relationship Type="http://schemas.openxmlformats.org/officeDocument/2006/relationships/hyperlink" Target="#FixPlan!A24" TargetMode="External" Id="rId243"/><Relationship Type="http://schemas.openxmlformats.org/officeDocument/2006/relationships/hyperlink" Target="https://africanmarketingconfederation.org/members/" TargetMode="External" Id="rId244"/><Relationship Type="http://schemas.openxmlformats.org/officeDocument/2006/relationships/hyperlink" Target="#FixPlan!A25" TargetMode="External" Id="rId245"/><Relationship Type="http://schemas.openxmlformats.org/officeDocument/2006/relationships/hyperlink" Target="https://africanmarketingconfederation.org/members/" TargetMode="External" Id="rId246"/><Relationship Type="http://schemas.openxmlformats.org/officeDocument/2006/relationships/hyperlink" Target="#FixPlan!A26" TargetMode="External" Id="rId247"/><Relationship Type="http://schemas.openxmlformats.org/officeDocument/2006/relationships/hyperlink" Target="https://africanmarketingconfederation.org/about-us/" TargetMode="External" Id="rId248"/><Relationship Type="http://schemas.openxmlformats.org/officeDocument/2006/relationships/hyperlink" Target="#FixPlan!A16" TargetMode="External" Id="rId249"/><Relationship Type="http://schemas.openxmlformats.org/officeDocument/2006/relationships/hyperlink" Target="https://africanmarketingconfederation.org/about-us/" TargetMode="External" Id="rId250"/><Relationship Type="http://schemas.openxmlformats.org/officeDocument/2006/relationships/hyperlink" Target="#FixPlan!A12" TargetMode="External" Id="rId251"/><Relationship Type="http://schemas.openxmlformats.org/officeDocument/2006/relationships/hyperlink" Target="https://africanmarketingconfederation.org/about-us/" TargetMode="External" Id="rId252"/><Relationship Type="http://schemas.openxmlformats.org/officeDocument/2006/relationships/hyperlink" Target="#FixPlan!A20" TargetMode="External" Id="rId253"/><Relationship Type="http://schemas.openxmlformats.org/officeDocument/2006/relationships/hyperlink" Target="https://africanmarketingconfederation.org/about-us/" TargetMode="External" Id="rId254"/><Relationship Type="http://schemas.openxmlformats.org/officeDocument/2006/relationships/hyperlink" Target="#FixPlan!A21" TargetMode="External" Id="rId255"/><Relationship Type="http://schemas.openxmlformats.org/officeDocument/2006/relationships/hyperlink" Target="https://africanmarketingconfederation.org/about-us/" TargetMode="External" Id="rId256"/><Relationship Type="http://schemas.openxmlformats.org/officeDocument/2006/relationships/hyperlink" Target="#FixPlan!A22" TargetMode="External" Id="rId257"/><Relationship Type="http://schemas.openxmlformats.org/officeDocument/2006/relationships/hyperlink" Target="https://africanmarketingconfederation.org/about-us/" TargetMode="External" Id="rId258"/><Relationship Type="http://schemas.openxmlformats.org/officeDocument/2006/relationships/hyperlink" Target="#FixPlan!A23" TargetMode="External" Id="rId259"/><Relationship Type="http://schemas.openxmlformats.org/officeDocument/2006/relationships/hyperlink" Target="https://africanmarketingconfederation.org/about-us/" TargetMode="External" Id="rId260"/><Relationship Type="http://schemas.openxmlformats.org/officeDocument/2006/relationships/hyperlink" Target="#FixPlan!A24" TargetMode="External" Id="rId261"/><Relationship Type="http://schemas.openxmlformats.org/officeDocument/2006/relationships/hyperlink" Target="https://africanmarketingconfederation.org/about-us/" TargetMode="External" Id="rId262"/><Relationship Type="http://schemas.openxmlformats.org/officeDocument/2006/relationships/hyperlink" Target="#FixPlan!A25" TargetMode="External" Id="rId263"/><Relationship Type="http://schemas.openxmlformats.org/officeDocument/2006/relationships/hyperlink" Target="https://africanmarketingconfederation.org/about-us/" TargetMode="External" Id="rId264"/><Relationship Type="http://schemas.openxmlformats.org/officeDocument/2006/relationships/hyperlink" Target="#FixPlan!A26" TargetMode="External" Id="rId265"/><Relationship Type="http://schemas.openxmlformats.org/officeDocument/2006/relationships/hyperlink" Target="https://africanmarketingconfederation.org/awards-2026-1/" TargetMode="External" Id="rId266"/><Relationship Type="http://schemas.openxmlformats.org/officeDocument/2006/relationships/hyperlink" Target="#FixPlan!A13" TargetMode="External" Id="rId267"/><Relationship Type="http://schemas.openxmlformats.org/officeDocument/2006/relationships/hyperlink" Target="https://africanmarketingconfederation.org/awards-2026-1/" TargetMode="External" Id="rId268"/><Relationship Type="http://schemas.openxmlformats.org/officeDocument/2006/relationships/hyperlink" Target="#FixPlan!A12" TargetMode="External" Id="rId269"/><Relationship Type="http://schemas.openxmlformats.org/officeDocument/2006/relationships/hyperlink" Target="https://africanmarketingconfederation.org/awards-2026-1/" TargetMode="External" Id="rId270"/><Relationship Type="http://schemas.openxmlformats.org/officeDocument/2006/relationships/hyperlink" Target="#FixPlan!A20" TargetMode="External" Id="rId271"/><Relationship Type="http://schemas.openxmlformats.org/officeDocument/2006/relationships/hyperlink" Target="https://africanmarketingconfederation.org/awards-2026-1/" TargetMode="External" Id="rId272"/><Relationship Type="http://schemas.openxmlformats.org/officeDocument/2006/relationships/hyperlink" Target="#FixPlan!A21" TargetMode="External" Id="rId273"/><Relationship Type="http://schemas.openxmlformats.org/officeDocument/2006/relationships/hyperlink" Target="https://africanmarketingconfederation.org/awards-2026-1/" TargetMode="External" Id="rId274"/><Relationship Type="http://schemas.openxmlformats.org/officeDocument/2006/relationships/hyperlink" Target="#FixPlan!A22" TargetMode="External" Id="rId275"/><Relationship Type="http://schemas.openxmlformats.org/officeDocument/2006/relationships/hyperlink" Target="https://africanmarketingconfederation.org/awards-2026-1/" TargetMode="External" Id="rId276"/><Relationship Type="http://schemas.openxmlformats.org/officeDocument/2006/relationships/hyperlink" Target="#FixPlan!A23" TargetMode="External" Id="rId277"/><Relationship Type="http://schemas.openxmlformats.org/officeDocument/2006/relationships/hyperlink" Target="https://africanmarketingconfederation.org/awards-2026-1/" TargetMode="External" Id="rId278"/><Relationship Type="http://schemas.openxmlformats.org/officeDocument/2006/relationships/hyperlink" Target="#FixPlan!A24" TargetMode="External" Id="rId279"/><Relationship Type="http://schemas.openxmlformats.org/officeDocument/2006/relationships/hyperlink" Target="https://africanmarketingconfederation.org/awards-2026-1/" TargetMode="External" Id="rId280"/><Relationship Type="http://schemas.openxmlformats.org/officeDocument/2006/relationships/hyperlink" Target="#FixPlan!A25" TargetMode="External" Id="rId281"/><Relationship Type="http://schemas.openxmlformats.org/officeDocument/2006/relationships/hyperlink" Target="https://africanmarketingconfederation.org/awards-2026-1/" TargetMode="External" Id="rId282"/><Relationship Type="http://schemas.openxmlformats.org/officeDocument/2006/relationships/hyperlink" Target="#FixPlan!A26" TargetMode="External" Id="rId283"/><Relationship Type="http://schemas.openxmlformats.org/officeDocument/2006/relationships/hyperlink" Target="https://africanmarketingconfederation.org/awards-2026-test/" TargetMode="External" Id="rId284"/><Relationship Type="http://schemas.openxmlformats.org/officeDocument/2006/relationships/hyperlink" Target="#FixPlan!A13" TargetMode="External" Id="rId285"/><Relationship Type="http://schemas.openxmlformats.org/officeDocument/2006/relationships/hyperlink" Target="https://africanmarketingconfederation.org/awards-2026-test/" TargetMode="External" Id="rId286"/><Relationship Type="http://schemas.openxmlformats.org/officeDocument/2006/relationships/hyperlink" Target="#FixPlan!A12" TargetMode="External" Id="rId287"/><Relationship Type="http://schemas.openxmlformats.org/officeDocument/2006/relationships/hyperlink" Target="https://africanmarketingconfederation.org/awards-2026-test/" TargetMode="External" Id="rId288"/><Relationship Type="http://schemas.openxmlformats.org/officeDocument/2006/relationships/hyperlink" Target="#FixPlan!A20" TargetMode="External" Id="rId289"/><Relationship Type="http://schemas.openxmlformats.org/officeDocument/2006/relationships/hyperlink" Target="https://africanmarketingconfederation.org/awards-2026-test/" TargetMode="External" Id="rId290"/><Relationship Type="http://schemas.openxmlformats.org/officeDocument/2006/relationships/hyperlink" Target="#FixPlan!A21" TargetMode="External" Id="rId291"/><Relationship Type="http://schemas.openxmlformats.org/officeDocument/2006/relationships/hyperlink" Target="https://africanmarketingconfederation.org/awards-2026-test/" TargetMode="External" Id="rId292"/><Relationship Type="http://schemas.openxmlformats.org/officeDocument/2006/relationships/hyperlink" Target="#FixPlan!A22" TargetMode="External" Id="rId293"/><Relationship Type="http://schemas.openxmlformats.org/officeDocument/2006/relationships/hyperlink" Target="https://africanmarketingconfederation.org/awards-2026-test/" TargetMode="External" Id="rId294"/><Relationship Type="http://schemas.openxmlformats.org/officeDocument/2006/relationships/hyperlink" Target="#FixPlan!A23" TargetMode="External" Id="rId295"/><Relationship Type="http://schemas.openxmlformats.org/officeDocument/2006/relationships/hyperlink" Target="https://africanmarketingconfederation.org/awards-2026-test/" TargetMode="External" Id="rId296"/><Relationship Type="http://schemas.openxmlformats.org/officeDocument/2006/relationships/hyperlink" Target="#FixPlan!A24" TargetMode="External" Id="rId297"/><Relationship Type="http://schemas.openxmlformats.org/officeDocument/2006/relationships/hyperlink" Target="https://africanmarketingconfederation.org/awards-2026-test/" TargetMode="External" Id="rId298"/><Relationship Type="http://schemas.openxmlformats.org/officeDocument/2006/relationships/hyperlink" Target="#FixPlan!A25" TargetMode="External" Id="rId299"/><Relationship Type="http://schemas.openxmlformats.org/officeDocument/2006/relationships/hyperlink" Target="https://africanmarketingconfederation.org/awards-2026-test/" TargetMode="External" Id="rId300"/><Relationship Type="http://schemas.openxmlformats.org/officeDocument/2006/relationships/hyperlink" Target="#FixPlan!A26" TargetMode="External" Id="rId301"/><Relationship Type="http://schemas.openxmlformats.org/officeDocument/2006/relationships/hyperlink" Target="https://africanmarketingconfederation.org/amc-conference-2026-awards-nominations-thank-you/" TargetMode="External" Id="rId302"/><Relationship Type="http://schemas.openxmlformats.org/officeDocument/2006/relationships/hyperlink" Target="#FixPlan!A13" TargetMode="External" Id="rId303"/><Relationship Type="http://schemas.openxmlformats.org/officeDocument/2006/relationships/hyperlink" Target="https://africanmarketingconfederation.org/amc-conference-2026-awards-nominations-thank-you/" TargetMode="External" Id="rId304"/><Relationship Type="http://schemas.openxmlformats.org/officeDocument/2006/relationships/hyperlink" Target="#FixPlan!A16" TargetMode="External" Id="rId305"/><Relationship Type="http://schemas.openxmlformats.org/officeDocument/2006/relationships/hyperlink" Target="https://africanmarketingconfederation.org/amc-conference-2026-awards-nominations-thank-you/" TargetMode="External" Id="rId306"/><Relationship Type="http://schemas.openxmlformats.org/officeDocument/2006/relationships/hyperlink" Target="#FixPlan!A12" TargetMode="External" Id="rId307"/><Relationship Type="http://schemas.openxmlformats.org/officeDocument/2006/relationships/hyperlink" Target="https://africanmarketingconfederation.org/amc-conference-2026-awards-nominations-thank-you/" TargetMode="External" Id="rId308"/><Relationship Type="http://schemas.openxmlformats.org/officeDocument/2006/relationships/hyperlink" Target="#FixPlan!A20" TargetMode="External" Id="rId309"/><Relationship Type="http://schemas.openxmlformats.org/officeDocument/2006/relationships/hyperlink" Target="https://africanmarketingconfederation.org/amc-conference-2026-awards-nominations-thank-you/" TargetMode="External" Id="rId310"/><Relationship Type="http://schemas.openxmlformats.org/officeDocument/2006/relationships/hyperlink" Target="#FixPlan!A21" TargetMode="External" Id="rId311"/><Relationship Type="http://schemas.openxmlformats.org/officeDocument/2006/relationships/hyperlink" Target="https://africanmarketingconfederation.org/amc-conference-2026-awards-nominations-thank-you/" TargetMode="External" Id="rId312"/><Relationship Type="http://schemas.openxmlformats.org/officeDocument/2006/relationships/hyperlink" Target="#FixPlan!A22" TargetMode="External" Id="rId313"/><Relationship Type="http://schemas.openxmlformats.org/officeDocument/2006/relationships/hyperlink" Target="https://africanmarketingconfederation.org/amc-conference-2026-awards-nominations-thank-you/" TargetMode="External" Id="rId314"/><Relationship Type="http://schemas.openxmlformats.org/officeDocument/2006/relationships/hyperlink" Target="#FixPlan!A23" TargetMode="External" Id="rId315"/><Relationship Type="http://schemas.openxmlformats.org/officeDocument/2006/relationships/hyperlink" Target="https://africanmarketingconfederation.org/amc-conference-2026-awards-nominations-thank-you/" TargetMode="External" Id="rId316"/><Relationship Type="http://schemas.openxmlformats.org/officeDocument/2006/relationships/hyperlink" Target="#FixPlan!A24" TargetMode="External" Id="rId317"/><Relationship Type="http://schemas.openxmlformats.org/officeDocument/2006/relationships/hyperlink" Target="https://africanmarketingconfederation.org/amc-conference-2026-awards-nominations-thank-you/" TargetMode="External" Id="rId318"/><Relationship Type="http://schemas.openxmlformats.org/officeDocument/2006/relationships/hyperlink" Target="#FixPlan!A25" TargetMode="External" Id="rId319"/><Relationship Type="http://schemas.openxmlformats.org/officeDocument/2006/relationships/hyperlink" Target="https://africanmarketingconfederation.org/amc-conference-2026-awards-nominations-thank-you/" TargetMode="External" Id="rId320"/><Relationship Type="http://schemas.openxmlformats.org/officeDocument/2006/relationships/hyperlink" Target="#FixPlan!A26" TargetMode="External" Id="rId321"/><Relationship Type="http://schemas.openxmlformats.org/officeDocument/2006/relationships/hyperlink" Target="https://africanmarketingconfederation.org/speakers-2025/" TargetMode="External" Id="rId322"/><Relationship Type="http://schemas.openxmlformats.org/officeDocument/2006/relationships/hyperlink" Target="#FixPlan!A13" TargetMode="External" Id="rId323"/><Relationship Type="http://schemas.openxmlformats.org/officeDocument/2006/relationships/hyperlink" Target="https://africanmarketingconfederation.org/speakers-2025/" TargetMode="External" Id="rId324"/><Relationship Type="http://schemas.openxmlformats.org/officeDocument/2006/relationships/hyperlink" Target="#FixPlan!A12" TargetMode="External" Id="rId325"/><Relationship Type="http://schemas.openxmlformats.org/officeDocument/2006/relationships/hyperlink" Target="https://africanmarketingconfederation.org/speakers-2025/" TargetMode="External" Id="rId326"/><Relationship Type="http://schemas.openxmlformats.org/officeDocument/2006/relationships/hyperlink" Target="#FixPlan!A20" TargetMode="External" Id="rId327"/><Relationship Type="http://schemas.openxmlformats.org/officeDocument/2006/relationships/hyperlink" Target="https://africanmarketingconfederation.org/speakers-2025/" TargetMode="External" Id="rId328"/><Relationship Type="http://schemas.openxmlformats.org/officeDocument/2006/relationships/hyperlink" Target="#FixPlan!A21" TargetMode="External" Id="rId329"/><Relationship Type="http://schemas.openxmlformats.org/officeDocument/2006/relationships/hyperlink" Target="https://africanmarketingconfederation.org/speakers-2025/" TargetMode="External" Id="rId330"/><Relationship Type="http://schemas.openxmlformats.org/officeDocument/2006/relationships/hyperlink" Target="#FixPlan!A22" TargetMode="External" Id="rId331"/><Relationship Type="http://schemas.openxmlformats.org/officeDocument/2006/relationships/hyperlink" Target="https://africanmarketingconfederation.org/speakers-2025/" TargetMode="External" Id="rId332"/><Relationship Type="http://schemas.openxmlformats.org/officeDocument/2006/relationships/hyperlink" Target="#FixPlan!A23" TargetMode="External" Id="rId333"/><Relationship Type="http://schemas.openxmlformats.org/officeDocument/2006/relationships/hyperlink" Target="https://africanmarketingconfederation.org/speakers-2025/" TargetMode="External" Id="rId334"/><Relationship Type="http://schemas.openxmlformats.org/officeDocument/2006/relationships/hyperlink" Target="#FixPlan!A24" TargetMode="External" Id="rId335"/><Relationship Type="http://schemas.openxmlformats.org/officeDocument/2006/relationships/hyperlink" Target="https://africanmarketingconfederation.org/speakers-2025/" TargetMode="External" Id="rId336"/><Relationship Type="http://schemas.openxmlformats.org/officeDocument/2006/relationships/hyperlink" Target="#FixPlan!A25" TargetMode="External" Id="rId337"/><Relationship Type="http://schemas.openxmlformats.org/officeDocument/2006/relationships/hyperlink" Target="https://africanmarketingconfederation.org/speakers-2025/" TargetMode="External" Id="rId338"/><Relationship Type="http://schemas.openxmlformats.org/officeDocument/2006/relationships/hyperlink" Target="#FixPlan!A26" TargetMode="External" Id="rId339"/><Relationship Type="http://schemas.openxmlformats.org/officeDocument/2006/relationships/hyperlink" Target="https://africanmarketingconfederation.org/amc-conference-2026-zambia-thank-you/" TargetMode="External" Id="rId340"/><Relationship Type="http://schemas.openxmlformats.org/officeDocument/2006/relationships/hyperlink" Target="#FixPlan!A13" TargetMode="External" Id="rId341"/><Relationship Type="http://schemas.openxmlformats.org/officeDocument/2006/relationships/hyperlink" Target="https://africanmarketingconfederation.org/amc-conference-2026-zambia-thank-you/" TargetMode="External" Id="rId342"/><Relationship Type="http://schemas.openxmlformats.org/officeDocument/2006/relationships/hyperlink" Target="#FixPlan!A16" TargetMode="External" Id="rId343"/><Relationship Type="http://schemas.openxmlformats.org/officeDocument/2006/relationships/hyperlink" Target="https://africanmarketingconfederation.org/amc-conference-2026-zambia-thank-you/" TargetMode="External" Id="rId344"/><Relationship Type="http://schemas.openxmlformats.org/officeDocument/2006/relationships/hyperlink" Target="#FixPlan!A12" TargetMode="External" Id="rId345"/><Relationship Type="http://schemas.openxmlformats.org/officeDocument/2006/relationships/hyperlink" Target="https://africanmarketingconfederation.org/amc-conference-2026-zambia-thank-you/" TargetMode="External" Id="rId346"/><Relationship Type="http://schemas.openxmlformats.org/officeDocument/2006/relationships/hyperlink" Target="#FixPlan!A20" TargetMode="External" Id="rId347"/><Relationship Type="http://schemas.openxmlformats.org/officeDocument/2006/relationships/hyperlink" Target="https://africanmarketingconfederation.org/amc-conference-2026-zambia-thank-you/" TargetMode="External" Id="rId348"/><Relationship Type="http://schemas.openxmlformats.org/officeDocument/2006/relationships/hyperlink" Target="#FixPlan!A21" TargetMode="External" Id="rId349"/><Relationship Type="http://schemas.openxmlformats.org/officeDocument/2006/relationships/hyperlink" Target="https://africanmarketingconfederation.org/amc-conference-2026-zambia-thank-you/" TargetMode="External" Id="rId350"/><Relationship Type="http://schemas.openxmlformats.org/officeDocument/2006/relationships/hyperlink" Target="#FixPlan!A22" TargetMode="External" Id="rId351"/><Relationship Type="http://schemas.openxmlformats.org/officeDocument/2006/relationships/hyperlink" Target="https://africanmarketingconfederation.org/amc-conference-2026-zambia-thank-you/" TargetMode="External" Id="rId352"/><Relationship Type="http://schemas.openxmlformats.org/officeDocument/2006/relationships/hyperlink" Target="#FixPlan!A23" TargetMode="External" Id="rId353"/><Relationship Type="http://schemas.openxmlformats.org/officeDocument/2006/relationships/hyperlink" Target="https://africanmarketingconfederation.org/amc-conference-2026-zambia-thank-you/" TargetMode="External" Id="rId354"/><Relationship Type="http://schemas.openxmlformats.org/officeDocument/2006/relationships/hyperlink" Target="#FixPlan!A24" TargetMode="External" Id="rId355"/><Relationship Type="http://schemas.openxmlformats.org/officeDocument/2006/relationships/hyperlink" Target="https://africanmarketingconfederation.org/amc-conference-2026-zambia-thank-you/" TargetMode="External" Id="rId356"/><Relationship Type="http://schemas.openxmlformats.org/officeDocument/2006/relationships/hyperlink" Target="#FixPlan!A25" TargetMode="External" Id="rId357"/><Relationship Type="http://schemas.openxmlformats.org/officeDocument/2006/relationships/hyperlink" Target="https://africanmarketingconfederation.org/amc-conference-2026-zambia-thank-you/" TargetMode="External" Id="rId358"/><Relationship Type="http://schemas.openxmlformats.org/officeDocument/2006/relationships/hyperlink" Target="#FixPlan!A26" TargetMode="External" Id="rId359"/><Relationship Type="http://schemas.openxmlformats.org/officeDocument/2006/relationships/hyperlink" Target="https://africanmarketingconfederation.org/amc-launch-event-zambia-thank-you-2026/" TargetMode="External" Id="rId360"/><Relationship Type="http://schemas.openxmlformats.org/officeDocument/2006/relationships/hyperlink" Target="#FixPlan!A13" TargetMode="External" Id="rId361"/><Relationship Type="http://schemas.openxmlformats.org/officeDocument/2006/relationships/hyperlink" Target="https://africanmarketingconfederation.org/amc-launch-event-zambia-thank-you-2026/" TargetMode="External" Id="rId362"/><Relationship Type="http://schemas.openxmlformats.org/officeDocument/2006/relationships/hyperlink" Target="#FixPlan!A16" TargetMode="External" Id="rId363"/><Relationship Type="http://schemas.openxmlformats.org/officeDocument/2006/relationships/hyperlink" Target="https://africanmarketingconfederation.org/amc-launch-event-zambia-thank-you-2026/" TargetMode="External" Id="rId364"/><Relationship Type="http://schemas.openxmlformats.org/officeDocument/2006/relationships/hyperlink" Target="#FixPlan!A12" TargetMode="External" Id="rId365"/><Relationship Type="http://schemas.openxmlformats.org/officeDocument/2006/relationships/hyperlink" Target="https://africanmarketingconfederation.org/amc-launch-event-zambia-thank-you-2026/" TargetMode="External" Id="rId366"/><Relationship Type="http://schemas.openxmlformats.org/officeDocument/2006/relationships/hyperlink" Target="#FixPlan!A20" TargetMode="External" Id="rId367"/><Relationship Type="http://schemas.openxmlformats.org/officeDocument/2006/relationships/hyperlink" Target="https://africanmarketingconfederation.org/amc-launch-event-zambia-thank-you-2026/" TargetMode="External" Id="rId368"/><Relationship Type="http://schemas.openxmlformats.org/officeDocument/2006/relationships/hyperlink" Target="#FixPlan!A21" TargetMode="External" Id="rId369"/><Relationship Type="http://schemas.openxmlformats.org/officeDocument/2006/relationships/hyperlink" Target="https://africanmarketingconfederation.org/amc-launch-event-zambia-thank-you-2026/" TargetMode="External" Id="rId370"/><Relationship Type="http://schemas.openxmlformats.org/officeDocument/2006/relationships/hyperlink" Target="#FixPlan!A22" TargetMode="External" Id="rId371"/><Relationship Type="http://schemas.openxmlformats.org/officeDocument/2006/relationships/hyperlink" Target="https://africanmarketingconfederation.org/amc-launch-event-zambia-thank-you-2026/" TargetMode="External" Id="rId372"/><Relationship Type="http://schemas.openxmlformats.org/officeDocument/2006/relationships/hyperlink" Target="#FixPlan!A23" TargetMode="External" Id="rId373"/><Relationship Type="http://schemas.openxmlformats.org/officeDocument/2006/relationships/hyperlink" Target="https://africanmarketingconfederation.org/amc-launch-event-zambia-thank-you-2026/" TargetMode="External" Id="rId374"/><Relationship Type="http://schemas.openxmlformats.org/officeDocument/2006/relationships/hyperlink" Target="#FixPlan!A24" TargetMode="External" Id="rId375"/><Relationship Type="http://schemas.openxmlformats.org/officeDocument/2006/relationships/hyperlink" Target="https://africanmarketingconfederation.org/amc-launch-event-zambia-thank-you-2026/" TargetMode="External" Id="rId376"/><Relationship Type="http://schemas.openxmlformats.org/officeDocument/2006/relationships/hyperlink" Target="#FixPlan!A25" TargetMode="External" Id="rId377"/><Relationship Type="http://schemas.openxmlformats.org/officeDocument/2006/relationships/hyperlink" Target="https://africanmarketingconfederation.org/amc-launch-event-zambia-thank-you-2026/" TargetMode="External" Id="rId378"/><Relationship Type="http://schemas.openxmlformats.org/officeDocument/2006/relationships/hyperlink" Target="#FixPlan!A26" TargetMode="External" Id="rId379"/><Relationship Type="http://schemas.openxmlformats.org/officeDocument/2006/relationships/hyperlink" Target="https://africanmarketingconfederation.org/amc-marketing-conference-2024/awards-2025/" TargetMode="External" Id="rId380"/><Relationship Type="http://schemas.openxmlformats.org/officeDocument/2006/relationships/hyperlink" Target="#FixPlan!A12" TargetMode="External" Id="rId381"/><Relationship Type="http://schemas.openxmlformats.org/officeDocument/2006/relationships/hyperlink" Target="https://africanmarketingconfederation.org/amc-marketing-conference-2024/awards-2025/" TargetMode="External" Id="rId382"/><Relationship Type="http://schemas.openxmlformats.org/officeDocument/2006/relationships/hyperlink" Target="#FixPlan!A20" TargetMode="External" Id="rId383"/><Relationship Type="http://schemas.openxmlformats.org/officeDocument/2006/relationships/hyperlink" Target="https://africanmarketingconfederation.org/amc-marketing-conference-2024/awards-2025/" TargetMode="External" Id="rId384"/><Relationship Type="http://schemas.openxmlformats.org/officeDocument/2006/relationships/hyperlink" Target="#FixPlan!A21" TargetMode="External" Id="rId385"/><Relationship Type="http://schemas.openxmlformats.org/officeDocument/2006/relationships/hyperlink" Target="https://africanmarketingconfederation.org/amc-marketing-conference-2024/awards-2025/" TargetMode="External" Id="rId386"/><Relationship Type="http://schemas.openxmlformats.org/officeDocument/2006/relationships/hyperlink" Target="#FixPlan!A22" TargetMode="External" Id="rId387"/><Relationship Type="http://schemas.openxmlformats.org/officeDocument/2006/relationships/hyperlink" Target="https://africanmarketingconfederation.org/amc-marketing-conference-2024/awards-2025/" TargetMode="External" Id="rId388"/><Relationship Type="http://schemas.openxmlformats.org/officeDocument/2006/relationships/hyperlink" Target="#FixPlan!A23" TargetMode="External" Id="rId389"/><Relationship Type="http://schemas.openxmlformats.org/officeDocument/2006/relationships/hyperlink" Target="https://africanmarketingconfederation.org/amc-marketing-conference-2024/awards-2025/" TargetMode="External" Id="rId390"/><Relationship Type="http://schemas.openxmlformats.org/officeDocument/2006/relationships/hyperlink" Target="#FixPlan!A24" TargetMode="External" Id="rId391"/><Relationship Type="http://schemas.openxmlformats.org/officeDocument/2006/relationships/hyperlink" Target="https://africanmarketingconfederation.org/amc-marketing-conference-2024/awards-2025/" TargetMode="External" Id="rId392"/><Relationship Type="http://schemas.openxmlformats.org/officeDocument/2006/relationships/hyperlink" Target="#FixPlan!A25" TargetMode="External" Id="rId393"/><Relationship Type="http://schemas.openxmlformats.org/officeDocument/2006/relationships/hyperlink" Target="https://africanmarketingconfederation.org/amc-marketing-conference-2024/awards-2025/" TargetMode="External" Id="rId394"/><Relationship Type="http://schemas.openxmlformats.org/officeDocument/2006/relationships/hyperlink" Target="#FixPlan!A26" TargetMode="External" Id="rId395"/><Relationship Type="http://schemas.openxmlformats.org/officeDocument/2006/relationships/hyperlink" Target="https://africanmarketingconfederation.org/amc-conference-2025-highlights/" TargetMode="External" Id="rId396"/><Relationship Type="http://schemas.openxmlformats.org/officeDocument/2006/relationships/hyperlink" Target="#FixPlan!A13" TargetMode="External" Id="rId397"/><Relationship Type="http://schemas.openxmlformats.org/officeDocument/2006/relationships/hyperlink" Target="https://africanmarketingconfederation.org/amc-conference-2025-highlights/" TargetMode="External" Id="rId398"/><Relationship Type="http://schemas.openxmlformats.org/officeDocument/2006/relationships/hyperlink" Target="#FixPlan!A12" TargetMode="External" Id="rId399"/><Relationship Type="http://schemas.openxmlformats.org/officeDocument/2006/relationships/hyperlink" Target="https://africanmarketingconfederation.org/amc-conference-2025-highlights/" TargetMode="External" Id="rId400"/><Relationship Type="http://schemas.openxmlformats.org/officeDocument/2006/relationships/hyperlink" Target="#FixPlan!A27" TargetMode="External" Id="rId401"/><Relationship Type="http://schemas.openxmlformats.org/officeDocument/2006/relationships/hyperlink" Target="https://africanmarketingconfederation.org/amc-conference-2025-highlights/" TargetMode="External" Id="rId402"/><Relationship Type="http://schemas.openxmlformats.org/officeDocument/2006/relationships/hyperlink" Target="#FixPlan!A20" TargetMode="External" Id="rId403"/><Relationship Type="http://schemas.openxmlformats.org/officeDocument/2006/relationships/hyperlink" Target="https://africanmarketingconfederation.org/amc-conference-2025-highlights/" TargetMode="External" Id="rId404"/><Relationship Type="http://schemas.openxmlformats.org/officeDocument/2006/relationships/hyperlink" Target="#FixPlan!A21" TargetMode="External" Id="rId405"/><Relationship Type="http://schemas.openxmlformats.org/officeDocument/2006/relationships/hyperlink" Target="https://africanmarketingconfederation.org/amc-conference-2025-highlights/" TargetMode="External" Id="rId406"/><Relationship Type="http://schemas.openxmlformats.org/officeDocument/2006/relationships/hyperlink" Target="#FixPlan!A22" TargetMode="External" Id="rId407"/><Relationship Type="http://schemas.openxmlformats.org/officeDocument/2006/relationships/hyperlink" Target="https://africanmarketingconfederation.org/amc-conference-2025-highlights/" TargetMode="External" Id="rId408"/><Relationship Type="http://schemas.openxmlformats.org/officeDocument/2006/relationships/hyperlink" Target="#FixPlan!A23" TargetMode="External" Id="rId409"/><Relationship Type="http://schemas.openxmlformats.org/officeDocument/2006/relationships/hyperlink" Target="https://africanmarketingconfederation.org/amc-conference-2025-highlights/" TargetMode="External" Id="rId410"/><Relationship Type="http://schemas.openxmlformats.org/officeDocument/2006/relationships/hyperlink" Target="#FixPlan!A24" TargetMode="External" Id="rId411"/><Relationship Type="http://schemas.openxmlformats.org/officeDocument/2006/relationships/hyperlink" Target="https://africanmarketingconfederation.org/amc-conference-2025-highlights/" TargetMode="External" Id="rId412"/><Relationship Type="http://schemas.openxmlformats.org/officeDocument/2006/relationships/hyperlink" Target="#FixPlan!A25" TargetMode="External" Id="rId413"/><Relationship Type="http://schemas.openxmlformats.org/officeDocument/2006/relationships/hyperlink" Target="https://africanmarketingconfederation.org/amc-conference-2025-highlights/" TargetMode="External" Id="rId414"/><Relationship Type="http://schemas.openxmlformats.org/officeDocument/2006/relationships/hyperlink" Target="#FixPlan!A26" TargetMode="External" Id="rId415"/><Relationship Type="http://schemas.openxmlformats.org/officeDocument/2006/relationships/hyperlink" Target="https://africanmarketingconfederation.org/amc-conference-2022/" TargetMode="External" Id="rId416"/><Relationship Type="http://schemas.openxmlformats.org/officeDocument/2006/relationships/hyperlink" Target="#FixPlan!A17" TargetMode="External" Id="rId417"/><Relationship Type="http://schemas.openxmlformats.org/officeDocument/2006/relationships/hyperlink" Target="https://africanmarketingconfederation.org/amc-conference-2022/" TargetMode="External" Id="rId418"/><Relationship Type="http://schemas.openxmlformats.org/officeDocument/2006/relationships/hyperlink" Target="#FixPlan!A12" TargetMode="External" Id="rId419"/><Relationship Type="http://schemas.openxmlformats.org/officeDocument/2006/relationships/hyperlink" Target="https://africanmarketingconfederation.org/amc-conference-2022/" TargetMode="External" Id="rId420"/><Relationship Type="http://schemas.openxmlformats.org/officeDocument/2006/relationships/hyperlink" Target="#FixPlan!A20" TargetMode="External" Id="rId421"/><Relationship Type="http://schemas.openxmlformats.org/officeDocument/2006/relationships/hyperlink" Target="https://africanmarketingconfederation.org/amc-conference-2022/" TargetMode="External" Id="rId422"/><Relationship Type="http://schemas.openxmlformats.org/officeDocument/2006/relationships/hyperlink" Target="#FixPlan!A21" TargetMode="External" Id="rId423"/><Relationship Type="http://schemas.openxmlformats.org/officeDocument/2006/relationships/hyperlink" Target="https://africanmarketingconfederation.org/amc-conference-2022/" TargetMode="External" Id="rId424"/><Relationship Type="http://schemas.openxmlformats.org/officeDocument/2006/relationships/hyperlink" Target="#FixPlan!A22" TargetMode="External" Id="rId425"/><Relationship Type="http://schemas.openxmlformats.org/officeDocument/2006/relationships/hyperlink" Target="https://africanmarketingconfederation.org/amc-conference-2022/" TargetMode="External" Id="rId426"/><Relationship Type="http://schemas.openxmlformats.org/officeDocument/2006/relationships/hyperlink" Target="#FixPlan!A23" TargetMode="External" Id="rId427"/><Relationship Type="http://schemas.openxmlformats.org/officeDocument/2006/relationships/hyperlink" Target="https://africanmarketingconfederation.org/amc-conference-2022/" TargetMode="External" Id="rId428"/><Relationship Type="http://schemas.openxmlformats.org/officeDocument/2006/relationships/hyperlink" Target="#FixPlan!A24" TargetMode="External" Id="rId429"/><Relationship Type="http://schemas.openxmlformats.org/officeDocument/2006/relationships/hyperlink" Target="https://africanmarketingconfederation.org/amc-conference-2022/" TargetMode="External" Id="rId430"/><Relationship Type="http://schemas.openxmlformats.org/officeDocument/2006/relationships/hyperlink" Target="#FixPlan!A25" TargetMode="External" Id="rId431"/><Relationship Type="http://schemas.openxmlformats.org/officeDocument/2006/relationships/hyperlink" Target="https://africanmarketingconfederation.org/amc-conference-2022/" TargetMode="External" Id="rId432"/><Relationship Type="http://schemas.openxmlformats.org/officeDocument/2006/relationships/hyperlink" Target="#FixPlan!A26" TargetMode="External" Id="rId433"/><Relationship Type="http://schemas.openxmlformats.org/officeDocument/2006/relationships/hyperlink" Target="https://africanmarketingconfederation.org/amc-conference-2023/gallery/" TargetMode="External" Id="rId434"/><Relationship Type="http://schemas.openxmlformats.org/officeDocument/2006/relationships/hyperlink" Target="#FixPlan!A16" TargetMode="External" Id="rId435"/><Relationship Type="http://schemas.openxmlformats.org/officeDocument/2006/relationships/hyperlink" Target="https://africanmarketingconfederation.org/amc-conference-2023/gallery/" TargetMode="External" Id="rId436"/><Relationship Type="http://schemas.openxmlformats.org/officeDocument/2006/relationships/hyperlink" Target="#FixPlan!A12" TargetMode="External" Id="rId437"/><Relationship Type="http://schemas.openxmlformats.org/officeDocument/2006/relationships/hyperlink" Target="https://africanmarketingconfederation.org/amc-conference-2023/gallery/" TargetMode="External" Id="rId438"/><Relationship Type="http://schemas.openxmlformats.org/officeDocument/2006/relationships/hyperlink" Target="#FixPlan!A20" TargetMode="External" Id="rId439"/><Relationship Type="http://schemas.openxmlformats.org/officeDocument/2006/relationships/hyperlink" Target="https://africanmarketingconfederation.org/amc-conference-2023/gallery/" TargetMode="External" Id="rId440"/><Relationship Type="http://schemas.openxmlformats.org/officeDocument/2006/relationships/hyperlink" Target="#FixPlan!A21" TargetMode="External" Id="rId441"/><Relationship Type="http://schemas.openxmlformats.org/officeDocument/2006/relationships/hyperlink" Target="https://africanmarketingconfederation.org/amc-conference-2023/gallery/" TargetMode="External" Id="rId442"/><Relationship Type="http://schemas.openxmlformats.org/officeDocument/2006/relationships/hyperlink" Target="#FixPlan!A22" TargetMode="External" Id="rId443"/><Relationship Type="http://schemas.openxmlformats.org/officeDocument/2006/relationships/hyperlink" Target="https://africanmarketingconfederation.org/amc-conference-2023/gallery/" TargetMode="External" Id="rId444"/><Relationship Type="http://schemas.openxmlformats.org/officeDocument/2006/relationships/hyperlink" Target="#FixPlan!A23" TargetMode="External" Id="rId445"/><Relationship Type="http://schemas.openxmlformats.org/officeDocument/2006/relationships/hyperlink" Target="https://africanmarketingconfederation.org/amc-conference-2023/gallery/" TargetMode="External" Id="rId446"/><Relationship Type="http://schemas.openxmlformats.org/officeDocument/2006/relationships/hyperlink" Target="#FixPlan!A24" TargetMode="External" Id="rId447"/><Relationship Type="http://schemas.openxmlformats.org/officeDocument/2006/relationships/hyperlink" Target="https://africanmarketingconfederation.org/amc-conference-2023/gallery/" TargetMode="External" Id="rId448"/><Relationship Type="http://schemas.openxmlformats.org/officeDocument/2006/relationships/hyperlink" Target="#FixPlan!A25" TargetMode="External" Id="rId449"/><Relationship Type="http://schemas.openxmlformats.org/officeDocument/2006/relationships/hyperlink" Target="https://africanmarketingconfederation.org/amc-conference-2023/gallery/" TargetMode="External" Id="rId450"/><Relationship Type="http://schemas.openxmlformats.org/officeDocument/2006/relationships/hyperlink" Target="#FixPlan!A26" TargetMode="External" Id="rId451"/><Relationship Type="http://schemas.openxmlformats.org/officeDocument/2006/relationships/hyperlink" Target="https://africanmarketingconfederation.org/conference-registrations-2024/" TargetMode="External" Id="rId452"/><Relationship Type="http://schemas.openxmlformats.org/officeDocument/2006/relationships/hyperlink" Target="#FixPlan!A12" TargetMode="External" Id="rId453"/><Relationship Type="http://schemas.openxmlformats.org/officeDocument/2006/relationships/hyperlink" Target="https://africanmarketingconfederation.org/conference-registrations-2024/" TargetMode="External" Id="rId454"/><Relationship Type="http://schemas.openxmlformats.org/officeDocument/2006/relationships/hyperlink" Target="#FixPlan!A20" TargetMode="External" Id="rId455"/><Relationship Type="http://schemas.openxmlformats.org/officeDocument/2006/relationships/hyperlink" Target="https://africanmarketingconfederation.org/conference-registrations-2024/" TargetMode="External" Id="rId456"/><Relationship Type="http://schemas.openxmlformats.org/officeDocument/2006/relationships/hyperlink" Target="#FixPlan!A21" TargetMode="External" Id="rId457"/><Relationship Type="http://schemas.openxmlformats.org/officeDocument/2006/relationships/hyperlink" Target="https://africanmarketingconfederation.org/conference-registrations-2024/" TargetMode="External" Id="rId458"/><Relationship Type="http://schemas.openxmlformats.org/officeDocument/2006/relationships/hyperlink" Target="#FixPlan!A22" TargetMode="External" Id="rId459"/><Relationship Type="http://schemas.openxmlformats.org/officeDocument/2006/relationships/hyperlink" Target="https://africanmarketingconfederation.org/conference-registrations-2024/" TargetMode="External" Id="rId460"/><Relationship Type="http://schemas.openxmlformats.org/officeDocument/2006/relationships/hyperlink" Target="#FixPlan!A23" TargetMode="External" Id="rId461"/><Relationship Type="http://schemas.openxmlformats.org/officeDocument/2006/relationships/hyperlink" Target="https://africanmarketingconfederation.org/conference-registrations-2024/" TargetMode="External" Id="rId462"/><Relationship Type="http://schemas.openxmlformats.org/officeDocument/2006/relationships/hyperlink" Target="#FixPlan!A24" TargetMode="External" Id="rId463"/><Relationship Type="http://schemas.openxmlformats.org/officeDocument/2006/relationships/hyperlink" Target="https://africanmarketingconfederation.org/conference-registrations-2024/" TargetMode="External" Id="rId464"/><Relationship Type="http://schemas.openxmlformats.org/officeDocument/2006/relationships/hyperlink" Target="#FixPlan!A25" TargetMode="External" Id="rId465"/><Relationship Type="http://schemas.openxmlformats.org/officeDocument/2006/relationships/hyperlink" Target="https://africanmarketingconfederation.org/conference-registrations-2024/" TargetMode="External" Id="rId466"/><Relationship Type="http://schemas.openxmlformats.org/officeDocument/2006/relationships/hyperlink" Target="#FixPlan!A26" TargetMode="External" Id="rId467"/><Relationship Type="http://schemas.openxmlformats.org/officeDocument/2006/relationships/hyperlink" Target="https://africanmarketingconfederation.org/elementor-31820/" TargetMode="External" Id="rId468"/><Relationship Type="http://schemas.openxmlformats.org/officeDocument/2006/relationships/hyperlink" Target="#FixPlan!A12" TargetMode="External" Id="rId469"/><Relationship Type="http://schemas.openxmlformats.org/officeDocument/2006/relationships/hyperlink" Target="https://africanmarketingconfederation.org/elementor-31820/" TargetMode="External" Id="rId470"/><Relationship Type="http://schemas.openxmlformats.org/officeDocument/2006/relationships/hyperlink" Target="#FixPlan!A20" TargetMode="External" Id="rId471"/><Relationship Type="http://schemas.openxmlformats.org/officeDocument/2006/relationships/hyperlink" Target="https://africanmarketingconfederation.org/elementor-31820/" TargetMode="External" Id="rId472"/><Relationship Type="http://schemas.openxmlformats.org/officeDocument/2006/relationships/hyperlink" Target="#FixPlan!A21" TargetMode="External" Id="rId473"/><Relationship Type="http://schemas.openxmlformats.org/officeDocument/2006/relationships/hyperlink" Target="https://africanmarketingconfederation.org/elementor-31820/" TargetMode="External" Id="rId474"/><Relationship Type="http://schemas.openxmlformats.org/officeDocument/2006/relationships/hyperlink" Target="#FixPlan!A22" TargetMode="External" Id="rId475"/><Relationship Type="http://schemas.openxmlformats.org/officeDocument/2006/relationships/hyperlink" Target="https://africanmarketingconfederation.org/elementor-31820/" TargetMode="External" Id="rId476"/><Relationship Type="http://schemas.openxmlformats.org/officeDocument/2006/relationships/hyperlink" Target="#FixPlan!A23" TargetMode="External" Id="rId477"/><Relationship Type="http://schemas.openxmlformats.org/officeDocument/2006/relationships/hyperlink" Target="https://africanmarketingconfederation.org/elementor-31820/" TargetMode="External" Id="rId478"/><Relationship Type="http://schemas.openxmlformats.org/officeDocument/2006/relationships/hyperlink" Target="#FixPlan!A24" TargetMode="External" Id="rId479"/><Relationship Type="http://schemas.openxmlformats.org/officeDocument/2006/relationships/hyperlink" Target="https://africanmarketingconfederation.org/elementor-31820/" TargetMode="External" Id="rId480"/><Relationship Type="http://schemas.openxmlformats.org/officeDocument/2006/relationships/hyperlink" Target="#FixPlan!A25" TargetMode="External" Id="rId481"/><Relationship Type="http://schemas.openxmlformats.org/officeDocument/2006/relationships/hyperlink" Target="https://africanmarketingconfederation.org/elementor-31820/" TargetMode="External" Id="rId482"/><Relationship Type="http://schemas.openxmlformats.org/officeDocument/2006/relationships/hyperlink" Target="#FixPlan!A26" TargetMode="External" Id="rId483"/><Relationship Type="http://schemas.openxmlformats.org/officeDocument/2006/relationships/hyperlink" Target="https://africanmarketingconfederation.org/amc-conference-2024-recap/" TargetMode="External" Id="rId484"/><Relationship Type="http://schemas.openxmlformats.org/officeDocument/2006/relationships/hyperlink" Target="#FixPlan!A13" TargetMode="External" Id="rId485"/><Relationship Type="http://schemas.openxmlformats.org/officeDocument/2006/relationships/hyperlink" Target="https://africanmarketingconfederation.org/amc-conference-2024-recap/" TargetMode="External" Id="rId486"/><Relationship Type="http://schemas.openxmlformats.org/officeDocument/2006/relationships/hyperlink" Target="#FixPlan!A12" TargetMode="External" Id="rId487"/><Relationship Type="http://schemas.openxmlformats.org/officeDocument/2006/relationships/hyperlink" Target="https://africanmarketingconfederation.org/amc-conference-2024-recap/" TargetMode="External" Id="rId488"/><Relationship Type="http://schemas.openxmlformats.org/officeDocument/2006/relationships/hyperlink" Target="#FixPlan!A20" TargetMode="External" Id="rId489"/><Relationship Type="http://schemas.openxmlformats.org/officeDocument/2006/relationships/hyperlink" Target="https://africanmarketingconfederation.org/amc-conference-2024-recap/" TargetMode="External" Id="rId490"/><Relationship Type="http://schemas.openxmlformats.org/officeDocument/2006/relationships/hyperlink" Target="#FixPlan!A21" TargetMode="External" Id="rId491"/><Relationship Type="http://schemas.openxmlformats.org/officeDocument/2006/relationships/hyperlink" Target="https://africanmarketingconfederation.org/amc-conference-2024-recap/" TargetMode="External" Id="rId492"/><Relationship Type="http://schemas.openxmlformats.org/officeDocument/2006/relationships/hyperlink" Target="#FixPlan!A22" TargetMode="External" Id="rId493"/><Relationship Type="http://schemas.openxmlformats.org/officeDocument/2006/relationships/hyperlink" Target="https://africanmarketingconfederation.org/amc-conference-2024-recap/" TargetMode="External" Id="rId494"/><Relationship Type="http://schemas.openxmlformats.org/officeDocument/2006/relationships/hyperlink" Target="#FixPlan!A23" TargetMode="External" Id="rId495"/><Relationship Type="http://schemas.openxmlformats.org/officeDocument/2006/relationships/hyperlink" Target="https://africanmarketingconfederation.org/amc-conference-2024-recap/" TargetMode="External" Id="rId496"/><Relationship Type="http://schemas.openxmlformats.org/officeDocument/2006/relationships/hyperlink" Target="#FixPlan!A24" TargetMode="External" Id="rId497"/><Relationship Type="http://schemas.openxmlformats.org/officeDocument/2006/relationships/hyperlink" Target="https://africanmarketingconfederation.org/amc-conference-2024-recap/" TargetMode="External" Id="rId498"/><Relationship Type="http://schemas.openxmlformats.org/officeDocument/2006/relationships/hyperlink" Target="#FixPlan!A25" TargetMode="External" Id="rId499"/><Relationship Type="http://schemas.openxmlformats.org/officeDocument/2006/relationships/hyperlink" Target="https://africanmarketingconfederation.org/amc-conference-2024-recap/" TargetMode="External" Id="rId500"/><Relationship Type="http://schemas.openxmlformats.org/officeDocument/2006/relationships/hyperlink" Target="#FixPlan!A26" TargetMode="External" Id="rId501"/><Relationship Type="http://schemas.openxmlformats.org/officeDocument/2006/relationships/hyperlink" Target="https://africanmarketingconfederation.org/amc-marketing-conference-2024/amc-programme-2025/" TargetMode="External" Id="rId502"/><Relationship Type="http://schemas.openxmlformats.org/officeDocument/2006/relationships/hyperlink" Target="#FixPlan!A13" TargetMode="External" Id="rId503"/><Relationship Type="http://schemas.openxmlformats.org/officeDocument/2006/relationships/hyperlink" Target="https://africanmarketingconfederation.org/amc-marketing-conference-2024/amc-programme-2025/" TargetMode="External" Id="rId504"/><Relationship Type="http://schemas.openxmlformats.org/officeDocument/2006/relationships/hyperlink" Target="#FixPlan!A16" TargetMode="External" Id="rId505"/><Relationship Type="http://schemas.openxmlformats.org/officeDocument/2006/relationships/hyperlink" Target="https://africanmarketingconfederation.org/amc-marketing-conference-2024/amc-programme-2025/" TargetMode="External" Id="rId506"/><Relationship Type="http://schemas.openxmlformats.org/officeDocument/2006/relationships/hyperlink" Target="#FixPlan!A12" TargetMode="External" Id="rId507"/><Relationship Type="http://schemas.openxmlformats.org/officeDocument/2006/relationships/hyperlink" Target="https://africanmarketingconfederation.org/amc-marketing-conference-2024/amc-programme-2025/" TargetMode="External" Id="rId508"/><Relationship Type="http://schemas.openxmlformats.org/officeDocument/2006/relationships/hyperlink" Target="#FixPlan!A20" TargetMode="External" Id="rId509"/><Relationship Type="http://schemas.openxmlformats.org/officeDocument/2006/relationships/hyperlink" Target="https://africanmarketingconfederation.org/amc-marketing-conference-2024/amc-programme-2025/" TargetMode="External" Id="rId510"/><Relationship Type="http://schemas.openxmlformats.org/officeDocument/2006/relationships/hyperlink" Target="#FixPlan!A21" TargetMode="External" Id="rId511"/><Relationship Type="http://schemas.openxmlformats.org/officeDocument/2006/relationships/hyperlink" Target="https://africanmarketingconfederation.org/amc-marketing-conference-2024/amc-programme-2025/" TargetMode="External" Id="rId512"/><Relationship Type="http://schemas.openxmlformats.org/officeDocument/2006/relationships/hyperlink" Target="#FixPlan!A22" TargetMode="External" Id="rId513"/><Relationship Type="http://schemas.openxmlformats.org/officeDocument/2006/relationships/hyperlink" Target="https://africanmarketingconfederation.org/amc-marketing-conference-2024/amc-programme-2025/" TargetMode="External" Id="rId514"/><Relationship Type="http://schemas.openxmlformats.org/officeDocument/2006/relationships/hyperlink" Target="#FixPlan!A23" TargetMode="External" Id="rId515"/><Relationship Type="http://schemas.openxmlformats.org/officeDocument/2006/relationships/hyperlink" Target="https://africanmarketingconfederation.org/amc-marketing-conference-2024/amc-programme-2025/" TargetMode="External" Id="rId516"/><Relationship Type="http://schemas.openxmlformats.org/officeDocument/2006/relationships/hyperlink" Target="#FixPlan!A24" TargetMode="External" Id="rId517"/><Relationship Type="http://schemas.openxmlformats.org/officeDocument/2006/relationships/hyperlink" Target="https://africanmarketingconfederation.org/amc-marketing-conference-2024/amc-programme-2025/" TargetMode="External" Id="rId518"/><Relationship Type="http://schemas.openxmlformats.org/officeDocument/2006/relationships/hyperlink" Target="#FixPlan!A25" TargetMode="External" Id="rId519"/><Relationship Type="http://schemas.openxmlformats.org/officeDocument/2006/relationships/hyperlink" Target="https://africanmarketingconfederation.org/amc-marketing-conference-2024/amc-programme-2025/" TargetMode="External" Id="rId520"/><Relationship Type="http://schemas.openxmlformats.org/officeDocument/2006/relationships/hyperlink" Target="#FixPlan!A26" TargetMode="External" Id="rId521"/><Relationship Type="http://schemas.openxmlformats.org/officeDocument/2006/relationships/hyperlink" Target="https://africanmarketingconfederation.org/amc-conference-2025/" TargetMode="External" Id="rId522"/><Relationship Type="http://schemas.openxmlformats.org/officeDocument/2006/relationships/hyperlink" Target="#FixPlan!A13" TargetMode="External" Id="rId523"/><Relationship Type="http://schemas.openxmlformats.org/officeDocument/2006/relationships/hyperlink" Target="https://africanmarketingconfederation.org/amc-conference-2025/" TargetMode="External" Id="rId524"/><Relationship Type="http://schemas.openxmlformats.org/officeDocument/2006/relationships/hyperlink" Target="#FixPlan!A12" TargetMode="External" Id="rId525"/><Relationship Type="http://schemas.openxmlformats.org/officeDocument/2006/relationships/hyperlink" Target="https://africanmarketingconfederation.org/amc-conference-2025/" TargetMode="External" Id="rId526"/><Relationship Type="http://schemas.openxmlformats.org/officeDocument/2006/relationships/hyperlink" Target="#FixPlan!A20" TargetMode="External" Id="rId527"/><Relationship Type="http://schemas.openxmlformats.org/officeDocument/2006/relationships/hyperlink" Target="https://africanmarketingconfederation.org/amc-conference-2025/" TargetMode="External" Id="rId528"/><Relationship Type="http://schemas.openxmlformats.org/officeDocument/2006/relationships/hyperlink" Target="#FixPlan!A21" TargetMode="External" Id="rId529"/><Relationship Type="http://schemas.openxmlformats.org/officeDocument/2006/relationships/hyperlink" Target="https://africanmarketingconfederation.org/amc-conference-2025/" TargetMode="External" Id="rId530"/><Relationship Type="http://schemas.openxmlformats.org/officeDocument/2006/relationships/hyperlink" Target="#FixPlan!A22" TargetMode="External" Id="rId531"/><Relationship Type="http://schemas.openxmlformats.org/officeDocument/2006/relationships/hyperlink" Target="https://africanmarketingconfederation.org/amc-conference-2025/" TargetMode="External" Id="rId532"/><Relationship Type="http://schemas.openxmlformats.org/officeDocument/2006/relationships/hyperlink" Target="#FixPlan!A23" TargetMode="External" Id="rId533"/><Relationship Type="http://schemas.openxmlformats.org/officeDocument/2006/relationships/hyperlink" Target="https://africanmarketingconfederation.org/amc-conference-2025/" TargetMode="External" Id="rId534"/><Relationship Type="http://schemas.openxmlformats.org/officeDocument/2006/relationships/hyperlink" Target="#FixPlan!A24" TargetMode="External" Id="rId535"/><Relationship Type="http://schemas.openxmlformats.org/officeDocument/2006/relationships/hyperlink" Target="https://africanmarketingconfederation.org/amc-conference-2025/" TargetMode="External" Id="rId536"/><Relationship Type="http://schemas.openxmlformats.org/officeDocument/2006/relationships/hyperlink" Target="#FixPlan!A25" TargetMode="External" Id="rId537"/><Relationship Type="http://schemas.openxmlformats.org/officeDocument/2006/relationships/hyperlink" Target="https://africanmarketingconfederation.org/amc-conference-2025/" TargetMode="External" Id="rId538"/><Relationship Type="http://schemas.openxmlformats.org/officeDocument/2006/relationships/hyperlink" Target="#FixPlan!A26" TargetMode="External" Id="rId539"/><Relationship Type="http://schemas.openxmlformats.org/officeDocument/2006/relationships/hyperlink" Target="https://africanmarketingconfederation.org/amc-sponsors-2025/" TargetMode="External" Id="rId540"/><Relationship Type="http://schemas.openxmlformats.org/officeDocument/2006/relationships/hyperlink" Target="#FixPlan!A12" TargetMode="External" Id="rId541"/><Relationship Type="http://schemas.openxmlformats.org/officeDocument/2006/relationships/hyperlink" Target="https://africanmarketingconfederation.org/amc-sponsors-2025/" TargetMode="External" Id="rId542"/><Relationship Type="http://schemas.openxmlformats.org/officeDocument/2006/relationships/hyperlink" Target="#FixPlan!A20" TargetMode="External" Id="rId543"/><Relationship Type="http://schemas.openxmlformats.org/officeDocument/2006/relationships/hyperlink" Target="https://africanmarketingconfederation.org/amc-sponsors-2025/" TargetMode="External" Id="rId544"/><Relationship Type="http://schemas.openxmlformats.org/officeDocument/2006/relationships/hyperlink" Target="#FixPlan!A21" TargetMode="External" Id="rId545"/><Relationship Type="http://schemas.openxmlformats.org/officeDocument/2006/relationships/hyperlink" Target="https://africanmarketingconfederation.org/amc-sponsors-2025/" TargetMode="External" Id="rId546"/><Relationship Type="http://schemas.openxmlformats.org/officeDocument/2006/relationships/hyperlink" Target="#FixPlan!A22" TargetMode="External" Id="rId547"/><Relationship Type="http://schemas.openxmlformats.org/officeDocument/2006/relationships/hyperlink" Target="https://africanmarketingconfederation.org/amc-sponsors-2025/" TargetMode="External" Id="rId548"/><Relationship Type="http://schemas.openxmlformats.org/officeDocument/2006/relationships/hyperlink" Target="#FixPlan!A23" TargetMode="External" Id="rId549"/><Relationship Type="http://schemas.openxmlformats.org/officeDocument/2006/relationships/hyperlink" Target="https://africanmarketingconfederation.org/amc-sponsors-2025/" TargetMode="External" Id="rId550"/><Relationship Type="http://schemas.openxmlformats.org/officeDocument/2006/relationships/hyperlink" Target="#FixPlan!A24" TargetMode="External" Id="rId551"/><Relationship Type="http://schemas.openxmlformats.org/officeDocument/2006/relationships/hyperlink" Target="https://africanmarketingconfederation.org/amc-sponsors-2025/" TargetMode="External" Id="rId552"/><Relationship Type="http://schemas.openxmlformats.org/officeDocument/2006/relationships/hyperlink" Target="#FixPlan!A25" TargetMode="External" Id="rId553"/><Relationship Type="http://schemas.openxmlformats.org/officeDocument/2006/relationships/hyperlink" Target="https://africanmarketingconfederation.org/amc-sponsors-2025/" TargetMode="External" Id="rId554"/><Relationship Type="http://schemas.openxmlformats.org/officeDocument/2006/relationships/hyperlink" Target="#FixPlan!A26" TargetMode="External" Id="rId555"/><Relationship Type="http://schemas.openxmlformats.org/officeDocument/2006/relationships/hyperlink" Target="https://africanmarketingconfederation.org/amc-conference-2022-prospectus/" TargetMode="External" Id="rId556"/><Relationship Type="http://schemas.openxmlformats.org/officeDocument/2006/relationships/hyperlink" Target="#FixPlan!A17" TargetMode="External" Id="rId557"/><Relationship Type="http://schemas.openxmlformats.org/officeDocument/2006/relationships/hyperlink" Target="https://africanmarketingconfederation.org/amc-conference-2022-prospectus/" TargetMode="External" Id="rId558"/><Relationship Type="http://schemas.openxmlformats.org/officeDocument/2006/relationships/hyperlink" Target="#FixPlan!A16" TargetMode="External" Id="rId559"/><Relationship Type="http://schemas.openxmlformats.org/officeDocument/2006/relationships/hyperlink" Target="https://africanmarketingconfederation.org/amc-conference-2022-prospectus/" TargetMode="External" Id="rId560"/><Relationship Type="http://schemas.openxmlformats.org/officeDocument/2006/relationships/hyperlink" Target="#FixPlan!A12" TargetMode="External" Id="rId561"/><Relationship Type="http://schemas.openxmlformats.org/officeDocument/2006/relationships/hyperlink" Target="https://africanmarketingconfederation.org/amc-conference-2022-prospectus/" TargetMode="External" Id="rId562"/><Relationship Type="http://schemas.openxmlformats.org/officeDocument/2006/relationships/hyperlink" Target="#FixPlan!A20" TargetMode="External" Id="rId563"/><Relationship Type="http://schemas.openxmlformats.org/officeDocument/2006/relationships/hyperlink" Target="https://africanmarketingconfederation.org/amc-conference-2022-prospectus/" TargetMode="External" Id="rId564"/><Relationship Type="http://schemas.openxmlformats.org/officeDocument/2006/relationships/hyperlink" Target="#FixPlan!A21" TargetMode="External" Id="rId565"/><Relationship Type="http://schemas.openxmlformats.org/officeDocument/2006/relationships/hyperlink" Target="https://africanmarketingconfederation.org/amc-conference-2022-prospectus/" TargetMode="External" Id="rId566"/><Relationship Type="http://schemas.openxmlformats.org/officeDocument/2006/relationships/hyperlink" Target="#FixPlan!A22" TargetMode="External" Id="rId567"/><Relationship Type="http://schemas.openxmlformats.org/officeDocument/2006/relationships/hyperlink" Target="https://africanmarketingconfederation.org/amc-conference-2022-prospectus/" TargetMode="External" Id="rId568"/><Relationship Type="http://schemas.openxmlformats.org/officeDocument/2006/relationships/hyperlink" Target="#FixPlan!A23" TargetMode="External" Id="rId569"/><Relationship Type="http://schemas.openxmlformats.org/officeDocument/2006/relationships/hyperlink" Target="https://africanmarketingconfederation.org/amc-conference-2022-prospectus/" TargetMode="External" Id="rId570"/><Relationship Type="http://schemas.openxmlformats.org/officeDocument/2006/relationships/hyperlink" Target="#FixPlan!A24" TargetMode="External" Id="rId571"/><Relationship Type="http://schemas.openxmlformats.org/officeDocument/2006/relationships/hyperlink" Target="https://africanmarketingconfederation.org/amc-conference-2022-prospectus/" TargetMode="External" Id="rId572"/><Relationship Type="http://schemas.openxmlformats.org/officeDocument/2006/relationships/hyperlink" Target="#FixPlan!A25" TargetMode="External" Id="rId573"/><Relationship Type="http://schemas.openxmlformats.org/officeDocument/2006/relationships/hyperlink" Target="https://africanmarketingconfederation.org/amc-conference-2022-prospectus/" TargetMode="External" Id="rId574"/><Relationship Type="http://schemas.openxmlformats.org/officeDocument/2006/relationships/hyperlink" Target="#FixPlan!A26" TargetMode="External" Id="rId575"/><Relationship Type="http://schemas.openxmlformats.org/officeDocument/2006/relationships/hyperlink" Target="https://africanmarketingconfederation.org/test-payment-gate/" TargetMode="External" Id="rId576"/><Relationship Type="http://schemas.openxmlformats.org/officeDocument/2006/relationships/hyperlink" Target="#FixPlan!A17" TargetMode="External" Id="rId577"/><Relationship Type="http://schemas.openxmlformats.org/officeDocument/2006/relationships/hyperlink" Target="https://africanmarketingconfederation.org/test-payment-gate/" TargetMode="External" Id="rId578"/><Relationship Type="http://schemas.openxmlformats.org/officeDocument/2006/relationships/hyperlink" Target="#FixPlan!A16" TargetMode="External" Id="rId579"/><Relationship Type="http://schemas.openxmlformats.org/officeDocument/2006/relationships/hyperlink" Target="https://africanmarketingconfederation.org/test-payment-gate/" TargetMode="External" Id="rId580"/><Relationship Type="http://schemas.openxmlformats.org/officeDocument/2006/relationships/hyperlink" Target="#FixPlan!A12" TargetMode="External" Id="rId581"/><Relationship Type="http://schemas.openxmlformats.org/officeDocument/2006/relationships/hyperlink" Target="https://africanmarketingconfederation.org/test-payment-gate/" TargetMode="External" Id="rId582"/><Relationship Type="http://schemas.openxmlformats.org/officeDocument/2006/relationships/hyperlink" Target="#FixPlan!A20" TargetMode="External" Id="rId583"/><Relationship Type="http://schemas.openxmlformats.org/officeDocument/2006/relationships/hyperlink" Target="https://africanmarketingconfederation.org/test-payment-gate/" TargetMode="External" Id="rId584"/><Relationship Type="http://schemas.openxmlformats.org/officeDocument/2006/relationships/hyperlink" Target="#FixPlan!A21" TargetMode="External" Id="rId585"/><Relationship Type="http://schemas.openxmlformats.org/officeDocument/2006/relationships/hyperlink" Target="https://africanmarketingconfederation.org/test-payment-gate/" TargetMode="External" Id="rId586"/><Relationship Type="http://schemas.openxmlformats.org/officeDocument/2006/relationships/hyperlink" Target="#FixPlan!A22" TargetMode="External" Id="rId587"/><Relationship Type="http://schemas.openxmlformats.org/officeDocument/2006/relationships/hyperlink" Target="https://africanmarketingconfederation.org/test-payment-gate/" TargetMode="External" Id="rId588"/><Relationship Type="http://schemas.openxmlformats.org/officeDocument/2006/relationships/hyperlink" Target="#FixPlan!A23" TargetMode="External" Id="rId589"/><Relationship Type="http://schemas.openxmlformats.org/officeDocument/2006/relationships/hyperlink" Target="https://africanmarketingconfederation.org/test-payment-gate/" TargetMode="External" Id="rId590"/><Relationship Type="http://schemas.openxmlformats.org/officeDocument/2006/relationships/hyperlink" Target="#FixPlan!A24" TargetMode="External" Id="rId591"/><Relationship Type="http://schemas.openxmlformats.org/officeDocument/2006/relationships/hyperlink" Target="https://africanmarketingconfederation.org/test-payment-gate/" TargetMode="External" Id="rId592"/><Relationship Type="http://schemas.openxmlformats.org/officeDocument/2006/relationships/hyperlink" Target="#FixPlan!A25" TargetMode="External" Id="rId593"/><Relationship Type="http://schemas.openxmlformats.org/officeDocument/2006/relationships/hyperlink" Target="https://africanmarketingconfederation.org/test-payment-gate/" TargetMode="External" Id="rId594"/><Relationship Type="http://schemas.openxmlformats.org/officeDocument/2006/relationships/hyperlink" Target="#FixPlan!A26" TargetMode="External" Id="rId595"/><Relationship Type="http://schemas.openxmlformats.org/officeDocument/2006/relationships/hyperlink" Target="https://africanmarketingconfederation.org/amc-marketing-conference-2024/amc-preregister-2025/" TargetMode="External" Id="rId596"/><Relationship Type="http://schemas.openxmlformats.org/officeDocument/2006/relationships/hyperlink" Target="#FixPlan!A12" TargetMode="External" Id="rId597"/><Relationship Type="http://schemas.openxmlformats.org/officeDocument/2006/relationships/hyperlink" Target="https://africanmarketingconfederation.org/amc-marketing-conference-2024/amc-preregister-2025/" TargetMode="External" Id="rId598"/><Relationship Type="http://schemas.openxmlformats.org/officeDocument/2006/relationships/hyperlink" Target="#FixPlan!A20" TargetMode="External" Id="rId599"/><Relationship Type="http://schemas.openxmlformats.org/officeDocument/2006/relationships/hyperlink" Target="https://africanmarketingconfederation.org/amc-marketing-conference-2024/amc-preregister-2025/" TargetMode="External" Id="rId600"/><Relationship Type="http://schemas.openxmlformats.org/officeDocument/2006/relationships/hyperlink" Target="#FixPlan!A21" TargetMode="External" Id="rId601"/><Relationship Type="http://schemas.openxmlformats.org/officeDocument/2006/relationships/hyperlink" Target="https://africanmarketingconfederation.org/amc-marketing-conference-2024/amc-preregister-2025/" TargetMode="External" Id="rId602"/><Relationship Type="http://schemas.openxmlformats.org/officeDocument/2006/relationships/hyperlink" Target="#FixPlan!A22" TargetMode="External" Id="rId603"/><Relationship Type="http://schemas.openxmlformats.org/officeDocument/2006/relationships/hyperlink" Target="https://africanmarketingconfederation.org/amc-marketing-conference-2024/amc-preregister-2025/" TargetMode="External" Id="rId604"/><Relationship Type="http://schemas.openxmlformats.org/officeDocument/2006/relationships/hyperlink" Target="#FixPlan!A23" TargetMode="External" Id="rId605"/><Relationship Type="http://schemas.openxmlformats.org/officeDocument/2006/relationships/hyperlink" Target="https://africanmarketingconfederation.org/amc-marketing-conference-2024/amc-preregister-2025/" TargetMode="External" Id="rId606"/><Relationship Type="http://schemas.openxmlformats.org/officeDocument/2006/relationships/hyperlink" Target="#FixPlan!A24" TargetMode="External" Id="rId607"/><Relationship Type="http://schemas.openxmlformats.org/officeDocument/2006/relationships/hyperlink" Target="https://africanmarketingconfederation.org/amc-marketing-conference-2024/amc-preregister-2025/" TargetMode="External" Id="rId608"/><Relationship Type="http://schemas.openxmlformats.org/officeDocument/2006/relationships/hyperlink" Target="#FixPlan!A25" TargetMode="External" Id="rId609"/><Relationship Type="http://schemas.openxmlformats.org/officeDocument/2006/relationships/hyperlink" Target="https://africanmarketingconfederation.org/amc-marketing-conference-2024/amc-preregister-2025/" TargetMode="External" Id="rId610"/><Relationship Type="http://schemas.openxmlformats.org/officeDocument/2006/relationships/hyperlink" Target="#FixPlan!A26" TargetMode="External" Id="rId611"/><Relationship Type="http://schemas.openxmlformats.org/officeDocument/2006/relationships/hyperlink" Target="https://africanmarketingconfederation.org/conference-faq-2025/" TargetMode="External" Id="rId612"/><Relationship Type="http://schemas.openxmlformats.org/officeDocument/2006/relationships/hyperlink" Target="#FixPlan!A12" TargetMode="External" Id="rId613"/><Relationship Type="http://schemas.openxmlformats.org/officeDocument/2006/relationships/hyperlink" Target="https://africanmarketingconfederation.org/conference-faq-2025/" TargetMode="External" Id="rId614"/><Relationship Type="http://schemas.openxmlformats.org/officeDocument/2006/relationships/hyperlink" Target="#FixPlan!A20" TargetMode="External" Id="rId615"/><Relationship Type="http://schemas.openxmlformats.org/officeDocument/2006/relationships/hyperlink" Target="https://africanmarketingconfederation.org/conference-faq-2025/" TargetMode="External" Id="rId616"/><Relationship Type="http://schemas.openxmlformats.org/officeDocument/2006/relationships/hyperlink" Target="#FixPlan!A21" TargetMode="External" Id="rId617"/><Relationship Type="http://schemas.openxmlformats.org/officeDocument/2006/relationships/hyperlink" Target="https://africanmarketingconfederation.org/conference-faq-2025/" TargetMode="External" Id="rId618"/><Relationship Type="http://schemas.openxmlformats.org/officeDocument/2006/relationships/hyperlink" Target="#FixPlan!A22" TargetMode="External" Id="rId619"/><Relationship Type="http://schemas.openxmlformats.org/officeDocument/2006/relationships/hyperlink" Target="https://africanmarketingconfederation.org/conference-faq-2025/" TargetMode="External" Id="rId620"/><Relationship Type="http://schemas.openxmlformats.org/officeDocument/2006/relationships/hyperlink" Target="#FixPlan!A23" TargetMode="External" Id="rId621"/><Relationship Type="http://schemas.openxmlformats.org/officeDocument/2006/relationships/hyperlink" Target="https://africanmarketingconfederation.org/conference-faq-2025/" TargetMode="External" Id="rId622"/><Relationship Type="http://schemas.openxmlformats.org/officeDocument/2006/relationships/hyperlink" Target="#FixPlan!A24" TargetMode="External" Id="rId623"/><Relationship Type="http://schemas.openxmlformats.org/officeDocument/2006/relationships/hyperlink" Target="https://africanmarketingconfederation.org/conference-faq-2025/" TargetMode="External" Id="rId624"/><Relationship Type="http://schemas.openxmlformats.org/officeDocument/2006/relationships/hyperlink" Target="#FixPlan!A25" TargetMode="External" Id="rId625"/><Relationship Type="http://schemas.openxmlformats.org/officeDocument/2006/relationships/hyperlink" Target="https://africanmarketingconfederation.org/conference-faq-2025/" TargetMode="External" Id="rId626"/><Relationship Type="http://schemas.openxmlformats.org/officeDocument/2006/relationships/hyperlink" Target="#FixPlan!A26" TargetMode="External" Id="rId627"/><Relationship Type="http://schemas.openxmlformats.org/officeDocument/2006/relationships/hyperlink" Target="https://africanmarketingconfederation.org/amc-marketing-conference-2024/amc-conference-2025-ghana-sponsors/" TargetMode="External" Id="rId628"/><Relationship Type="http://schemas.openxmlformats.org/officeDocument/2006/relationships/hyperlink" Target="#FixPlan!A16" TargetMode="External" Id="rId629"/><Relationship Type="http://schemas.openxmlformats.org/officeDocument/2006/relationships/hyperlink" Target="https://africanmarketingconfederation.org/amc-marketing-conference-2024/amc-conference-2025-ghana-sponsors/" TargetMode="External" Id="rId630"/><Relationship Type="http://schemas.openxmlformats.org/officeDocument/2006/relationships/hyperlink" Target="#FixPlan!A12" TargetMode="External" Id="rId631"/><Relationship Type="http://schemas.openxmlformats.org/officeDocument/2006/relationships/hyperlink" Target="https://africanmarketingconfederation.org/amc-marketing-conference-2024/amc-conference-2025-ghana-sponsors/" TargetMode="External" Id="rId632"/><Relationship Type="http://schemas.openxmlformats.org/officeDocument/2006/relationships/hyperlink" Target="#FixPlan!A20" TargetMode="External" Id="rId633"/><Relationship Type="http://schemas.openxmlformats.org/officeDocument/2006/relationships/hyperlink" Target="https://africanmarketingconfederation.org/amc-marketing-conference-2024/amc-conference-2025-ghana-sponsors/" TargetMode="External" Id="rId634"/><Relationship Type="http://schemas.openxmlformats.org/officeDocument/2006/relationships/hyperlink" Target="#FixPlan!A21" TargetMode="External" Id="rId635"/><Relationship Type="http://schemas.openxmlformats.org/officeDocument/2006/relationships/hyperlink" Target="https://africanmarketingconfederation.org/amc-marketing-conference-2024/amc-conference-2025-ghana-sponsors/" TargetMode="External" Id="rId636"/><Relationship Type="http://schemas.openxmlformats.org/officeDocument/2006/relationships/hyperlink" Target="#FixPlan!A22" TargetMode="External" Id="rId637"/><Relationship Type="http://schemas.openxmlformats.org/officeDocument/2006/relationships/hyperlink" Target="https://africanmarketingconfederation.org/amc-marketing-conference-2024/amc-conference-2025-ghana-sponsors/" TargetMode="External" Id="rId638"/><Relationship Type="http://schemas.openxmlformats.org/officeDocument/2006/relationships/hyperlink" Target="#FixPlan!A23" TargetMode="External" Id="rId639"/><Relationship Type="http://schemas.openxmlformats.org/officeDocument/2006/relationships/hyperlink" Target="https://africanmarketingconfederation.org/amc-marketing-conference-2024/amc-conference-2025-ghana-sponsors/" TargetMode="External" Id="rId640"/><Relationship Type="http://schemas.openxmlformats.org/officeDocument/2006/relationships/hyperlink" Target="#FixPlan!A24" TargetMode="External" Id="rId641"/><Relationship Type="http://schemas.openxmlformats.org/officeDocument/2006/relationships/hyperlink" Target="https://africanmarketingconfederation.org/amc-marketing-conference-2024/amc-conference-2025-ghana-sponsors/" TargetMode="External" Id="rId642"/><Relationship Type="http://schemas.openxmlformats.org/officeDocument/2006/relationships/hyperlink" Target="#FixPlan!A25" TargetMode="External" Id="rId643"/><Relationship Type="http://schemas.openxmlformats.org/officeDocument/2006/relationships/hyperlink" Target="https://africanmarketingconfederation.org/amc-marketing-conference-2024/amc-conference-2025-ghana-sponsors/" TargetMode="External" Id="rId644"/><Relationship Type="http://schemas.openxmlformats.org/officeDocument/2006/relationships/hyperlink" Target="#FixPlan!A26" TargetMode="External" Id="rId645"/><Relationship Type="http://schemas.openxmlformats.org/officeDocument/2006/relationships/hyperlink" Target="https://africanmarketingconfederation.org/amc-forum-payments/" TargetMode="External" Id="rId646"/><Relationship Type="http://schemas.openxmlformats.org/officeDocument/2006/relationships/hyperlink" Target="#FixPlan!A17" TargetMode="External" Id="rId647"/><Relationship Type="http://schemas.openxmlformats.org/officeDocument/2006/relationships/hyperlink" Target="https://africanmarketingconfederation.org/amc-forum-payments/" TargetMode="External" Id="rId648"/><Relationship Type="http://schemas.openxmlformats.org/officeDocument/2006/relationships/hyperlink" Target="#FixPlan!A16" TargetMode="External" Id="rId649"/><Relationship Type="http://schemas.openxmlformats.org/officeDocument/2006/relationships/hyperlink" Target="https://africanmarketingconfederation.org/amc-forum-payments/" TargetMode="External" Id="rId650"/><Relationship Type="http://schemas.openxmlformats.org/officeDocument/2006/relationships/hyperlink" Target="#FixPlan!A12" TargetMode="External" Id="rId651"/><Relationship Type="http://schemas.openxmlformats.org/officeDocument/2006/relationships/hyperlink" Target="https://africanmarketingconfederation.org/amc-forum-payments/" TargetMode="External" Id="rId652"/><Relationship Type="http://schemas.openxmlformats.org/officeDocument/2006/relationships/hyperlink" Target="#FixPlan!A20" TargetMode="External" Id="rId653"/><Relationship Type="http://schemas.openxmlformats.org/officeDocument/2006/relationships/hyperlink" Target="https://africanmarketingconfederation.org/amc-forum-payments/" TargetMode="External" Id="rId654"/><Relationship Type="http://schemas.openxmlformats.org/officeDocument/2006/relationships/hyperlink" Target="#FixPlan!A21" TargetMode="External" Id="rId655"/><Relationship Type="http://schemas.openxmlformats.org/officeDocument/2006/relationships/hyperlink" Target="https://africanmarketingconfederation.org/amc-forum-payments/" TargetMode="External" Id="rId656"/><Relationship Type="http://schemas.openxmlformats.org/officeDocument/2006/relationships/hyperlink" Target="#FixPlan!A22" TargetMode="External" Id="rId657"/><Relationship Type="http://schemas.openxmlformats.org/officeDocument/2006/relationships/hyperlink" Target="https://africanmarketingconfederation.org/amc-forum-payments/" TargetMode="External" Id="rId658"/><Relationship Type="http://schemas.openxmlformats.org/officeDocument/2006/relationships/hyperlink" Target="#FixPlan!A23" TargetMode="External" Id="rId659"/><Relationship Type="http://schemas.openxmlformats.org/officeDocument/2006/relationships/hyperlink" Target="https://africanmarketingconfederation.org/amc-forum-payments/" TargetMode="External" Id="rId660"/><Relationship Type="http://schemas.openxmlformats.org/officeDocument/2006/relationships/hyperlink" Target="#FixPlan!A24" TargetMode="External" Id="rId661"/><Relationship Type="http://schemas.openxmlformats.org/officeDocument/2006/relationships/hyperlink" Target="https://africanmarketingconfederation.org/amc-forum-payments/" TargetMode="External" Id="rId662"/><Relationship Type="http://schemas.openxmlformats.org/officeDocument/2006/relationships/hyperlink" Target="#FixPlan!A25" TargetMode="External" Id="rId663"/><Relationship Type="http://schemas.openxmlformats.org/officeDocument/2006/relationships/hyperlink" Target="https://africanmarketingconfederation.org/amc-forum-payments/" TargetMode="External" Id="rId664"/><Relationship Type="http://schemas.openxmlformats.org/officeDocument/2006/relationships/hyperlink" Target="#FixPlan!A26" TargetMode="External" Id="rId665"/><Relationship Type="http://schemas.openxmlformats.org/officeDocument/2006/relationships/hyperlink" Target="https://africanmarketingconfederation.org/amc-marketing-conference-2024/amc-launch-event-2025/" TargetMode="External" Id="rId666"/><Relationship Type="http://schemas.openxmlformats.org/officeDocument/2006/relationships/hyperlink" Target="#FixPlan!A12" TargetMode="External" Id="rId667"/><Relationship Type="http://schemas.openxmlformats.org/officeDocument/2006/relationships/hyperlink" Target="https://africanmarketingconfederation.org/amc-marketing-conference-2024/amc-launch-event-2025/" TargetMode="External" Id="rId668"/><Relationship Type="http://schemas.openxmlformats.org/officeDocument/2006/relationships/hyperlink" Target="#FixPlan!A20" TargetMode="External" Id="rId669"/><Relationship Type="http://schemas.openxmlformats.org/officeDocument/2006/relationships/hyperlink" Target="https://africanmarketingconfederation.org/amc-marketing-conference-2024/amc-launch-event-2025/" TargetMode="External" Id="rId670"/><Relationship Type="http://schemas.openxmlformats.org/officeDocument/2006/relationships/hyperlink" Target="#FixPlan!A21" TargetMode="External" Id="rId671"/><Relationship Type="http://schemas.openxmlformats.org/officeDocument/2006/relationships/hyperlink" Target="https://africanmarketingconfederation.org/amc-marketing-conference-2024/amc-launch-event-2025/" TargetMode="External" Id="rId672"/><Relationship Type="http://schemas.openxmlformats.org/officeDocument/2006/relationships/hyperlink" Target="#FixPlan!A22" TargetMode="External" Id="rId673"/><Relationship Type="http://schemas.openxmlformats.org/officeDocument/2006/relationships/hyperlink" Target="https://africanmarketingconfederation.org/amc-marketing-conference-2024/amc-launch-event-2025/" TargetMode="External" Id="rId674"/><Relationship Type="http://schemas.openxmlformats.org/officeDocument/2006/relationships/hyperlink" Target="#FixPlan!A23" TargetMode="External" Id="rId675"/><Relationship Type="http://schemas.openxmlformats.org/officeDocument/2006/relationships/hyperlink" Target="https://africanmarketingconfederation.org/amc-marketing-conference-2024/amc-launch-event-2025/" TargetMode="External" Id="rId676"/><Relationship Type="http://schemas.openxmlformats.org/officeDocument/2006/relationships/hyperlink" Target="#FixPlan!A24" TargetMode="External" Id="rId677"/><Relationship Type="http://schemas.openxmlformats.org/officeDocument/2006/relationships/hyperlink" Target="https://africanmarketingconfederation.org/amc-marketing-conference-2024/amc-launch-event-2025/" TargetMode="External" Id="rId678"/><Relationship Type="http://schemas.openxmlformats.org/officeDocument/2006/relationships/hyperlink" Target="#FixPlan!A25" TargetMode="External" Id="rId679"/><Relationship Type="http://schemas.openxmlformats.org/officeDocument/2006/relationships/hyperlink" Target="https://africanmarketingconfederation.org/amc-marketing-conference-2024/amc-launch-event-2025/" TargetMode="External" Id="rId680"/><Relationship Type="http://schemas.openxmlformats.org/officeDocument/2006/relationships/hyperlink" Target="#FixPlan!A26" TargetMode="External" Id="rId681"/><Relationship Type="http://schemas.openxmlformats.org/officeDocument/2006/relationships/hyperlink" Target="https://africanmarketingconfederation.org/checkout/" TargetMode="External" Id="rId682"/><Relationship Type="http://schemas.openxmlformats.org/officeDocument/2006/relationships/hyperlink" Target="#FixPlan!A17" TargetMode="External" Id="rId683"/><Relationship Type="http://schemas.openxmlformats.org/officeDocument/2006/relationships/hyperlink" Target="https://africanmarketingconfederation.org/checkout/" TargetMode="External" Id="rId684"/><Relationship Type="http://schemas.openxmlformats.org/officeDocument/2006/relationships/hyperlink" Target="#FixPlan!A16" TargetMode="External" Id="rId685"/><Relationship Type="http://schemas.openxmlformats.org/officeDocument/2006/relationships/hyperlink" Target="https://africanmarketingconfederation.org/checkout/" TargetMode="External" Id="rId686"/><Relationship Type="http://schemas.openxmlformats.org/officeDocument/2006/relationships/hyperlink" Target="#FixPlan!A12" TargetMode="External" Id="rId687"/><Relationship Type="http://schemas.openxmlformats.org/officeDocument/2006/relationships/hyperlink" Target="https://africanmarketingconfederation.org/checkout/" TargetMode="External" Id="rId688"/><Relationship Type="http://schemas.openxmlformats.org/officeDocument/2006/relationships/hyperlink" Target="#FixPlan!A20" TargetMode="External" Id="rId689"/><Relationship Type="http://schemas.openxmlformats.org/officeDocument/2006/relationships/hyperlink" Target="https://africanmarketingconfederation.org/checkout/" TargetMode="External" Id="rId690"/><Relationship Type="http://schemas.openxmlformats.org/officeDocument/2006/relationships/hyperlink" Target="#FixPlan!A21" TargetMode="External" Id="rId691"/><Relationship Type="http://schemas.openxmlformats.org/officeDocument/2006/relationships/hyperlink" Target="https://africanmarketingconfederation.org/checkout/" TargetMode="External" Id="rId692"/><Relationship Type="http://schemas.openxmlformats.org/officeDocument/2006/relationships/hyperlink" Target="#FixPlan!A22" TargetMode="External" Id="rId693"/><Relationship Type="http://schemas.openxmlformats.org/officeDocument/2006/relationships/hyperlink" Target="https://africanmarketingconfederation.org/checkout/" TargetMode="External" Id="rId694"/><Relationship Type="http://schemas.openxmlformats.org/officeDocument/2006/relationships/hyperlink" Target="#FixPlan!A23" TargetMode="External" Id="rId695"/><Relationship Type="http://schemas.openxmlformats.org/officeDocument/2006/relationships/hyperlink" Target="https://africanmarketingconfederation.org/checkout/" TargetMode="External" Id="rId696"/><Relationship Type="http://schemas.openxmlformats.org/officeDocument/2006/relationships/hyperlink" Target="#FixPlan!A24" TargetMode="External" Id="rId697"/><Relationship Type="http://schemas.openxmlformats.org/officeDocument/2006/relationships/hyperlink" Target="https://africanmarketingconfederation.org/checkout/" TargetMode="External" Id="rId698"/><Relationship Type="http://schemas.openxmlformats.org/officeDocument/2006/relationships/hyperlink" Target="#FixPlan!A25" TargetMode="External" Id="rId699"/><Relationship Type="http://schemas.openxmlformats.org/officeDocument/2006/relationships/hyperlink" Target="https://africanmarketingconfederation.org/checkout/" TargetMode="External" Id="rId700"/><Relationship Type="http://schemas.openxmlformats.org/officeDocument/2006/relationships/hyperlink" Target="#FixPlan!A26" TargetMode="External" Id="rId701"/><Relationship Type="http://schemas.openxmlformats.org/officeDocument/2006/relationships/hyperlink" Target="https://africanmarketingconfederation.org/amc-awards-2024/" TargetMode="External" Id="rId702"/><Relationship Type="http://schemas.openxmlformats.org/officeDocument/2006/relationships/hyperlink" Target="#FixPlan!A13" TargetMode="External" Id="rId703"/><Relationship Type="http://schemas.openxmlformats.org/officeDocument/2006/relationships/hyperlink" Target="https://africanmarketingconfederation.org/amc-awards-2024/" TargetMode="External" Id="rId704"/><Relationship Type="http://schemas.openxmlformats.org/officeDocument/2006/relationships/hyperlink" Target="#FixPlan!A12" TargetMode="External" Id="rId705"/><Relationship Type="http://schemas.openxmlformats.org/officeDocument/2006/relationships/hyperlink" Target="https://africanmarketingconfederation.org/amc-awards-2024/" TargetMode="External" Id="rId706"/><Relationship Type="http://schemas.openxmlformats.org/officeDocument/2006/relationships/hyperlink" Target="#FixPlan!A20" TargetMode="External" Id="rId707"/><Relationship Type="http://schemas.openxmlformats.org/officeDocument/2006/relationships/hyperlink" Target="https://africanmarketingconfederation.org/amc-awards-2024/" TargetMode="External" Id="rId708"/><Relationship Type="http://schemas.openxmlformats.org/officeDocument/2006/relationships/hyperlink" Target="#FixPlan!A21" TargetMode="External" Id="rId709"/><Relationship Type="http://schemas.openxmlformats.org/officeDocument/2006/relationships/hyperlink" Target="https://africanmarketingconfederation.org/amc-awards-2024/" TargetMode="External" Id="rId710"/><Relationship Type="http://schemas.openxmlformats.org/officeDocument/2006/relationships/hyperlink" Target="#FixPlan!A22" TargetMode="External" Id="rId711"/><Relationship Type="http://schemas.openxmlformats.org/officeDocument/2006/relationships/hyperlink" Target="https://africanmarketingconfederation.org/amc-awards-2024/" TargetMode="External" Id="rId712"/><Relationship Type="http://schemas.openxmlformats.org/officeDocument/2006/relationships/hyperlink" Target="#FixPlan!A23" TargetMode="External" Id="rId713"/><Relationship Type="http://schemas.openxmlformats.org/officeDocument/2006/relationships/hyperlink" Target="https://africanmarketingconfederation.org/amc-awards-2024/" TargetMode="External" Id="rId714"/><Relationship Type="http://schemas.openxmlformats.org/officeDocument/2006/relationships/hyperlink" Target="#FixPlan!A24" TargetMode="External" Id="rId715"/><Relationship Type="http://schemas.openxmlformats.org/officeDocument/2006/relationships/hyperlink" Target="https://africanmarketingconfederation.org/amc-awards-2024/" TargetMode="External" Id="rId716"/><Relationship Type="http://schemas.openxmlformats.org/officeDocument/2006/relationships/hyperlink" Target="#FixPlan!A25" TargetMode="External" Id="rId717"/><Relationship Type="http://schemas.openxmlformats.org/officeDocument/2006/relationships/hyperlink" Target="https://africanmarketingconfederation.org/amc-awards-2024/" TargetMode="External" Id="rId718"/><Relationship Type="http://schemas.openxmlformats.org/officeDocument/2006/relationships/hyperlink" Target="#FixPlan!A26" TargetMode="External" Id="rId719"/><Relationship Type="http://schemas.openxmlformats.org/officeDocument/2006/relationships/hyperlink" Target="https://africanmarketingconfederation.org/amc-conference-2023/" TargetMode="External" Id="rId720"/><Relationship Type="http://schemas.openxmlformats.org/officeDocument/2006/relationships/hyperlink" Target="#FixPlan!A12" TargetMode="External" Id="rId721"/><Relationship Type="http://schemas.openxmlformats.org/officeDocument/2006/relationships/hyperlink" Target="https://africanmarketingconfederation.org/amc-conference-2023/" TargetMode="External" Id="rId722"/><Relationship Type="http://schemas.openxmlformats.org/officeDocument/2006/relationships/hyperlink" Target="#FixPlan!A20" TargetMode="External" Id="rId723"/><Relationship Type="http://schemas.openxmlformats.org/officeDocument/2006/relationships/hyperlink" Target="https://africanmarketingconfederation.org/amc-conference-2023/" TargetMode="External" Id="rId724"/><Relationship Type="http://schemas.openxmlformats.org/officeDocument/2006/relationships/hyperlink" Target="#FixPlan!A21" TargetMode="External" Id="rId725"/><Relationship Type="http://schemas.openxmlformats.org/officeDocument/2006/relationships/hyperlink" Target="https://africanmarketingconfederation.org/amc-conference-2023/" TargetMode="External" Id="rId726"/><Relationship Type="http://schemas.openxmlformats.org/officeDocument/2006/relationships/hyperlink" Target="#FixPlan!A22" TargetMode="External" Id="rId727"/><Relationship Type="http://schemas.openxmlformats.org/officeDocument/2006/relationships/hyperlink" Target="https://africanmarketingconfederation.org/amc-conference-2023/" TargetMode="External" Id="rId728"/><Relationship Type="http://schemas.openxmlformats.org/officeDocument/2006/relationships/hyperlink" Target="#FixPlan!A23" TargetMode="External" Id="rId729"/><Relationship Type="http://schemas.openxmlformats.org/officeDocument/2006/relationships/hyperlink" Target="https://africanmarketingconfederation.org/amc-conference-2023/" TargetMode="External" Id="rId730"/><Relationship Type="http://schemas.openxmlformats.org/officeDocument/2006/relationships/hyperlink" Target="#FixPlan!A24" TargetMode="External" Id="rId731"/><Relationship Type="http://schemas.openxmlformats.org/officeDocument/2006/relationships/hyperlink" Target="https://africanmarketingconfederation.org/amc-conference-2023/" TargetMode="External" Id="rId732"/><Relationship Type="http://schemas.openxmlformats.org/officeDocument/2006/relationships/hyperlink" Target="#FixPlan!A25" TargetMode="External" Id="rId733"/><Relationship Type="http://schemas.openxmlformats.org/officeDocument/2006/relationships/hyperlink" Target="https://africanmarketingconfederation.org/amc-conference-2023/" TargetMode="External" Id="rId734"/><Relationship Type="http://schemas.openxmlformats.org/officeDocument/2006/relationships/hyperlink" Target="#FixPlan!A26" TargetMode="External" Id="rId735"/><Relationship Type="http://schemas.openxmlformats.org/officeDocument/2006/relationships/hyperlink" Target="https://africanmarketingconfederation.org/amc-forum-mombasa/" TargetMode="External" Id="rId736"/><Relationship Type="http://schemas.openxmlformats.org/officeDocument/2006/relationships/hyperlink" Target="#FixPlan!A12" TargetMode="External" Id="rId737"/><Relationship Type="http://schemas.openxmlformats.org/officeDocument/2006/relationships/hyperlink" Target="https://africanmarketingconfederation.org/amc-forum-mombasa/" TargetMode="External" Id="rId738"/><Relationship Type="http://schemas.openxmlformats.org/officeDocument/2006/relationships/hyperlink" Target="#FixPlan!A20" TargetMode="External" Id="rId739"/><Relationship Type="http://schemas.openxmlformats.org/officeDocument/2006/relationships/hyperlink" Target="https://africanmarketingconfederation.org/amc-forum-mombasa/" TargetMode="External" Id="rId740"/><Relationship Type="http://schemas.openxmlformats.org/officeDocument/2006/relationships/hyperlink" Target="#FixPlan!A21" TargetMode="External" Id="rId741"/><Relationship Type="http://schemas.openxmlformats.org/officeDocument/2006/relationships/hyperlink" Target="https://africanmarketingconfederation.org/amc-forum-mombasa/" TargetMode="External" Id="rId742"/><Relationship Type="http://schemas.openxmlformats.org/officeDocument/2006/relationships/hyperlink" Target="#FixPlan!A22" TargetMode="External" Id="rId743"/><Relationship Type="http://schemas.openxmlformats.org/officeDocument/2006/relationships/hyperlink" Target="https://africanmarketingconfederation.org/amc-forum-mombasa/" TargetMode="External" Id="rId744"/><Relationship Type="http://schemas.openxmlformats.org/officeDocument/2006/relationships/hyperlink" Target="#FixPlan!A23" TargetMode="External" Id="rId745"/><Relationship Type="http://schemas.openxmlformats.org/officeDocument/2006/relationships/hyperlink" Target="https://africanmarketingconfederation.org/amc-forum-mombasa/" TargetMode="External" Id="rId746"/><Relationship Type="http://schemas.openxmlformats.org/officeDocument/2006/relationships/hyperlink" Target="#FixPlan!A24" TargetMode="External" Id="rId747"/><Relationship Type="http://schemas.openxmlformats.org/officeDocument/2006/relationships/hyperlink" Target="https://africanmarketingconfederation.org/amc-forum-mombasa/" TargetMode="External" Id="rId748"/><Relationship Type="http://schemas.openxmlformats.org/officeDocument/2006/relationships/hyperlink" Target="#FixPlan!A25" TargetMode="External" Id="rId749"/><Relationship Type="http://schemas.openxmlformats.org/officeDocument/2006/relationships/hyperlink" Target="https://africanmarketingconfederation.org/amc-forum-mombasa/" TargetMode="External" Id="rId750"/><Relationship Type="http://schemas.openxmlformats.org/officeDocument/2006/relationships/hyperlink" Target="#FixPlan!A26" TargetMode="External" Id="rId751"/><Relationship Type="http://schemas.openxmlformats.org/officeDocument/2006/relationships/hyperlink" Target="https://africanmarketingconfederation.org/amc-marketing-conference-2024/amc-speakers-presentations-2024/" TargetMode="External" Id="rId752"/><Relationship Type="http://schemas.openxmlformats.org/officeDocument/2006/relationships/hyperlink" Target="#FixPlan!A13" TargetMode="External" Id="rId753"/><Relationship Type="http://schemas.openxmlformats.org/officeDocument/2006/relationships/hyperlink" Target="https://africanmarketingconfederation.org/amc-marketing-conference-2024/amc-speakers-presentations-2024/" TargetMode="External" Id="rId754"/><Relationship Type="http://schemas.openxmlformats.org/officeDocument/2006/relationships/hyperlink" Target="#FixPlan!A16" TargetMode="External" Id="rId755"/><Relationship Type="http://schemas.openxmlformats.org/officeDocument/2006/relationships/hyperlink" Target="https://africanmarketingconfederation.org/amc-marketing-conference-2024/amc-speakers-presentations-2024/" TargetMode="External" Id="rId756"/><Relationship Type="http://schemas.openxmlformats.org/officeDocument/2006/relationships/hyperlink" Target="#FixPlan!A12" TargetMode="External" Id="rId757"/><Relationship Type="http://schemas.openxmlformats.org/officeDocument/2006/relationships/hyperlink" Target="https://africanmarketingconfederation.org/amc-marketing-conference-2024/amc-speakers-presentations-2024/" TargetMode="External" Id="rId758"/><Relationship Type="http://schemas.openxmlformats.org/officeDocument/2006/relationships/hyperlink" Target="#FixPlan!A20" TargetMode="External" Id="rId759"/><Relationship Type="http://schemas.openxmlformats.org/officeDocument/2006/relationships/hyperlink" Target="https://africanmarketingconfederation.org/amc-marketing-conference-2024/amc-speakers-presentations-2024/" TargetMode="External" Id="rId760"/><Relationship Type="http://schemas.openxmlformats.org/officeDocument/2006/relationships/hyperlink" Target="#FixPlan!A21" TargetMode="External" Id="rId761"/><Relationship Type="http://schemas.openxmlformats.org/officeDocument/2006/relationships/hyperlink" Target="https://africanmarketingconfederation.org/amc-marketing-conference-2024/amc-speakers-presentations-2024/" TargetMode="External" Id="rId762"/><Relationship Type="http://schemas.openxmlformats.org/officeDocument/2006/relationships/hyperlink" Target="#FixPlan!A22" TargetMode="External" Id="rId763"/><Relationship Type="http://schemas.openxmlformats.org/officeDocument/2006/relationships/hyperlink" Target="https://africanmarketingconfederation.org/amc-marketing-conference-2024/amc-speakers-presentations-2024/" TargetMode="External" Id="rId764"/><Relationship Type="http://schemas.openxmlformats.org/officeDocument/2006/relationships/hyperlink" Target="#FixPlan!A23" TargetMode="External" Id="rId765"/><Relationship Type="http://schemas.openxmlformats.org/officeDocument/2006/relationships/hyperlink" Target="https://africanmarketingconfederation.org/amc-marketing-conference-2024/amc-speakers-presentations-2024/" TargetMode="External" Id="rId766"/><Relationship Type="http://schemas.openxmlformats.org/officeDocument/2006/relationships/hyperlink" Target="#FixPlan!A24" TargetMode="External" Id="rId767"/><Relationship Type="http://schemas.openxmlformats.org/officeDocument/2006/relationships/hyperlink" Target="https://africanmarketingconfederation.org/amc-marketing-conference-2024/amc-speakers-presentations-2024/" TargetMode="External" Id="rId768"/><Relationship Type="http://schemas.openxmlformats.org/officeDocument/2006/relationships/hyperlink" Target="#FixPlan!A25" TargetMode="External" Id="rId769"/><Relationship Type="http://schemas.openxmlformats.org/officeDocument/2006/relationships/hyperlink" Target="https://africanmarketingconfederation.org/amc-marketing-conference-2024/amc-speakers-presentations-2024/" TargetMode="External" Id="rId770"/><Relationship Type="http://schemas.openxmlformats.org/officeDocument/2006/relationships/hyperlink" Target="#FixPlan!A26" TargetMode="External" Id="rId771"/><Relationship Type="http://schemas.openxmlformats.org/officeDocument/2006/relationships/hyperlink" Target="https://africanmarketingconfederation.org/amc-marketing-conference-2024/testimony-thank-you-page/" TargetMode="External" Id="rId772"/><Relationship Type="http://schemas.openxmlformats.org/officeDocument/2006/relationships/hyperlink" Target="#FixPlan!A13" TargetMode="External" Id="rId773"/><Relationship Type="http://schemas.openxmlformats.org/officeDocument/2006/relationships/hyperlink" Target="https://africanmarketingconfederation.org/amc-marketing-conference-2024/testimony-thank-you-page/" TargetMode="External" Id="rId774"/><Relationship Type="http://schemas.openxmlformats.org/officeDocument/2006/relationships/hyperlink" Target="#FixPlan!A16" TargetMode="External" Id="rId775"/><Relationship Type="http://schemas.openxmlformats.org/officeDocument/2006/relationships/hyperlink" Target="https://africanmarketingconfederation.org/amc-marketing-conference-2024/testimony-thank-you-page/" TargetMode="External" Id="rId776"/><Relationship Type="http://schemas.openxmlformats.org/officeDocument/2006/relationships/hyperlink" Target="#FixPlan!A12" TargetMode="External" Id="rId777"/><Relationship Type="http://schemas.openxmlformats.org/officeDocument/2006/relationships/hyperlink" Target="https://africanmarketingconfederation.org/amc-marketing-conference-2024/testimony-thank-you-page/" TargetMode="External" Id="rId778"/><Relationship Type="http://schemas.openxmlformats.org/officeDocument/2006/relationships/hyperlink" Target="#FixPlan!A20" TargetMode="External" Id="rId779"/><Relationship Type="http://schemas.openxmlformats.org/officeDocument/2006/relationships/hyperlink" Target="https://africanmarketingconfederation.org/amc-marketing-conference-2024/testimony-thank-you-page/" TargetMode="External" Id="rId780"/><Relationship Type="http://schemas.openxmlformats.org/officeDocument/2006/relationships/hyperlink" Target="#FixPlan!A21" TargetMode="External" Id="rId781"/><Relationship Type="http://schemas.openxmlformats.org/officeDocument/2006/relationships/hyperlink" Target="https://africanmarketingconfederation.org/amc-marketing-conference-2024/testimony-thank-you-page/" TargetMode="External" Id="rId782"/><Relationship Type="http://schemas.openxmlformats.org/officeDocument/2006/relationships/hyperlink" Target="#FixPlan!A22" TargetMode="External" Id="rId783"/><Relationship Type="http://schemas.openxmlformats.org/officeDocument/2006/relationships/hyperlink" Target="https://africanmarketingconfederation.org/amc-marketing-conference-2024/testimony-thank-you-page/" TargetMode="External" Id="rId784"/><Relationship Type="http://schemas.openxmlformats.org/officeDocument/2006/relationships/hyperlink" Target="#FixPlan!A23" TargetMode="External" Id="rId785"/><Relationship Type="http://schemas.openxmlformats.org/officeDocument/2006/relationships/hyperlink" Target="https://africanmarketingconfederation.org/amc-marketing-conference-2024/testimony-thank-you-page/" TargetMode="External" Id="rId786"/><Relationship Type="http://schemas.openxmlformats.org/officeDocument/2006/relationships/hyperlink" Target="#FixPlan!A24" TargetMode="External" Id="rId787"/><Relationship Type="http://schemas.openxmlformats.org/officeDocument/2006/relationships/hyperlink" Target="https://africanmarketingconfederation.org/amc-marketing-conference-2024/testimony-thank-you-page/" TargetMode="External" Id="rId788"/><Relationship Type="http://schemas.openxmlformats.org/officeDocument/2006/relationships/hyperlink" Target="#FixPlan!A25" TargetMode="External" Id="rId789"/><Relationship Type="http://schemas.openxmlformats.org/officeDocument/2006/relationships/hyperlink" Target="https://africanmarketingconfederation.org/amc-marketing-conference-2024/testimony-thank-you-page/" TargetMode="External" Id="rId790"/><Relationship Type="http://schemas.openxmlformats.org/officeDocument/2006/relationships/hyperlink" Target="#FixPlan!A26" TargetMode="External" Id="rId791"/><Relationship Type="http://schemas.openxmlformats.org/officeDocument/2006/relationships/hyperlink" Target="https://africanmarketingconfederation.org/amc-sign-up-now-form-2025/" TargetMode="External" Id="rId792"/><Relationship Type="http://schemas.openxmlformats.org/officeDocument/2006/relationships/hyperlink" Target="#FixPlan!A12" TargetMode="External" Id="rId793"/><Relationship Type="http://schemas.openxmlformats.org/officeDocument/2006/relationships/hyperlink" Target="https://africanmarketingconfederation.org/amc-sign-up-now-form-2025/" TargetMode="External" Id="rId794"/><Relationship Type="http://schemas.openxmlformats.org/officeDocument/2006/relationships/hyperlink" Target="#FixPlan!A20" TargetMode="External" Id="rId795"/><Relationship Type="http://schemas.openxmlformats.org/officeDocument/2006/relationships/hyperlink" Target="https://africanmarketingconfederation.org/amc-sign-up-now-form-2025/" TargetMode="External" Id="rId796"/><Relationship Type="http://schemas.openxmlformats.org/officeDocument/2006/relationships/hyperlink" Target="#FixPlan!A21" TargetMode="External" Id="rId797"/><Relationship Type="http://schemas.openxmlformats.org/officeDocument/2006/relationships/hyperlink" Target="https://africanmarketingconfederation.org/amc-sign-up-now-form-2025/" TargetMode="External" Id="rId798"/><Relationship Type="http://schemas.openxmlformats.org/officeDocument/2006/relationships/hyperlink" Target="#FixPlan!A22" TargetMode="External" Id="rId799"/><Relationship Type="http://schemas.openxmlformats.org/officeDocument/2006/relationships/hyperlink" Target="https://africanmarketingconfederation.org/amc-sign-up-now-form-2025/" TargetMode="External" Id="rId800"/><Relationship Type="http://schemas.openxmlformats.org/officeDocument/2006/relationships/hyperlink" Target="#FixPlan!A23" TargetMode="External" Id="rId801"/><Relationship Type="http://schemas.openxmlformats.org/officeDocument/2006/relationships/hyperlink" Target="https://africanmarketingconfederation.org/amc-sign-up-now-form-2025/" TargetMode="External" Id="rId802"/><Relationship Type="http://schemas.openxmlformats.org/officeDocument/2006/relationships/hyperlink" Target="#FixPlan!A24" TargetMode="External" Id="rId803"/><Relationship Type="http://schemas.openxmlformats.org/officeDocument/2006/relationships/hyperlink" Target="https://africanmarketingconfederation.org/amc-sign-up-now-form-2025/" TargetMode="External" Id="rId804"/><Relationship Type="http://schemas.openxmlformats.org/officeDocument/2006/relationships/hyperlink" Target="#FixPlan!A25" TargetMode="External" Id="rId805"/><Relationship Type="http://schemas.openxmlformats.org/officeDocument/2006/relationships/hyperlink" Target="https://africanmarketingconfederation.org/amc-sign-up-now-form-2025/" TargetMode="External" Id="rId806"/><Relationship Type="http://schemas.openxmlformats.org/officeDocument/2006/relationships/hyperlink" Target="#FixPlan!A26" TargetMode="External" Id="rId807"/><Relationship Type="http://schemas.openxmlformats.org/officeDocument/2006/relationships/hyperlink" Target="https://africanmarketingconfederation.org/amc-marketing-conference-2024/" TargetMode="External" Id="rId808"/><Relationship Type="http://schemas.openxmlformats.org/officeDocument/2006/relationships/hyperlink" Target="#FixPlan!A12" TargetMode="External" Id="rId809"/><Relationship Type="http://schemas.openxmlformats.org/officeDocument/2006/relationships/hyperlink" Target="https://africanmarketingconfederation.org/amc-marketing-conference-2024/" TargetMode="External" Id="rId810"/><Relationship Type="http://schemas.openxmlformats.org/officeDocument/2006/relationships/hyperlink" Target="#FixPlan!A20" TargetMode="External" Id="rId811"/><Relationship Type="http://schemas.openxmlformats.org/officeDocument/2006/relationships/hyperlink" Target="https://africanmarketingconfederation.org/amc-marketing-conference-2024/" TargetMode="External" Id="rId812"/><Relationship Type="http://schemas.openxmlformats.org/officeDocument/2006/relationships/hyperlink" Target="#FixPlan!A21" TargetMode="External" Id="rId813"/><Relationship Type="http://schemas.openxmlformats.org/officeDocument/2006/relationships/hyperlink" Target="https://africanmarketingconfederation.org/amc-marketing-conference-2024/" TargetMode="External" Id="rId814"/><Relationship Type="http://schemas.openxmlformats.org/officeDocument/2006/relationships/hyperlink" Target="#FixPlan!A22" TargetMode="External" Id="rId815"/><Relationship Type="http://schemas.openxmlformats.org/officeDocument/2006/relationships/hyperlink" Target="https://africanmarketingconfederation.org/amc-marketing-conference-2024/" TargetMode="External" Id="rId816"/><Relationship Type="http://schemas.openxmlformats.org/officeDocument/2006/relationships/hyperlink" Target="#FixPlan!A23" TargetMode="External" Id="rId817"/><Relationship Type="http://schemas.openxmlformats.org/officeDocument/2006/relationships/hyperlink" Target="https://africanmarketingconfederation.org/amc-marketing-conference-2024/" TargetMode="External" Id="rId818"/><Relationship Type="http://schemas.openxmlformats.org/officeDocument/2006/relationships/hyperlink" Target="#FixPlan!A24" TargetMode="External" Id="rId819"/><Relationship Type="http://schemas.openxmlformats.org/officeDocument/2006/relationships/hyperlink" Target="https://africanmarketingconfederation.org/amc-marketing-conference-2024/" TargetMode="External" Id="rId820"/><Relationship Type="http://schemas.openxmlformats.org/officeDocument/2006/relationships/hyperlink" Target="#FixPlan!A25" TargetMode="External" Id="rId821"/><Relationship Type="http://schemas.openxmlformats.org/officeDocument/2006/relationships/hyperlink" Target="https://africanmarketingconfederation.org/amc-marketing-conference-2024/" TargetMode="External" Id="rId822"/><Relationship Type="http://schemas.openxmlformats.org/officeDocument/2006/relationships/hyperlink" Target="#FixPlan!A26" TargetMode="External" Id="rId823"/><Relationship Type="http://schemas.openxmlformats.org/officeDocument/2006/relationships/hyperlink" Target="https://africanmarketingconfederation.org/amc-testimony-page-2024/" TargetMode="External" Id="rId824"/><Relationship Type="http://schemas.openxmlformats.org/officeDocument/2006/relationships/hyperlink" Target="#FixPlan!A12" TargetMode="External" Id="rId825"/><Relationship Type="http://schemas.openxmlformats.org/officeDocument/2006/relationships/hyperlink" Target="https://africanmarketingconfederation.org/amc-testimony-page-2024/" TargetMode="External" Id="rId826"/><Relationship Type="http://schemas.openxmlformats.org/officeDocument/2006/relationships/hyperlink" Target="#FixPlan!A20" TargetMode="External" Id="rId827"/><Relationship Type="http://schemas.openxmlformats.org/officeDocument/2006/relationships/hyperlink" Target="https://africanmarketingconfederation.org/amc-testimony-page-2024/" TargetMode="External" Id="rId828"/><Relationship Type="http://schemas.openxmlformats.org/officeDocument/2006/relationships/hyperlink" Target="#FixPlan!A21" TargetMode="External" Id="rId829"/><Relationship Type="http://schemas.openxmlformats.org/officeDocument/2006/relationships/hyperlink" Target="https://africanmarketingconfederation.org/amc-testimony-page-2024/" TargetMode="External" Id="rId830"/><Relationship Type="http://schemas.openxmlformats.org/officeDocument/2006/relationships/hyperlink" Target="#FixPlan!A22" TargetMode="External" Id="rId831"/><Relationship Type="http://schemas.openxmlformats.org/officeDocument/2006/relationships/hyperlink" Target="https://africanmarketingconfederation.org/amc-testimony-page-2024/" TargetMode="External" Id="rId832"/><Relationship Type="http://schemas.openxmlformats.org/officeDocument/2006/relationships/hyperlink" Target="#FixPlan!A23" TargetMode="External" Id="rId833"/><Relationship Type="http://schemas.openxmlformats.org/officeDocument/2006/relationships/hyperlink" Target="https://africanmarketingconfederation.org/amc-testimony-page-2024/" TargetMode="External" Id="rId834"/><Relationship Type="http://schemas.openxmlformats.org/officeDocument/2006/relationships/hyperlink" Target="#FixPlan!A24" TargetMode="External" Id="rId835"/><Relationship Type="http://schemas.openxmlformats.org/officeDocument/2006/relationships/hyperlink" Target="https://africanmarketingconfederation.org/amc-testimony-page-2024/" TargetMode="External" Id="rId836"/><Relationship Type="http://schemas.openxmlformats.org/officeDocument/2006/relationships/hyperlink" Target="#FixPlan!A25" TargetMode="External" Id="rId837"/><Relationship Type="http://schemas.openxmlformats.org/officeDocument/2006/relationships/hyperlink" Target="https://africanmarketingconfederation.org/amc-testimony-page-2024/" TargetMode="External" Id="rId838"/><Relationship Type="http://schemas.openxmlformats.org/officeDocument/2006/relationships/hyperlink" Target="#FixPlan!A26" TargetMode="External" Id="rId839"/><Relationship Type="http://schemas.openxmlformats.org/officeDocument/2006/relationships/hyperlink" Target="https://africanmarketingconfederation.org/thank-you-for-registering-2024-registrations/" TargetMode="External" Id="rId840"/><Relationship Type="http://schemas.openxmlformats.org/officeDocument/2006/relationships/hyperlink" Target="#FixPlan!A17" TargetMode="External" Id="rId841"/><Relationship Type="http://schemas.openxmlformats.org/officeDocument/2006/relationships/hyperlink" Target="https://africanmarketingconfederation.org/thank-you-for-registering-2024-registrations/" TargetMode="External" Id="rId842"/><Relationship Type="http://schemas.openxmlformats.org/officeDocument/2006/relationships/hyperlink" Target="#FixPlan!A16" TargetMode="External" Id="rId843"/><Relationship Type="http://schemas.openxmlformats.org/officeDocument/2006/relationships/hyperlink" Target="https://africanmarketingconfederation.org/thank-you-for-registering-2024-registrations/" TargetMode="External" Id="rId844"/><Relationship Type="http://schemas.openxmlformats.org/officeDocument/2006/relationships/hyperlink" Target="#FixPlan!A12" TargetMode="External" Id="rId845"/><Relationship Type="http://schemas.openxmlformats.org/officeDocument/2006/relationships/hyperlink" Target="https://africanmarketingconfederation.org/thank-you-for-registering-2024-registrations/" TargetMode="External" Id="rId846"/><Relationship Type="http://schemas.openxmlformats.org/officeDocument/2006/relationships/hyperlink" Target="#FixPlan!A20" TargetMode="External" Id="rId847"/><Relationship Type="http://schemas.openxmlformats.org/officeDocument/2006/relationships/hyperlink" Target="https://africanmarketingconfederation.org/thank-you-for-registering-2024-registrations/" TargetMode="External" Id="rId848"/><Relationship Type="http://schemas.openxmlformats.org/officeDocument/2006/relationships/hyperlink" Target="#FixPlan!A21" TargetMode="External" Id="rId849"/><Relationship Type="http://schemas.openxmlformats.org/officeDocument/2006/relationships/hyperlink" Target="https://africanmarketingconfederation.org/thank-you-for-registering-2024-registrations/" TargetMode="External" Id="rId850"/><Relationship Type="http://schemas.openxmlformats.org/officeDocument/2006/relationships/hyperlink" Target="#FixPlan!A22" TargetMode="External" Id="rId851"/><Relationship Type="http://schemas.openxmlformats.org/officeDocument/2006/relationships/hyperlink" Target="https://africanmarketingconfederation.org/thank-you-for-registering-2024-registrations/" TargetMode="External" Id="rId852"/><Relationship Type="http://schemas.openxmlformats.org/officeDocument/2006/relationships/hyperlink" Target="#FixPlan!A23" TargetMode="External" Id="rId853"/><Relationship Type="http://schemas.openxmlformats.org/officeDocument/2006/relationships/hyperlink" Target="https://africanmarketingconfederation.org/thank-you-for-registering-2024-registrations/" TargetMode="External" Id="rId854"/><Relationship Type="http://schemas.openxmlformats.org/officeDocument/2006/relationships/hyperlink" Target="#FixPlan!A24" TargetMode="External" Id="rId855"/><Relationship Type="http://schemas.openxmlformats.org/officeDocument/2006/relationships/hyperlink" Target="https://africanmarketingconfederation.org/thank-you-for-registering-2024-registrations/" TargetMode="External" Id="rId856"/><Relationship Type="http://schemas.openxmlformats.org/officeDocument/2006/relationships/hyperlink" Target="#FixPlan!A25" TargetMode="External" Id="rId857"/><Relationship Type="http://schemas.openxmlformats.org/officeDocument/2006/relationships/hyperlink" Target="https://africanmarketingconfederation.org/thank-you-for-registering-2024-registrations/" TargetMode="External" Id="rId858"/><Relationship Type="http://schemas.openxmlformats.org/officeDocument/2006/relationships/hyperlink" Target="#FixPlan!A26" TargetMode="External" Id="rId859"/><Relationship Type="http://schemas.openxmlformats.org/officeDocument/2006/relationships/hyperlink" Target="https://africanmarketingconfederation.org/download-prospectus-2024/" TargetMode="External" Id="rId860"/><Relationship Type="http://schemas.openxmlformats.org/officeDocument/2006/relationships/hyperlink" Target="#FixPlan!A17" TargetMode="External" Id="rId861"/><Relationship Type="http://schemas.openxmlformats.org/officeDocument/2006/relationships/hyperlink" Target="https://africanmarketingconfederation.org/download-prospectus-2024/" TargetMode="External" Id="rId862"/><Relationship Type="http://schemas.openxmlformats.org/officeDocument/2006/relationships/hyperlink" Target="#FixPlan!A16" TargetMode="External" Id="rId863"/><Relationship Type="http://schemas.openxmlformats.org/officeDocument/2006/relationships/hyperlink" Target="https://africanmarketingconfederation.org/download-prospectus-2024/" TargetMode="External" Id="rId864"/><Relationship Type="http://schemas.openxmlformats.org/officeDocument/2006/relationships/hyperlink" Target="#FixPlan!A12" TargetMode="External" Id="rId865"/><Relationship Type="http://schemas.openxmlformats.org/officeDocument/2006/relationships/hyperlink" Target="https://africanmarketingconfederation.org/download-prospectus-2024/" TargetMode="External" Id="rId866"/><Relationship Type="http://schemas.openxmlformats.org/officeDocument/2006/relationships/hyperlink" Target="#FixPlan!A20" TargetMode="External" Id="rId867"/><Relationship Type="http://schemas.openxmlformats.org/officeDocument/2006/relationships/hyperlink" Target="https://africanmarketingconfederation.org/download-prospectus-2024/" TargetMode="External" Id="rId868"/><Relationship Type="http://schemas.openxmlformats.org/officeDocument/2006/relationships/hyperlink" Target="#FixPlan!A21" TargetMode="External" Id="rId869"/><Relationship Type="http://schemas.openxmlformats.org/officeDocument/2006/relationships/hyperlink" Target="https://africanmarketingconfederation.org/download-prospectus-2024/" TargetMode="External" Id="rId870"/><Relationship Type="http://schemas.openxmlformats.org/officeDocument/2006/relationships/hyperlink" Target="#FixPlan!A22" TargetMode="External" Id="rId871"/><Relationship Type="http://schemas.openxmlformats.org/officeDocument/2006/relationships/hyperlink" Target="https://africanmarketingconfederation.org/download-prospectus-2024/" TargetMode="External" Id="rId872"/><Relationship Type="http://schemas.openxmlformats.org/officeDocument/2006/relationships/hyperlink" Target="#FixPlan!A23" TargetMode="External" Id="rId873"/><Relationship Type="http://schemas.openxmlformats.org/officeDocument/2006/relationships/hyperlink" Target="https://africanmarketingconfederation.org/download-prospectus-2024/" TargetMode="External" Id="rId874"/><Relationship Type="http://schemas.openxmlformats.org/officeDocument/2006/relationships/hyperlink" Target="#FixPlan!A24" TargetMode="External" Id="rId875"/><Relationship Type="http://schemas.openxmlformats.org/officeDocument/2006/relationships/hyperlink" Target="https://africanmarketingconfederation.org/download-prospectus-2024/" TargetMode="External" Id="rId876"/><Relationship Type="http://schemas.openxmlformats.org/officeDocument/2006/relationships/hyperlink" Target="#FixPlan!A25" TargetMode="External" Id="rId877"/><Relationship Type="http://schemas.openxmlformats.org/officeDocument/2006/relationships/hyperlink" Target="https://africanmarketingconfederation.org/download-prospectus-2024/" TargetMode="External" Id="rId878"/><Relationship Type="http://schemas.openxmlformats.org/officeDocument/2006/relationships/hyperlink" Target="#FixPlan!A26" TargetMode="External" Id="rId879"/><Relationship Type="http://schemas.openxmlformats.org/officeDocument/2006/relationships/hyperlink" Target="https://africanmarketingconfederation.org/thank-you-for-registering-2024-registrations-kenya/" TargetMode="External" Id="rId880"/><Relationship Type="http://schemas.openxmlformats.org/officeDocument/2006/relationships/hyperlink" Target="#FixPlan!A17" TargetMode="External" Id="rId881"/><Relationship Type="http://schemas.openxmlformats.org/officeDocument/2006/relationships/hyperlink" Target="https://africanmarketingconfederation.org/thank-you-for-registering-2024-registrations-kenya/" TargetMode="External" Id="rId882"/><Relationship Type="http://schemas.openxmlformats.org/officeDocument/2006/relationships/hyperlink" Target="#FixPlan!A16" TargetMode="External" Id="rId883"/><Relationship Type="http://schemas.openxmlformats.org/officeDocument/2006/relationships/hyperlink" Target="https://africanmarketingconfederation.org/thank-you-for-registering-2024-registrations-kenya/" TargetMode="External" Id="rId884"/><Relationship Type="http://schemas.openxmlformats.org/officeDocument/2006/relationships/hyperlink" Target="#FixPlan!A12" TargetMode="External" Id="rId885"/><Relationship Type="http://schemas.openxmlformats.org/officeDocument/2006/relationships/hyperlink" Target="https://africanmarketingconfederation.org/thank-you-for-registering-2024-registrations-kenya/" TargetMode="External" Id="rId886"/><Relationship Type="http://schemas.openxmlformats.org/officeDocument/2006/relationships/hyperlink" Target="#FixPlan!A20" TargetMode="External" Id="rId887"/><Relationship Type="http://schemas.openxmlformats.org/officeDocument/2006/relationships/hyperlink" Target="https://africanmarketingconfederation.org/thank-you-for-registering-2024-registrations-kenya/" TargetMode="External" Id="rId888"/><Relationship Type="http://schemas.openxmlformats.org/officeDocument/2006/relationships/hyperlink" Target="#FixPlan!A21" TargetMode="External" Id="rId889"/><Relationship Type="http://schemas.openxmlformats.org/officeDocument/2006/relationships/hyperlink" Target="https://africanmarketingconfederation.org/thank-you-for-registering-2024-registrations-kenya/" TargetMode="External" Id="rId890"/><Relationship Type="http://schemas.openxmlformats.org/officeDocument/2006/relationships/hyperlink" Target="#FixPlan!A22" TargetMode="External" Id="rId891"/><Relationship Type="http://schemas.openxmlformats.org/officeDocument/2006/relationships/hyperlink" Target="https://africanmarketingconfederation.org/thank-you-for-registering-2024-registrations-kenya/" TargetMode="External" Id="rId892"/><Relationship Type="http://schemas.openxmlformats.org/officeDocument/2006/relationships/hyperlink" Target="#FixPlan!A23" TargetMode="External" Id="rId893"/><Relationship Type="http://schemas.openxmlformats.org/officeDocument/2006/relationships/hyperlink" Target="https://africanmarketingconfederation.org/thank-you-for-registering-2024-registrations-kenya/" TargetMode="External" Id="rId894"/><Relationship Type="http://schemas.openxmlformats.org/officeDocument/2006/relationships/hyperlink" Target="#FixPlan!A24" TargetMode="External" Id="rId895"/><Relationship Type="http://schemas.openxmlformats.org/officeDocument/2006/relationships/hyperlink" Target="https://africanmarketingconfederation.org/thank-you-for-registering-2024-registrations-kenya/" TargetMode="External" Id="rId896"/><Relationship Type="http://schemas.openxmlformats.org/officeDocument/2006/relationships/hyperlink" Target="#FixPlan!A25" TargetMode="External" Id="rId897"/><Relationship Type="http://schemas.openxmlformats.org/officeDocument/2006/relationships/hyperlink" Target="https://africanmarketingconfederation.org/thank-you-for-registering-2024-registrations-kenya/" TargetMode="External" Id="rId898"/><Relationship Type="http://schemas.openxmlformats.org/officeDocument/2006/relationships/hyperlink" Target="#FixPlan!A26" TargetMode="External" Id="rId899"/><Relationship Type="http://schemas.openxmlformats.org/officeDocument/2006/relationships/hyperlink" Target="https://africanmarketingconfederation.org/subscribe/" TargetMode="External" Id="rId900"/><Relationship Type="http://schemas.openxmlformats.org/officeDocument/2006/relationships/hyperlink" Target="#FixPlan!A17" TargetMode="External" Id="rId901"/><Relationship Type="http://schemas.openxmlformats.org/officeDocument/2006/relationships/hyperlink" Target="https://africanmarketingconfederation.org/subscribe/" TargetMode="External" Id="rId902"/><Relationship Type="http://schemas.openxmlformats.org/officeDocument/2006/relationships/hyperlink" Target="#FixPlan!A12" TargetMode="External" Id="rId903"/><Relationship Type="http://schemas.openxmlformats.org/officeDocument/2006/relationships/hyperlink" Target="https://africanmarketingconfederation.org/subscribe/" TargetMode="External" Id="rId904"/><Relationship Type="http://schemas.openxmlformats.org/officeDocument/2006/relationships/hyperlink" Target="#FixPlan!A20" TargetMode="External" Id="rId905"/><Relationship Type="http://schemas.openxmlformats.org/officeDocument/2006/relationships/hyperlink" Target="https://africanmarketingconfederation.org/subscribe/" TargetMode="External" Id="rId906"/><Relationship Type="http://schemas.openxmlformats.org/officeDocument/2006/relationships/hyperlink" Target="#FixPlan!A21" TargetMode="External" Id="rId907"/><Relationship Type="http://schemas.openxmlformats.org/officeDocument/2006/relationships/hyperlink" Target="https://africanmarketingconfederation.org/subscribe/" TargetMode="External" Id="rId908"/><Relationship Type="http://schemas.openxmlformats.org/officeDocument/2006/relationships/hyperlink" Target="#FixPlan!A22" TargetMode="External" Id="rId909"/><Relationship Type="http://schemas.openxmlformats.org/officeDocument/2006/relationships/hyperlink" Target="https://africanmarketingconfederation.org/subscribe/" TargetMode="External" Id="rId910"/><Relationship Type="http://schemas.openxmlformats.org/officeDocument/2006/relationships/hyperlink" Target="#FixPlan!A23" TargetMode="External" Id="rId911"/><Relationship Type="http://schemas.openxmlformats.org/officeDocument/2006/relationships/hyperlink" Target="https://africanmarketingconfederation.org/subscribe/" TargetMode="External" Id="rId912"/><Relationship Type="http://schemas.openxmlformats.org/officeDocument/2006/relationships/hyperlink" Target="#FixPlan!A24" TargetMode="External" Id="rId913"/><Relationship Type="http://schemas.openxmlformats.org/officeDocument/2006/relationships/hyperlink" Target="https://africanmarketingconfederation.org/subscribe/" TargetMode="External" Id="rId914"/><Relationship Type="http://schemas.openxmlformats.org/officeDocument/2006/relationships/hyperlink" Target="#FixPlan!A25" TargetMode="External" Id="rId915"/><Relationship Type="http://schemas.openxmlformats.org/officeDocument/2006/relationships/hyperlink" Target="https://africanmarketingconfederation.org/subscribe/" TargetMode="External" Id="rId916"/><Relationship Type="http://schemas.openxmlformats.org/officeDocument/2006/relationships/hyperlink" Target="#FixPlan!A26" TargetMode="External" Id="rId917"/><Relationship Type="http://schemas.openxmlformats.org/officeDocument/2006/relationships/hyperlink" Target="https://africanmarketingconfederation.org/amc-marketing-conference-2024/speakers-2024/" TargetMode="External" Id="rId918"/><Relationship Type="http://schemas.openxmlformats.org/officeDocument/2006/relationships/hyperlink" Target="#FixPlan!A6" TargetMode="External" Id="rId919"/><Relationship Type="http://schemas.openxmlformats.org/officeDocument/2006/relationships/hyperlink" Target="https://africanmarketingconfederation.org/amc-marketing-conference-2024/speakers-2024/" TargetMode="External" Id="rId920"/><Relationship Type="http://schemas.openxmlformats.org/officeDocument/2006/relationships/hyperlink" Target="#FixPlan!A15" TargetMode="External" Id="rId921"/><Relationship Type="http://schemas.openxmlformats.org/officeDocument/2006/relationships/hyperlink" Target="https://africanmarketingconfederation.org/amc-marketing-conference-2024/speakers-2024/" TargetMode="External" Id="rId922"/><Relationship Type="http://schemas.openxmlformats.org/officeDocument/2006/relationships/hyperlink" Target="#FixPlan!A14" TargetMode="External" Id="rId923"/><Relationship Type="http://schemas.openxmlformats.org/officeDocument/2006/relationships/hyperlink" Target="https://africanmarketingconfederation.org/amc-marketing-conference-2024/speakers-2024/" TargetMode="External" Id="rId924"/><Relationship Type="http://schemas.openxmlformats.org/officeDocument/2006/relationships/hyperlink" Target="#FixPlan!A12" TargetMode="External" Id="rId925"/><Relationship Type="http://schemas.openxmlformats.org/officeDocument/2006/relationships/hyperlink" Target="https://africanmarketingconfederation.org/amc-marketing-conference-2024/speakers-2024/" TargetMode="External" Id="rId926"/><Relationship Type="http://schemas.openxmlformats.org/officeDocument/2006/relationships/hyperlink" Target="#FixPlan!A20" TargetMode="External" Id="rId927"/><Relationship Type="http://schemas.openxmlformats.org/officeDocument/2006/relationships/hyperlink" Target="https://africanmarketingconfederation.org/amc-marketing-conference-2024/speakers-2024/" TargetMode="External" Id="rId928"/><Relationship Type="http://schemas.openxmlformats.org/officeDocument/2006/relationships/hyperlink" Target="#FixPlan!A21" TargetMode="External" Id="rId929"/><Relationship Type="http://schemas.openxmlformats.org/officeDocument/2006/relationships/hyperlink" Target="https://africanmarketingconfederation.org/amc-marketing-conference-2024/speakers-2024/" TargetMode="External" Id="rId930"/><Relationship Type="http://schemas.openxmlformats.org/officeDocument/2006/relationships/hyperlink" Target="#FixPlan!A22" TargetMode="External" Id="rId931"/><Relationship Type="http://schemas.openxmlformats.org/officeDocument/2006/relationships/hyperlink" Target="https://africanmarketingconfederation.org/amc-marketing-conference-2024/speakers-2024/" TargetMode="External" Id="rId932"/><Relationship Type="http://schemas.openxmlformats.org/officeDocument/2006/relationships/hyperlink" Target="#FixPlan!A23" TargetMode="External" Id="rId933"/><Relationship Type="http://schemas.openxmlformats.org/officeDocument/2006/relationships/hyperlink" Target="https://africanmarketingconfederation.org/amc-marketing-conference-2024/speakers-2024/" TargetMode="External" Id="rId934"/><Relationship Type="http://schemas.openxmlformats.org/officeDocument/2006/relationships/hyperlink" Target="#FixPlan!A24" TargetMode="External" Id="rId935"/><Relationship Type="http://schemas.openxmlformats.org/officeDocument/2006/relationships/hyperlink" Target="https://africanmarketingconfederation.org/amc-marketing-conference-2024/speakers-2024/" TargetMode="External" Id="rId936"/><Relationship Type="http://schemas.openxmlformats.org/officeDocument/2006/relationships/hyperlink" Target="#FixPlan!A25" TargetMode="External" Id="rId937"/><Relationship Type="http://schemas.openxmlformats.org/officeDocument/2006/relationships/hyperlink" Target="https://africanmarketingconfederation.org/amc-marketing-conference-2024/speakers-2024/" TargetMode="External" Id="rId938"/><Relationship Type="http://schemas.openxmlformats.org/officeDocument/2006/relationships/hyperlink" Target="#FixPlan!A26" TargetMode="External" Id="rId939"/><Relationship Type="http://schemas.openxmlformats.org/officeDocument/2006/relationships/hyperlink" Target="https://africanmarketingconfederation.org/amc-conference-sponsors/" TargetMode="External" Id="rId940"/><Relationship Type="http://schemas.openxmlformats.org/officeDocument/2006/relationships/hyperlink" Target="#FixPlan!A6" TargetMode="External" Id="rId941"/><Relationship Type="http://schemas.openxmlformats.org/officeDocument/2006/relationships/hyperlink" Target="https://africanmarketingconfederation.org/amc-conference-sponsors/" TargetMode="External" Id="rId942"/><Relationship Type="http://schemas.openxmlformats.org/officeDocument/2006/relationships/hyperlink" Target="#FixPlan!A15" TargetMode="External" Id="rId943"/><Relationship Type="http://schemas.openxmlformats.org/officeDocument/2006/relationships/hyperlink" Target="https://africanmarketingconfederation.org/amc-conference-sponsors/" TargetMode="External" Id="rId944"/><Relationship Type="http://schemas.openxmlformats.org/officeDocument/2006/relationships/hyperlink" Target="#FixPlan!A14" TargetMode="External" Id="rId945"/><Relationship Type="http://schemas.openxmlformats.org/officeDocument/2006/relationships/hyperlink" Target="https://africanmarketingconfederation.org/amc-conference-sponsors/" TargetMode="External" Id="rId946"/><Relationship Type="http://schemas.openxmlformats.org/officeDocument/2006/relationships/hyperlink" Target="#FixPlan!A12" TargetMode="External" Id="rId947"/><Relationship Type="http://schemas.openxmlformats.org/officeDocument/2006/relationships/hyperlink" Target="https://africanmarketingconfederation.org/amc-conference-sponsors/" TargetMode="External" Id="rId948"/><Relationship Type="http://schemas.openxmlformats.org/officeDocument/2006/relationships/hyperlink" Target="#FixPlan!A20" TargetMode="External" Id="rId949"/><Relationship Type="http://schemas.openxmlformats.org/officeDocument/2006/relationships/hyperlink" Target="https://africanmarketingconfederation.org/amc-conference-sponsors/" TargetMode="External" Id="rId950"/><Relationship Type="http://schemas.openxmlformats.org/officeDocument/2006/relationships/hyperlink" Target="#FixPlan!A21" TargetMode="External" Id="rId951"/><Relationship Type="http://schemas.openxmlformats.org/officeDocument/2006/relationships/hyperlink" Target="https://africanmarketingconfederation.org/amc-conference-sponsors/" TargetMode="External" Id="rId952"/><Relationship Type="http://schemas.openxmlformats.org/officeDocument/2006/relationships/hyperlink" Target="#FixPlan!A22" TargetMode="External" Id="rId953"/><Relationship Type="http://schemas.openxmlformats.org/officeDocument/2006/relationships/hyperlink" Target="https://africanmarketingconfederation.org/amc-conference-sponsors/" TargetMode="External" Id="rId954"/><Relationship Type="http://schemas.openxmlformats.org/officeDocument/2006/relationships/hyperlink" Target="#FixPlan!A23" TargetMode="External" Id="rId955"/><Relationship Type="http://schemas.openxmlformats.org/officeDocument/2006/relationships/hyperlink" Target="https://africanmarketingconfederation.org/amc-conference-sponsors/" TargetMode="External" Id="rId956"/><Relationship Type="http://schemas.openxmlformats.org/officeDocument/2006/relationships/hyperlink" Target="#FixPlan!A24" TargetMode="External" Id="rId957"/><Relationship Type="http://schemas.openxmlformats.org/officeDocument/2006/relationships/hyperlink" Target="https://africanmarketingconfederation.org/amc-conference-sponsors/" TargetMode="External" Id="rId958"/><Relationship Type="http://schemas.openxmlformats.org/officeDocument/2006/relationships/hyperlink" Target="#FixPlan!A25" TargetMode="External" Id="rId959"/><Relationship Type="http://schemas.openxmlformats.org/officeDocument/2006/relationships/hyperlink" Target="https://africanmarketingconfederation.org/amc-conference-sponsors/" TargetMode="External" Id="rId960"/><Relationship Type="http://schemas.openxmlformats.org/officeDocument/2006/relationships/hyperlink" Target="#FixPlan!A26" TargetMode="External" Id="rId961"/><Relationship Type="http://schemas.openxmlformats.org/officeDocument/2006/relationships/hyperlink" Target="https://africanmarketingconfederation.org/elementor-20341/" TargetMode="External" Id="rId962"/><Relationship Type="http://schemas.openxmlformats.org/officeDocument/2006/relationships/hyperlink" Target="#FixPlan!A14" TargetMode="External" Id="rId963"/><Relationship Type="http://schemas.openxmlformats.org/officeDocument/2006/relationships/hyperlink" Target="https://africanmarketingconfederation.org/elementor-20341/" TargetMode="External" Id="rId964"/><Relationship Type="http://schemas.openxmlformats.org/officeDocument/2006/relationships/hyperlink" Target="#FixPlan!A17" TargetMode="External" Id="rId965"/><Relationship Type="http://schemas.openxmlformats.org/officeDocument/2006/relationships/hyperlink" Target="https://africanmarketingconfederation.org/elementor-20341/" TargetMode="External" Id="rId966"/><Relationship Type="http://schemas.openxmlformats.org/officeDocument/2006/relationships/hyperlink" Target="#FixPlan!A16" TargetMode="External" Id="rId967"/><Relationship Type="http://schemas.openxmlformats.org/officeDocument/2006/relationships/hyperlink" Target="https://africanmarketingconfederation.org/elementor-20341/" TargetMode="External" Id="rId968"/><Relationship Type="http://schemas.openxmlformats.org/officeDocument/2006/relationships/hyperlink" Target="#FixPlan!A12" TargetMode="External" Id="rId969"/><Relationship Type="http://schemas.openxmlformats.org/officeDocument/2006/relationships/hyperlink" Target="https://africanmarketingconfederation.org/elementor-20341/" TargetMode="External" Id="rId970"/><Relationship Type="http://schemas.openxmlformats.org/officeDocument/2006/relationships/hyperlink" Target="#FixPlan!A20" TargetMode="External" Id="rId971"/><Relationship Type="http://schemas.openxmlformats.org/officeDocument/2006/relationships/hyperlink" Target="https://africanmarketingconfederation.org/elementor-20341/" TargetMode="External" Id="rId972"/><Relationship Type="http://schemas.openxmlformats.org/officeDocument/2006/relationships/hyperlink" Target="#FixPlan!A21" TargetMode="External" Id="rId973"/><Relationship Type="http://schemas.openxmlformats.org/officeDocument/2006/relationships/hyperlink" Target="https://africanmarketingconfederation.org/elementor-20341/" TargetMode="External" Id="rId974"/><Relationship Type="http://schemas.openxmlformats.org/officeDocument/2006/relationships/hyperlink" Target="#FixPlan!A22" TargetMode="External" Id="rId975"/><Relationship Type="http://schemas.openxmlformats.org/officeDocument/2006/relationships/hyperlink" Target="https://africanmarketingconfederation.org/elementor-20341/" TargetMode="External" Id="rId976"/><Relationship Type="http://schemas.openxmlformats.org/officeDocument/2006/relationships/hyperlink" Target="#FixPlan!A23" TargetMode="External" Id="rId977"/><Relationship Type="http://schemas.openxmlformats.org/officeDocument/2006/relationships/hyperlink" Target="https://africanmarketingconfederation.org/elementor-20341/" TargetMode="External" Id="rId978"/><Relationship Type="http://schemas.openxmlformats.org/officeDocument/2006/relationships/hyperlink" Target="#FixPlan!A24" TargetMode="External" Id="rId979"/><Relationship Type="http://schemas.openxmlformats.org/officeDocument/2006/relationships/hyperlink" Target="https://africanmarketingconfederation.org/elementor-20341/" TargetMode="External" Id="rId980"/><Relationship Type="http://schemas.openxmlformats.org/officeDocument/2006/relationships/hyperlink" Target="#FixPlan!A25" TargetMode="External" Id="rId981"/><Relationship Type="http://schemas.openxmlformats.org/officeDocument/2006/relationships/hyperlink" Target="https://africanmarketingconfederation.org/elementor-20341/" TargetMode="External" Id="rId982"/><Relationship Type="http://schemas.openxmlformats.org/officeDocument/2006/relationships/hyperlink" Target="#FixPlan!A26" TargetMode="External" Id="rId983"/><Relationship Type="http://schemas.openxmlformats.org/officeDocument/2006/relationships/hyperlink" Target="https://africanmarketingconfederation.org/chartered-marketer-africa-final-submission-fee/" TargetMode="External" Id="rId984"/><Relationship Type="http://schemas.openxmlformats.org/officeDocument/2006/relationships/hyperlink" Target="#FixPlan!A16" TargetMode="External" Id="rId985"/><Relationship Type="http://schemas.openxmlformats.org/officeDocument/2006/relationships/hyperlink" Target="https://africanmarketingconfederation.org/chartered-marketer-africa-final-submission-fee/" TargetMode="External" Id="rId986"/><Relationship Type="http://schemas.openxmlformats.org/officeDocument/2006/relationships/hyperlink" Target="#FixPlan!A12" TargetMode="External" Id="rId987"/><Relationship Type="http://schemas.openxmlformats.org/officeDocument/2006/relationships/hyperlink" Target="https://africanmarketingconfederation.org/chartered-marketer-africa-final-submission-fee/" TargetMode="External" Id="rId988"/><Relationship Type="http://schemas.openxmlformats.org/officeDocument/2006/relationships/hyperlink" Target="#FixPlan!A20" TargetMode="External" Id="rId989"/><Relationship Type="http://schemas.openxmlformats.org/officeDocument/2006/relationships/hyperlink" Target="https://africanmarketingconfederation.org/chartered-marketer-africa-final-submission-fee/" TargetMode="External" Id="rId990"/><Relationship Type="http://schemas.openxmlformats.org/officeDocument/2006/relationships/hyperlink" Target="#FixPlan!A21" TargetMode="External" Id="rId991"/><Relationship Type="http://schemas.openxmlformats.org/officeDocument/2006/relationships/hyperlink" Target="https://africanmarketingconfederation.org/chartered-marketer-africa-final-submission-fee/" TargetMode="External" Id="rId992"/><Relationship Type="http://schemas.openxmlformats.org/officeDocument/2006/relationships/hyperlink" Target="#FixPlan!A22" TargetMode="External" Id="rId993"/><Relationship Type="http://schemas.openxmlformats.org/officeDocument/2006/relationships/hyperlink" Target="https://africanmarketingconfederation.org/chartered-marketer-africa-final-submission-fee/" TargetMode="External" Id="rId994"/><Relationship Type="http://schemas.openxmlformats.org/officeDocument/2006/relationships/hyperlink" Target="#FixPlan!A23" TargetMode="External" Id="rId995"/><Relationship Type="http://schemas.openxmlformats.org/officeDocument/2006/relationships/hyperlink" Target="https://africanmarketingconfederation.org/chartered-marketer-africa-final-submission-fee/" TargetMode="External" Id="rId996"/><Relationship Type="http://schemas.openxmlformats.org/officeDocument/2006/relationships/hyperlink" Target="#FixPlan!A24" TargetMode="External" Id="rId997"/><Relationship Type="http://schemas.openxmlformats.org/officeDocument/2006/relationships/hyperlink" Target="https://africanmarketingconfederation.org/chartered-marketer-africa-final-submission-fee/" TargetMode="External" Id="rId998"/><Relationship Type="http://schemas.openxmlformats.org/officeDocument/2006/relationships/hyperlink" Target="#FixPlan!A25" TargetMode="External" Id="rId999"/><Relationship Type="http://schemas.openxmlformats.org/officeDocument/2006/relationships/hyperlink" Target="https://africanmarketingconfederation.org/chartered-marketer-africa-final-submission-fee/" TargetMode="External" Id="rId1000"/><Relationship Type="http://schemas.openxmlformats.org/officeDocument/2006/relationships/hyperlink" Target="#FixPlan!A26" TargetMode="External" Id="rId1001"/><Relationship Type="http://schemas.openxmlformats.org/officeDocument/2006/relationships/hyperlink" Target="https://africanmarketingconfederation.org/chartered-marketer-africa-programme-fee/" TargetMode="External" Id="rId1002"/><Relationship Type="http://schemas.openxmlformats.org/officeDocument/2006/relationships/hyperlink" Target="#FixPlan!A16" TargetMode="External" Id="rId1003"/><Relationship Type="http://schemas.openxmlformats.org/officeDocument/2006/relationships/hyperlink" Target="https://africanmarketingconfederation.org/chartered-marketer-africa-programme-fee/" TargetMode="External" Id="rId1004"/><Relationship Type="http://schemas.openxmlformats.org/officeDocument/2006/relationships/hyperlink" Target="#FixPlan!A12" TargetMode="External" Id="rId1005"/><Relationship Type="http://schemas.openxmlformats.org/officeDocument/2006/relationships/hyperlink" Target="https://africanmarketingconfederation.org/chartered-marketer-africa-programme-fee/" TargetMode="External" Id="rId1006"/><Relationship Type="http://schemas.openxmlformats.org/officeDocument/2006/relationships/hyperlink" Target="#FixPlan!A20" TargetMode="External" Id="rId1007"/><Relationship Type="http://schemas.openxmlformats.org/officeDocument/2006/relationships/hyperlink" Target="https://africanmarketingconfederation.org/chartered-marketer-africa-programme-fee/" TargetMode="External" Id="rId1008"/><Relationship Type="http://schemas.openxmlformats.org/officeDocument/2006/relationships/hyperlink" Target="#FixPlan!A21" TargetMode="External" Id="rId1009"/><Relationship Type="http://schemas.openxmlformats.org/officeDocument/2006/relationships/hyperlink" Target="https://africanmarketingconfederation.org/chartered-marketer-africa-programme-fee/" TargetMode="External" Id="rId1010"/><Relationship Type="http://schemas.openxmlformats.org/officeDocument/2006/relationships/hyperlink" Target="#FixPlan!A22" TargetMode="External" Id="rId1011"/><Relationship Type="http://schemas.openxmlformats.org/officeDocument/2006/relationships/hyperlink" Target="https://africanmarketingconfederation.org/chartered-marketer-africa-programme-fee/" TargetMode="External" Id="rId1012"/><Relationship Type="http://schemas.openxmlformats.org/officeDocument/2006/relationships/hyperlink" Target="#FixPlan!A23" TargetMode="External" Id="rId1013"/><Relationship Type="http://schemas.openxmlformats.org/officeDocument/2006/relationships/hyperlink" Target="https://africanmarketingconfederation.org/chartered-marketer-africa-programme-fee/" TargetMode="External" Id="rId1014"/><Relationship Type="http://schemas.openxmlformats.org/officeDocument/2006/relationships/hyperlink" Target="#FixPlan!A24" TargetMode="External" Id="rId1015"/><Relationship Type="http://schemas.openxmlformats.org/officeDocument/2006/relationships/hyperlink" Target="https://africanmarketingconfederation.org/chartered-marketer-africa-programme-fee/" TargetMode="External" Id="rId1016"/><Relationship Type="http://schemas.openxmlformats.org/officeDocument/2006/relationships/hyperlink" Target="#FixPlan!A25" TargetMode="External" Id="rId1017"/><Relationship Type="http://schemas.openxmlformats.org/officeDocument/2006/relationships/hyperlink" Target="https://africanmarketingconfederation.org/chartered-marketer-africa-programme-fee/" TargetMode="External" Id="rId1018"/><Relationship Type="http://schemas.openxmlformats.org/officeDocument/2006/relationships/hyperlink" Target="#FixPlan!A26" TargetMode="External" Id="rId1019"/><Relationship Type="http://schemas.openxmlformats.org/officeDocument/2006/relationships/hyperlink" Target="https://africanmarketingconfederation.org/download-brochure/" TargetMode="External" Id="rId1020"/><Relationship Type="http://schemas.openxmlformats.org/officeDocument/2006/relationships/hyperlink" Target="#FixPlan!A17" TargetMode="External" Id="rId1021"/><Relationship Type="http://schemas.openxmlformats.org/officeDocument/2006/relationships/hyperlink" Target="https://africanmarketingconfederation.org/download-brochure/" TargetMode="External" Id="rId1022"/><Relationship Type="http://schemas.openxmlformats.org/officeDocument/2006/relationships/hyperlink" Target="#FixPlan!A16" TargetMode="External" Id="rId1023"/><Relationship Type="http://schemas.openxmlformats.org/officeDocument/2006/relationships/hyperlink" Target="https://africanmarketingconfederation.org/download-brochure/" TargetMode="External" Id="rId1024"/><Relationship Type="http://schemas.openxmlformats.org/officeDocument/2006/relationships/hyperlink" Target="#FixPlan!A12" TargetMode="External" Id="rId1025"/><Relationship Type="http://schemas.openxmlformats.org/officeDocument/2006/relationships/hyperlink" Target="https://africanmarketingconfederation.org/download-brochure/" TargetMode="External" Id="rId1026"/><Relationship Type="http://schemas.openxmlformats.org/officeDocument/2006/relationships/hyperlink" Target="#FixPlan!A20" TargetMode="External" Id="rId1027"/><Relationship Type="http://schemas.openxmlformats.org/officeDocument/2006/relationships/hyperlink" Target="https://africanmarketingconfederation.org/download-brochure/" TargetMode="External" Id="rId1028"/><Relationship Type="http://schemas.openxmlformats.org/officeDocument/2006/relationships/hyperlink" Target="#FixPlan!A21" TargetMode="External" Id="rId1029"/><Relationship Type="http://schemas.openxmlformats.org/officeDocument/2006/relationships/hyperlink" Target="https://africanmarketingconfederation.org/download-brochure/" TargetMode="External" Id="rId1030"/><Relationship Type="http://schemas.openxmlformats.org/officeDocument/2006/relationships/hyperlink" Target="#FixPlan!A22" TargetMode="External" Id="rId1031"/><Relationship Type="http://schemas.openxmlformats.org/officeDocument/2006/relationships/hyperlink" Target="https://africanmarketingconfederation.org/download-brochure/" TargetMode="External" Id="rId1032"/><Relationship Type="http://schemas.openxmlformats.org/officeDocument/2006/relationships/hyperlink" Target="#FixPlan!A23" TargetMode="External" Id="rId1033"/><Relationship Type="http://schemas.openxmlformats.org/officeDocument/2006/relationships/hyperlink" Target="https://africanmarketingconfederation.org/download-brochure/" TargetMode="External" Id="rId1034"/><Relationship Type="http://schemas.openxmlformats.org/officeDocument/2006/relationships/hyperlink" Target="#FixPlan!A24" TargetMode="External" Id="rId1035"/><Relationship Type="http://schemas.openxmlformats.org/officeDocument/2006/relationships/hyperlink" Target="https://africanmarketingconfederation.org/download-brochure/" TargetMode="External" Id="rId1036"/><Relationship Type="http://schemas.openxmlformats.org/officeDocument/2006/relationships/hyperlink" Target="#FixPlan!A25" TargetMode="External" Id="rId1037"/><Relationship Type="http://schemas.openxmlformats.org/officeDocument/2006/relationships/hyperlink" Target="https://africanmarketingconfederation.org/download-brochure/" TargetMode="External" Id="rId1038"/><Relationship Type="http://schemas.openxmlformats.org/officeDocument/2006/relationships/hyperlink" Target="#FixPlan!A26" TargetMode="External" Id="rId1039"/><Relationship Type="http://schemas.openxmlformats.org/officeDocument/2006/relationships/hyperlink" Target="https://africanmarketingconfederation.org/thank-you-for-the-nomination-2024/" TargetMode="External" Id="rId1040"/><Relationship Type="http://schemas.openxmlformats.org/officeDocument/2006/relationships/hyperlink" Target="#FixPlan!A17" TargetMode="External" Id="rId1041"/><Relationship Type="http://schemas.openxmlformats.org/officeDocument/2006/relationships/hyperlink" Target="https://africanmarketingconfederation.org/thank-you-for-the-nomination-2024/" TargetMode="External" Id="rId1042"/><Relationship Type="http://schemas.openxmlformats.org/officeDocument/2006/relationships/hyperlink" Target="#FixPlan!A16" TargetMode="External" Id="rId1043"/><Relationship Type="http://schemas.openxmlformats.org/officeDocument/2006/relationships/hyperlink" Target="https://africanmarketingconfederation.org/thank-you-for-the-nomination-2024/" TargetMode="External" Id="rId1044"/><Relationship Type="http://schemas.openxmlformats.org/officeDocument/2006/relationships/hyperlink" Target="#FixPlan!A12" TargetMode="External" Id="rId1045"/><Relationship Type="http://schemas.openxmlformats.org/officeDocument/2006/relationships/hyperlink" Target="https://africanmarketingconfederation.org/thank-you-for-the-nomination-2024/" TargetMode="External" Id="rId1046"/><Relationship Type="http://schemas.openxmlformats.org/officeDocument/2006/relationships/hyperlink" Target="#FixPlan!A20" TargetMode="External" Id="rId1047"/><Relationship Type="http://schemas.openxmlformats.org/officeDocument/2006/relationships/hyperlink" Target="https://africanmarketingconfederation.org/thank-you-for-the-nomination-2024/" TargetMode="External" Id="rId1048"/><Relationship Type="http://schemas.openxmlformats.org/officeDocument/2006/relationships/hyperlink" Target="#FixPlan!A21" TargetMode="External" Id="rId1049"/><Relationship Type="http://schemas.openxmlformats.org/officeDocument/2006/relationships/hyperlink" Target="https://africanmarketingconfederation.org/thank-you-for-the-nomination-2024/" TargetMode="External" Id="rId1050"/><Relationship Type="http://schemas.openxmlformats.org/officeDocument/2006/relationships/hyperlink" Target="#FixPlan!A22" TargetMode="External" Id="rId1051"/><Relationship Type="http://schemas.openxmlformats.org/officeDocument/2006/relationships/hyperlink" Target="https://africanmarketingconfederation.org/thank-you-for-the-nomination-2024/" TargetMode="External" Id="rId1052"/><Relationship Type="http://schemas.openxmlformats.org/officeDocument/2006/relationships/hyperlink" Target="#FixPlan!A23" TargetMode="External" Id="rId1053"/><Relationship Type="http://schemas.openxmlformats.org/officeDocument/2006/relationships/hyperlink" Target="https://africanmarketingconfederation.org/thank-you-for-the-nomination-2024/" TargetMode="External" Id="rId1054"/><Relationship Type="http://schemas.openxmlformats.org/officeDocument/2006/relationships/hyperlink" Target="#FixPlan!A24" TargetMode="External" Id="rId1055"/><Relationship Type="http://schemas.openxmlformats.org/officeDocument/2006/relationships/hyperlink" Target="https://africanmarketingconfederation.org/thank-you-for-the-nomination-2024/" TargetMode="External" Id="rId1056"/><Relationship Type="http://schemas.openxmlformats.org/officeDocument/2006/relationships/hyperlink" Target="#FixPlan!A25" TargetMode="External" Id="rId1057"/><Relationship Type="http://schemas.openxmlformats.org/officeDocument/2006/relationships/hyperlink" Target="https://africanmarketingconfederation.org/thank-you-for-the-nomination-2024/" TargetMode="External" Id="rId1058"/><Relationship Type="http://schemas.openxmlformats.org/officeDocument/2006/relationships/hyperlink" Target="#FixPlan!A26" TargetMode="External" Id="rId1059"/><Relationship Type="http://schemas.openxmlformats.org/officeDocument/2006/relationships/hyperlink" Target="https://africanmarketingconfederation.org/thank-you-for-the-submission-2024/" TargetMode="External" Id="rId1060"/><Relationship Type="http://schemas.openxmlformats.org/officeDocument/2006/relationships/hyperlink" Target="#FixPlan!A17" TargetMode="External" Id="rId1061"/><Relationship Type="http://schemas.openxmlformats.org/officeDocument/2006/relationships/hyperlink" Target="https://africanmarketingconfederation.org/thank-you-for-the-submission-2024/" TargetMode="External" Id="rId1062"/><Relationship Type="http://schemas.openxmlformats.org/officeDocument/2006/relationships/hyperlink" Target="#FixPlan!A16" TargetMode="External" Id="rId1063"/><Relationship Type="http://schemas.openxmlformats.org/officeDocument/2006/relationships/hyperlink" Target="https://africanmarketingconfederation.org/thank-you-for-the-submission-2024/" TargetMode="External" Id="rId1064"/><Relationship Type="http://schemas.openxmlformats.org/officeDocument/2006/relationships/hyperlink" Target="#FixPlan!A12" TargetMode="External" Id="rId1065"/><Relationship Type="http://schemas.openxmlformats.org/officeDocument/2006/relationships/hyperlink" Target="https://africanmarketingconfederation.org/thank-you-for-the-submission-2024/" TargetMode="External" Id="rId1066"/><Relationship Type="http://schemas.openxmlformats.org/officeDocument/2006/relationships/hyperlink" Target="#FixPlan!A20" TargetMode="External" Id="rId1067"/><Relationship Type="http://schemas.openxmlformats.org/officeDocument/2006/relationships/hyperlink" Target="https://africanmarketingconfederation.org/thank-you-for-the-submission-2024/" TargetMode="External" Id="rId1068"/><Relationship Type="http://schemas.openxmlformats.org/officeDocument/2006/relationships/hyperlink" Target="#FixPlan!A21" TargetMode="External" Id="rId1069"/><Relationship Type="http://schemas.openxmlformats.org/officeDocument/2006/relationships/hyperlink" Target="https://africanmarketingconfederation.org/thank-you-for-the-submission-2024/" TargetMode="External" Id="rId1070"/><Relationship Type="http://schemas.openxmlformats.org/officeDocument/2006/relationships/hyperlink" Target="#FixPlan!A22" TargetMode="External" Id="rId1071"/><Relationship Type="http://schemas.openxmlformats.org/officeDocument/2006/relationships/hyperlink" Target="https://africanmarketingconfederation.org/thank-you-for-the-submission-2024/" TargetMode="External" Id="rId1072"/><Relationship Type="http://schemas.openxmlformats.org/officeDocument/2006/relationships/hyperlink" Target="#FixPlan!A23" TargetMode="External" Id="rId1073"/><Relationship Type="http://schemas.openxmlformats.org/officeDocument/2006/relationships/hyperlink" Target="https://africanmarketingconfederation.org/thank-you-for-the-submission-2024/" TargetMode="External" Id="rId1074"/><Relationship Type="http://schemas.openxmlformats.org/officeDocument/2006/relationships/hyperlink" Target="#FixPlan!A24" TargetMode="External" Id="rId1075"/><Relationship Type="http://schemas.openxmlformats.org/officeDocument/2006/relationships/hyperlink" Target="https://africanmarketingconfederation.org/thank-you-for-the-submission-2024/" TargetMode="External" Id="rId1076"/><Relationship Type="http://schemas.openxmlformats.org/officeDocument/2006/relationships/hyperlink" Target="#FixPlan!A25" TargetMode="External" Id="rId1077"/><Relationship Type="http://schemas.openxmlformats.org/officeDocument/2006/relationships/hyperlink" Target="https://africanmarketingconfederation.org/thank-you-for-the-submission-2024/" TargetMode="External" Id="rId1078"/><Relationship Type="http://schemas.openxmlformats.org/officeDocument/2006/relationships/hyperlink" Target="#FixPlan!A26" TargetMode="External" Id="rId1079"/><Relationship Type="http://schemas.openxmlformats.org/officeDocument/2006/relationships/hyperlink" Target="https://africanmarketingconfederation.org/amc-conference-2024-sponsors-packages/" TargetMode="External" Id="rId1080"/><Relationship Type="http://schemas.openxmlformats.org/officeDocument/2006/relationships/hyperlink" Target="#FixPlan!A16" TargetMode="External" Id="rId1081"/><Relationship Type="http://schemas.openxmlformats.org/officeDocument/2006/relationships/hyperlink" Target="https://africanmarketingconfederation.org/amc-conference-2024-sponsors-packages/" TargetMode="External" Id="rId1082"/><Relationship Type="http://schemas.openxmlformats.org/officeDocument/2006/relationships/hyperlink" Target="#FixPlan!A12" TargetMode="External" Id="rId1083"/><Relationship Type="http://schemas.openxmlformats.org/officeDocument/2006/relationships/hyperlink" Target="https://africanmarketingconfederation.org/amc-conference-2024-sponsors-packages/" TargetMode="External" Id="rId1084"/><Relationship Type="http://schemas.openxmlformats.org/officeDocument/2006/relationships/hyperlink" Target="#FixPlan!A20" TargetMode="External" Id="rId1085"/><Relationship Type="http://schemas.openxmlformats.org/officeDocument/2006/relationships/hyperlink" Target="https://africanmarketingconfederation.org/amc-conference-2024-sponsors-packages/" TargetMode="External" Id="rId1086"/><Relationship Type="http://schemas.openxmlformats.org/officeDocument/2006/relationships/hyperlink" Target="#FixPlan!A21" TargetMode="External" Id="rId1087"/><Relationship Type="http://schemas.openxmlformats.org/officeDocument/2006/relationships/hyperlink" Target="https://africanmarketingconfederation.org/amc-conference-2024-sponsors-packages/" TargetMode="External" Id="rId1088"/><Relationship Type="http://schemas.openxmlformats.org/officeDocument/2006/relationships/hyperlink" Target="#FixPlan!A22" TargetMode="External" Id="rId1089"/><Relationship Type="http://schemas.openxmlformats.org/officeDocument/2006/relationships/hyperlink" Target="https://africanmarketingconfederation.org/amc-conference-2024-sponsors-packages/" TargetMode="External" Id="rId1090"/><Relationship Type="http://schemas.openxmlformats.org/officeDocument/2006/relationships/hyperlink" Target="#FixPlan!A23" TargetMode="External" Id="rId1091"/><Relationship Type="http://schemas.openxmlformats.org/officeDocument/2006/relationships/hyperlink" Target="https://africanmarketingconfederation.org/amc-conference-2024-sponsors-packages/" TargetMode="External" Id="rId1092"/><Relationship Type="http://schemas.openxmlformats.org/officeDocument/2006/relationships/hyperlink" Target="#FixPlan!A24" TargetMode="External" Id="rId1093"/><Relationship Type="http://schemas.openxmlformats.org/officeDocument/2006/relationships/hyperlink" Target="https://africanmarketingconfederation.org/amc-conference-2024-sponsors-packages/" TargetMode="External" Id="rId1094"/><Relationship Type="http://schemas.openxmlformats.org/officeDocument/2006/relationships/hyperlink" Target="#FixPlan!A25" TargetMode="External" Id="rId1095"/><Relationship Type="http://schemas.openxmlformats.org/officeDocument/2006/relationships/hyperlink" Target="https://africanmarketingconfederation.org/amc-conference-2024-sponsors-packages/" TargetMode="External" Id="rId1096"/><Relationship Type="http://schemas.openxmlformats.org/officeDocument/2006/relationships/hyperlink" Target="#FixPlan!A26" TargetMode="External" Id="rId1097"/><Relationship Type="http://schemas.openxmlformats.org/officeDocument/2006/relationships/hyperlink" Target="https://africanmarketingconfederation.org/elementor-16548/" TargetMode="External" Id="rId1098"/><Relationship Type="http://schemas.openxmlformats.org/officeDocument/2006/relationships/hyperlink" Target="#FixPlan!A17" TargetMode="External" Id="rId1099"/><Relationship Type="http://schemas.openxmlformats.org/officeDocument/2006/relationships/hyperlink" Target="https://africanmarketingconfederation.org/elementor-16548/" TargetMode="External" Id="rId1100"/><Relationship Type="http://schemas.openxmlformats.org/officeDocument/2006/relationships/hyperlink" Target="#FixPlan!A16" TargetMode="External" Id="rId1101"/><Relationship Type="http://schemas.openxmlformats.org/officeDocument/2006/relationships/hyperlink" Target="https://africanmarketingconfederation.org/elementor-16548/" TargetMode="External" Id="rId1102"/><Relationship Type="http://schemas.openxmlformats.org/officeDocument/2006/relationships/hyperlink" Target="#FixPlan!A12" TargetMode="External" Id="rId1103"/><Relationship Type="http://schemas.openxmlformats.org/officeDocument/2006/relationships/hyperlink" Target="https://africanmarketingconfederation.org/elementor-16548/" TargetMode="External" Id="rId1104"/><Relationship Type="http://schemas.openxmlformats.org/officeDocument/2006/relationships/hyperlink" Target="#FixPlan!A20" TargetMode="External" Id="rId1105"/><Relationship Type="http://schemas.openxmlformats.org/officeDocument/2006/relationships/hyperlink" Target="https://africanmarketingconfederation.org/elementor-16548/" TargetMode="External" Id="rId1106"/><Relationship Type="http://schemas.openxmlformats.org/officeDocument/2006/relationships/hyperlink" Target="#FixPlan!A21" TargetMode="External" Id="rId1107"/><Relationship Type="http://schemas.openxmlformats.org/officeDocument/2006/relationships/hyperlink" Target="https://africanmarketingconfederation.org/elementor-16548/" TargetMode="External" Id="rId1108"/><Relationship Type="http://schemas.openxmlformats.org/officeDocument/2006/relationships/hyperlink" Target="#FixPlan!A22" TargetMode="External" Id="rId1109"/><Relationship Type="http://schemas.openxmlformats.org/officeDocument/2006/relationships/hyperlink" Target="https://africanmarketingconfederation.org/elementor-16548/" TargetMode="External" Id="rId1110"/><Relationship Type="http://schemas.openxmlformats.org/officeDocument/2006/relationships/hyperlink" Target="#FixPlan!A23" TargetMode="External" Id="rId1111"/><Relationship Type="http://schemas.openxmlformats.org/officeDocument/2006/relationships/hyperlink" Target="https://africanmarketingconfederation.org/elementor-16548/" TargetMode="External" Id="rId1112"/><Relationship Type="http://schemas.openxmlformats.org/officeDocument/2006/relationships/hyperlink" Target="#FixPlan!A24" TargetMode="External" Id="rId1113"/><Relationship Type="http://schemas.openxmlformats.org/officeDocument/2006/relationships/hyperlink" Target="https://africanmarketingconfederation.org/elementor-16548/" TargetMode="External" Id="rId1114"/><Relationship Type="http://schemas.openxmlformats.org/officeDocument/2006/relationships/hyperlink" Target="#FixPlan!A25" TargetMode="External" Id="rId1115"/><Relationship Type="http://schemas.openxmlformats.org/officeDocument/2006/relationships/hyperlink" Target="https://africanmarketingconfederation.org/elementor-16548/" TargetMode="External" Id="rId1116"/><Relationship Type="http://schemas.openxmlformats.org/officeDocument/2006/relationships/hyperlink" Target="#FixPlan!A26" TargetMode="External" Id="rId1117"/><Relationship Type="http://schemas.openxmlformats.org/officeDocument/2006/relationships/hyperlink" Target="https://africanmarketingconfederation.org/amc-marketing-conference-2024/programme-2024/" TargetMode="External" Id="rId1118"/><Relationship Type="http://schemas.openxmlformats.org/officeDocument/2006/relationships/hyperlink" Target="#FixPlan!A12" TargetMode="External" Id="rId1119"/><Relationship Type="http://schemas.openxmlformats.org/officeDocument/2006/relationships/hyperlink" Target="https://africanmarketingconfederation.org/amc-marketing-conference-2024/programme-2024/" TargetMode="External" Id="rId1120"/><Relationship Type="http://schemas.openxmlformats.org/officeDocument/2006/relationships/hyperlink" Target="#FixPlan!A20" TargetMode="External" Id="rId1121"/><Relationship Type="http://schemas.openxmlformats.org/officeDocument/2006/relationships/hyperlink" Target="https://africanmarketingconfederation.org/amc-marketing-conference-2024/programme-2024/" TargetMode="External" Id="rId1122"/><Relationship Type="http://schemas.openxmlformats.org/officeDocument/2006/relationships/hyperlink" Target="#FixPlan!A21" TargetMode="External" Id="rId1123"/><Relationship Type="http://schemas.openxmlformats.org/officeDocument/2006/relationships/hyperlink" Target="https://africanmarketingconfederation.org/amc-marketing-conference-2024/programme-2024/" TargetMode="External" Id="rId1124"/><Relationship Type="http://schemas.openxmlformats.org/officeDocument/2006/relationships/hyperlink" Target="#FixPlan!A22" TargetMode="External" Id="rId1125"/><Relationship Type="http://schemas.openxmlformats.org/officeDocument/2006/relationships/hyperlink" Target="https://africanmarketingconfederation.org/amc-marketing-conference-2024/programme-2024/" TargetMode="External" Id="rId1126"/><Relationship Type="http://schemas.openxmlformats.org/officeDocument/2006/relationships/hyperlink" Target="#FixPlan!A23" TargetMode="External" Id="rId1127"/><Relationship Type="http://schemas.openxmlformats.org/officeDocument/2006/relationships/hyperlink" Target="https://africanmarketingconfederation.org/amc-marketing-conference-2024/programme-2024/" TargetMode="External" Id="rId1128"/><Relationship Type="http://schemas.openxmlformats.org/officeDocument/2006/relationships/hyperlink" Target="#FixPlan!A24" TargetMode="External" Id="rId1129"/><Relationship Type="http://schemas.openxmlformats.org/officeDocument/2006/relationships/hyperlink" Target="https://africanmarketingconfederation.org/amc-marketing-conference-2024/programme-2024/" TargetMode="External" Id="rId1130"/><Relationship Type="http://schemas.openxmlformats.org/officeDocument/2006/relationships/hyperlink" Target="#FixPlan!A25" TargetMode="External" Id="rId1131"/><Relationship Type="http://schemas.openxmlformats.org/officeDocument/2006/relationships/hyperlink" Target="https://africanmarketingconfederation.org/amc-marketing-conference-2024/programme-2024/" TargetMode="External" Id="rId1132"/><Relationship Type="http://schemas.openxmlformats.org/officeDocument/2006/relationships/hyperlink" Target="#FixPlan!A26" TargetMode="External" Id="rId1133"/><Relationship Type="http://schemas.openxmlformats.org/officeDocument/2006/relationships/hyperlink" Target="https://africanmarketingconfederation.org/amc-conference-2023/programme/" TargetMode="External" Id="rId1134"/><Relationship Type="http://schemas.openxmlformats.org/officeDocument/2006/relationships/hyperlink" Target="#FixPlan!A12" TargetMode="External" Id="rId1135"/><Relationship Type="http://schemas.openxmlformats.org/officeDocument/2006/relationships/hyperlink" Target="https://africanmarketingconfederation.org/amc-conference-2023/programme/" TargetMode="External" Id="rId1136"/><Relationship Type="http://schemas.openxmlformats.org/officeDocument/2006/relationships/hyperlink" Target="#FixPlan!A20" TargetMode="External" Id="rId1137"/><Relationship Type="http://schemas.openxmlformats.org/officeDocument/2006/relationships/hyperlink" Target="https://africanmarketingconfederation.org/amc-conference-2023/programme/" TargetMode="External" Id="rId1138"/><Relationship Type="http://schemas.openxmlformats.org/officeDocument/2006/relationships/hyperlink" Target="#FixPlan!A21" TargetMode="External" Id="rId1139"/><Relationship Type="http://schemas.openxmlformats.org/officeDocument/2006/relationships/hyperlink" Target="https://africanmarketingconfederation.org/amc-conference-2023/programme/" TargetMode="External" Id="rId1140"/><Relationship Type="http://schemas.openxmlformats.org/officeDocument/2006/relationships/hyperlink" Target="#FixPlan!A22" TargetMode="External" Id="rId1141"/><Relationship Type="http://schemas.openxmlformats.org/officeDocument/2006/relationships/hyperlink" Target="https://africanmarketingconfederation.org/amc-conference-2023/programme/" TargetMode="External" Id="rId1142"/><Relationship Type="http://schemas.openxmlformats.org/officeDocument/2006/relationships/hyperlink" Target="#FixPlan!A23" TargetMode="External" Id="rId1143"/><Relationship Type="http://schemas.openxmlformats.org/officeDocument/2006/relationships/hyperlink" Target="https://africanmarketingconfederation.org/amc-conference-2023/programme/" TargetMode="External" Id="rId1144"/><Relationship Type="http://schemas.openxmlformats.org/officeDocument/2006/relationships/hyperlink" Target="#FixPlan!A24" TargetMode="External" Id="rId1145"/><Relationship Type="http://schemas.openxmlformats.org/officeDocument/2006/relationships/hyperlink" Target="https://africanmarketingconfederation.org/amc-conference-2023/programme/" TargetMode="External" Id="rId1146"/><Relationship Type="http://schemas.openxmlformats.org/officeDocument/2006/relationships/hyperlink" Target="#FixPlan!A25" TargetMode="External" Id="rId1147"/><Relationship Type="http://schemas.openxmlformats.org/officeDocument/2006/relationships/hyperlink" Target="https://africanmarketingconfederation.org/amc-conference-2023/programme/" TargetMode="External" Id="rId1148"/><Relationship Type="http://schemas.openxmlformats.org/officeDocument/2006/relationships/hyperlink" Target="#FixPlan!A26" TargetMode="External" Id="rId1149"/><Relationship Type="http://schemas.openxmlformats.org/officeDocument/2006/relationships/hyperlink" Target="https://africanmarketingconfederation.org/amc-conference-2023/amc-awards/" TargetMode="External" Id="rId1150"/><Relationship Type="http://schemas.openxmlformats.org/officeDocument/2006/relationships/hyperlink" Target="#FixPlan!A12" TargetMode="External" Id="rId1151"/><Relationship Type="http://schemas.openxmlformats.org/officeDocument/2006/relationships/hyperlink" Target="https://africanmarketingconfederation.org/amc-conference-2023/amc-awards/" TargetMode="External" Id="rId1152"/><Relationship Type="http://schemas.openxmlformats.org/officeDocument/2006/relationships/hyperlink" Target="#FixPlan!A20" TargetMode="External" Id="rId1153"/><Relationship Type="http://schemas.openxmlformats.org/officeDocument/2006/relationships/hyperlink" Target="https://africanmarketingconfederation.org/amc-conference-2023/amc-awards/" TargetMode="External" Id="rId1154"/><Relationship Type="http://schemas.openxmlformats.org/officeDocument/2006/relationships/hyperlink" Target="#FixPlan!A21" TargetMode="External" Id="rId1155"/><Relationship Type="http://schemas.openxmlformats.org/officeDocument/2006/relationships/hyperlink" Target="https://africanmarketingconfederation.org/amc-conference-2023/amc-awards/" TargetMode="External" Id="rId1156"/><Relationship Type="http://schemas.openxmlformats.org/officeDocument/2006/relationships/hyperlink" Target="#FixPlan!A22" TargetMode="External" Id="rId1157"/><Relationship Type="http://schemas.openxmlformats.org/officeDocument/2006/relationships/hyperlink" Target="https://africanmarketingconfederation.org/amc-conference-2023/amc-awards/" TargetMode="External" Id="rId1158"/><Relationship Type="http://schemas.openxmlformats.org/officeDocument/2006/relationships/hyperlink" Target="#FixPlan!A23" TargetMode="External" Id="rId1159"/><Relationship Type="http://schemas.openxmlformats.org/officeDocument/2006/relationships/hyperlink" Target="https://africanmarketingconfederation.org/amc-conference-2023/amc-awards/" TargetMode="External" Id="rId1160"/><Relationship Type="http://schemas.openxmlformats.org/officeDocument/2006/relationships/hyperlink" Target="#FixPlan!A24" TargetMode="External" Id="rId1161"/><Relationship Type="http://schemas.openxmlformats.org/officeDocument/2006/relationships/hyperlink" Target="https://africanmarketingconfederation.org/amc-conference-2023/amc-awards/" TargetMode="External" Id="rId1162"/><Relationship Type="http://schemas.openxmlformats.org/officeDocument/2006/relationships/hyperlink" Target="#FixPlan!A25" TargetMode="External" Id="rId1163"/><Relationship Type="http://schemas.openxmlformats.org/officeDocument/2006/relationships/hyperlink" Target="https://africanmarketingconfederation.org/amc-conference-2023/amc-awards/" TargetMode="External" Id="rId1164"/><Relationship Type="http://schemas.openxmlformats.org/officeDocument/2006/relationships/hyperlink" Target="#FixPlan!A26" TargetMode="External" Id="rId1165"/><Relationship Type="http://schemas.openxmlformats.org/officeDocument/2006/relationships/hyperlink" Target="https://africanmarketingconfederation.org/amc-conference-2023/partners/" TargetMode="External" Id="rId1166"/><Relationship Type="http://schemas.openxmlformats.org/officeDocument/2006/relationships/hyperlink" Target="#FixPlan!A16" TargetMode="External" Id="rId1167"/><Relationship Type="http://schemas.openxmlformats.org/officeDocument/2006/relationships/hyperlink" Target="https://africanmarketingconfederation.org/amc-conference-2023/partners/" TargetMode="External" Id="rId1168"/><Relationship Type="http://schemas.openxmlformats.org/officeDocument/2006/relationships/hyperlink" Target="#FixPlan!A12" TargetMode="External" Id="rId1169"/><Relationship Type="http://schemas.openxmlformats.org/officeDocument/2006/relationships/hyperlink" Target="https://africanmarketingconfederation.org/amc-conference-2023/partners/" TargetMode="External" Id="rId1170"/><Relationship Type="http://schemas.openxmlformats.org/officeDocument/2006/relationships/hyperlink" Target="#FixPlan!A20" TargetMode="External" Id="rId1171"/><Relationship Type="http://schemas.openxmlformats.org/officeDocument/2006/relationships/hyperlink" Target="https://africanmarketingconfederation.org/amc-conference-2023/partners/" TargetMode="External" Id="rId1172"/><Relationship Type="http://schemas.openxmlformats.org/officeDocument/2006/relationships/hyperlink" Target="#FixPlan!A21" TargetMode="External" Id="rId1173"/><Relationship Type="http://schemas.openxmlformats.org/officeDocument/2006/relationships/hyperlink" Target="https://africanmarketingconfederation.org/amc-conference-2023/partners/" TargetMode="External" Id="rId1174"/><Relationship Type="http://schemas.openxmlformats.org/officeDocument/2006/relationships/hyperlink" Target="#FixPlan!A22" TargetMode="External" Id="rId1175"/><Relationship Type="http://schemas.openxmlformats.org/officeDocument/2006/relationships/hyperlink" Target="https://africanmarketingconfederation.org/amc-conference-2023/partners/" TargetMode="External" Id="rId1176"/><Relationship Type="http://schemas.openxmlformats.org/officeDocument/2006/relationships/hyperlink" Target="#FixPlan!A23" TargetMode="External" Id="rId1177"/><Relationship Type="http://schemas.openxmlformats.org/officeDocument/2006/relationships/hyperlink" Target="https://africanmarketingconfederation.org/amc-conference-2023/partners/" TargetMode="External" Id="rId1178"/><Relationship Type="http://schemas.openxmlformats.org/officeDocument/2006/relationships/hyperlink" Target="#FixPlan!A24" TargetMode="External" Id="rId1179"/><Relationship Type="http://schemas.openxmlformats.org/officeDocument/2006/relationships/hyperlink" Target="https://africanmarketingconfederation.org/amc-conference-2023/partners/" TargetMode="External" Id="rId1180"/><Relationship Type="http://schemas.openxmlformats.org/officeDocument/2006/relationships/hyperlink" Target="#FixPlan!A25" TargetMode="External" Id="rId1181"/><Relationship Type="http://schemas.openxmlformats.org/officeDocument/2006/relationships/hyperlink" Target="https://africanmarketingconfederation.org/amc-conference-2023/partners/" TargetMode="External" Id="rId1182"/><Relationship Type="http://schemas.openxmlformats.org/officeDocument/2006/relationships/hyperlink" Target="#FixPlan!A26" TargetMode="External" Id="rId1183"/><Relationship Type="http://schemas.openxmlformats.org/officeDocument/2006/relationships/hyperlink" Target="https://africanmarketingconfederation.org/amc-conference-2023/speakers/" TargetMode="External" Id="rId1184"/><Relationship Type="http://schemas.openxmlformats.org/officeDocument/2006/relationships/hyperlink" Target="#FixPlan!A12" TargetMode="External" Id="rId1185"/><Relationship Type="http://schemas.openxmlformats.org/officeDocument/2006/relationships/hyperlink" Target="https://africanmarketingconfederation.org/amc-conference-2023/speakers/" TargetMode="External" Id="rId1186"/><Relationship Type="http://schemas.openxmlformats.org/officeDocument/2006/relationships/hyperlink" Target="#FixPlan!A20" TargetMode="External" Id="rId1187"/><Relationship Type="http://schemas.openxmlformats.org/officeDocument/2006/relationships/hyperlink" Target="https://africanmarketingconfederation.org/amc-conference-2023/speakers/" TargetMode="External" Id="rId1188"/><Relationship Type="http://schemas.openxmlformats.org/officeDocument/2006/relationships/hyperlink" Target="#FixPlan!A21" TargetMode="External" Id="rId1189"/><Relationship Type="http://schemas.openxmlformats.org/officeDocument/2006/relationships/hyperlink" Target="https://africanmarketingconfederation.org/amc-conference-2023/speakers/" TargetMode="External" Id="rId1190"/><Relationship Type="http://schemas.openxmlformats.org/officeDocument/2006/relationships/hyperlink" Target="#FixPlan!A22" TargetMode="External" Id="rId1191"/><Relationship Type="http://schemas.openxmlformats.org/officeDocument/2006/relationships/hyperlink" Target="https://africanmarketingconfederation.org/amc-conference-2023/speakers/" TargetMode="External" Id="rId1192"/><Relationship Type="http://schemas.openxmlformats.org/officeDocument/2006/relationships/hyperlink" Target="#FixPlan!A23" TargetMode="External" Id="rId1193"/><Relationship Type="http://schemas.openxmlformats.org/officeDocument/2006/relationships/hyperlink" Target="https://africanmarketingconfederation.org/amc-conference-2023/speakers/" TargetMode="External" Id="rId1194"/><Relationship Type="http://schemas.openxmlformats.org/officeDocument/2006/relationships/hyperlink" Target="#FixPlan!A24" TargetMode="External" Id="rId1195"/><Relationship Type="http://schemas.openxmlformats.org/officeDocument/2006/relationships/hyperlink" Target="https://africanmarketingconfederation.org/amc-conference-2023/speakers/" TargetMode="External" Id="rId1196"/><Relationship Type="http://schemas.openxmlformats.org/officeDocument/2006/relationships/hyperlink" Target="#FixPlan!A25" TargetMode="External" Id="rId1197"/><Relationship Type="http://schemas.openxmlformats.org/officeDocument/2006/relationships/hyperlink" Target="https://africanmarketingconfederation.org/amc-conference-2023/speakers/" TargetMode="External" Id="rId1198"/><Relationship Type="http://schemas.openxmlformats.org/officeDocument/2006/relationships/hyperlink" Target="#FixPlan!A26" TargetMode="External" Id="rId1199"/><Relationship Type="http://schemas.openxmlformats.org/officeDocument/2006/relationships/hyperlink" Target="https://africanmarketingconfederation.org/chartered-marketer-africa-thank-you/" TargetMode="External" Id="rId1200"/><Relationship Type="http://schemas.openxmlformats.org/officeDocument/2006/relationships/hyperlink" Target="#FixPlan!A17" TargetMode="External" Id="rId1201"/><Relationship Type="http://schemas.openxmlformats.org/officeDocument/2006/relationships/hyperlink" Target="https://africanmarketingconfederation.org/chartered-marketer-africa-thank-you/" TargetMode="External" Id="rId1202"/><Relationship Type="http://schemas.openxmlformats.org/officeDocument/2006/relationships/hyperlink" Target="#FixPlan!A16" TargetMode="External" Id="rId1203"/><Relationship Type="http://schemas.openxmlformats.org/officeDocument/2006/relationships/hyperlink" Target="https://africanmarketingconfederation.org/chartered-marketer-africa-thank-you/" TargetMode="External" Id="rId1204"/><Relationship Type="http://schemas.openxmlformats.org/officeDocument/2006/relationships/hyperlink" Target="#FixPlan!A12" TargetMode="External" Id="rId1205"/><Relationship Type="http://schemas.openxmlformats.org/officeDocument/2006/relationships/hyperlink" Target="https://africanmarketingconfederation.org/chartered-marketer-africa-thank-you/" TargetMode="External" Id="rId1206"/><Relationship Type="http://schemas.openxmlformats.org/officeDocument/2006/relationships/hyperlink" Target="#FixPlan!A20" TargetMode="External" Id="rId1207"/><Relationship Type="http://schemas.openxmlformats.org/officeDocument/2006/relationships/hyperlink" Target="https://africanmarketingconfederation.org/chartered-marketer-africa-thank-you/" TargetMode="External" Id="rId1208"/><Relationship Type="http://schemas.openxmlformats.org/officeDocument/2006/relationships/hyperlink" Target="#FixPlan!A21" TargetMode="External" Id="rId1209"/><Relationship Type="http://schemas.openxmlformats.org/officeDocument/2006/relationships/hyperlink" Target="https://africanmarketingconfederation.org/chartered-marketer-africa-thank-you/" TargetMode="External" Id="rId1210"/><Relationship Type="http://schemas.openxmlformats.org/officeDocument/2006/relationships/hyperlink" Target="#FixPlan!A22" TargetMode="External" Id="rId1211"/><Relationship Type="http://schemas.openxmlformats.org/officeDocument/2006/relationships/hyperlink" Target="https://africanmarketingconfederation.org/chartered-marketer-africa-thank-you/" TargetMode="External" Id="rId1212"/><Relationship Type="http://schemas.openxmlformats.org/officeDocument/2006/relationships/hyperlink" Target="#FixPlan!A23" TargetMode="External" Id="rId1213"/><Relationship Type="http://schemas.openxmlformats.org/officeDocument/2006/relationships/hyperlink" Target="https://africanmarketingconfederation.org/chartered-marketer-africa-thank-you/" TargetMode="External" Id="rId1214"/><Relationship Type="http://schemas.openxmlformats.org/officeDocument/2006/relationships/hyperlink" Target="#FixPlan!A24" TargetMode="External" Id="rId1215"/><Relationship Type="http://schemas.openxmlformats.org/officeDocument/2006/relationships/hyperlink" Target="https://africanmarketingconfederation.org/chartered-marketer-africa-thank-you/" TargetMode="External" Id="rId1216"/><Relationship Type="http://schemas.openxmlformats.org/officeDocument/2006/relationships/hyperlink" Target="#FixPlan!A25" TargetMode="External" Id="rId1217"/><Relationship Type="http://schemas.openxmlformats.org/officeDocument/2006/relationships/hyperlink" Target="https://africanmarketingconfederation.org/chartered-marketer-africa-thank-you/" TargetMode="External" Id="rId1218"/><Relationship Type="http://schemas.openxmlformats.org/officeDocument/2006/relationships/hyperlink" Target="#FixPlan!A26" TargetMode="External" Id="rId1219"/><Relationship Type="http://schemas.openxmlformats.org/officeDocument/2006/relationships/hyperlink" Target="https://africanmarketingconfederation.org/amc-conference-2023/amc-awards-book-now/" TargetMode="External" Id="rId1220"/><Relationship Type="http://schemas.openxmlformats.org/officeDocument/2006/relationships/hyperlink" Target="#FixPlan!A14" TargetMode="External" Id="rId1221"/><Relationship Type="http://schemas.openxmlformats.org/officeDocument/2006/relationships/hyperlink" Target="https://africanmarketingconfederation.org/amc-conference-2023/amc-awards-book-now/" TargetMode="External" Id="rId1222"/><Relationship Type="http://schemas.openxmlformats.org/officeDocument/2006/relationships/hyperlink" Target="#FixPlan!A17" TargetMode="External" Id="rId1223"/><Relationship Type="http://schemas.openxmlformats.org/officeDocument/2006/relationships/hyperlink" Target="https://africanmarketingconfederation.org/amc-conference-2023/amc-awards-book-now/" TargetMode="External" Id="rId1224"/><Relationship Type="http://schemas.openxmlformats.org/officeDocument/2006/relationships/hyperlink" Target="#FixPlan!A16" TargetMode="External" Id="rId1225"/><Relationship Type="http://schemas.openxmlformats.org/officeDocument/2006/relationships/hyperlink" Target="https://africanmarketingconfederation.org/amc-conference-2023/amc-awards-book-now/" TargetMode="External" Id="rId1226"/><Relationship Type="http://schemas.openxmlformats.org/officeDocument/2006/relationships/hyperlink" Target="#FixPlan!A12" TargetMode="External" Id="rId1227"/><Relationship Type="http://schemas.openxmlformats.org/officeDocument/2006/relationships/hyperlink" Target="https://africanmarketingconfederation.org/amc-conference-2023/amc-awards-book-now/" TargetMode="External" Id="rId1228"/><Relationship Type="http://schemas.openxmlformats.org/officeDocument/2006/relationships/hyperlink" Target="#FixPlan!A20" TargetMode="External" Id="rId1229"/><Relationship Type="http://schemas.openxmlformats.org/officeDocument/2006/relationships/hyperlink" Target="https://africanmarketingconfederation.org/amc-conference-2023/amc-awards-book-now/" TargetMode="External" Id="rId1230"/><Relationship Type="http://schemas.openxmlformats.org/officeDocument/2006/relationships/hyperlink" Target="#FixPlan!A21" TargetMode="External" Id="rId1231"/><Relationship Type="http://schemas.openxmlformats.org/officeDocument/2006/relationships/hyperlink" Target="https://africanmarketingconfederation.org/amc-conference-2023/amc-awards-book-now/" TargetMode="External" Id="rId1232"/><Relationship Type="http://schemas.openxmlformats.org/officeDocument/2006/relationships/hyperlink" Target="#FixPlan!A22" TargetMode="External" Id="rId1233"/><Relationship Type="http://schemas.openxmlformats.org/officeDocument/2006/relationships/hyperlink" Target="https://africanmarketingconfederation.org/amc-conference-2023/amc-awards-book-now/" TargetMode="External" Id="rId1234"/><Relationship Type="http://schemas.openxmlformats.org/officeDocument/2006/relationships/hyperlink" Target="#FixPlan!A23" TargetMode="External" Id="rId1235"/><Relationship Type="http://schemas.openxmlformats.org/officeDocument/2006/relationships/hyperlink" Target="https://africanmarketingconfederation.org/amc-conference-2023/amc-awards-book-now/" TargetMode="External" Id="rId1236"/><Relationship Type="http://schemas.openxmlformats.org/officeDocument/2006/relationships/hyperlink" Target="#FixPlan!A24" TargetMode="External" Id="rId1237"/><Relationship Type="http://schemas.openxmlformats.org/officeDocument/2006/relationships/hyperlink" Target="https://africanmarketingconfederation.org/amc-conference-2023/amc-awards-book-now/" TargetMode="External" Id="rId1238"/><Relationship Type="http://schemas.openxmlformats.org/officeDocument/2006/relationships/hyperlink" Target="#FixPlan!A25" TargetMode="External" Id="rId1239"/><Relationship Type="http://schemas.openxmlformats.org/officeDocument/2006/relationships/hyperlink" Target="https://africanmarketingconfederation.org/amc-conference-2023/amc-awards-book-now/" TargetMode="External" Id="rId1240"/><Relationship Type="http://schemas.openxmlformats.org/officeDocument/2006/relationships/hyperlink" Target="#FixPlan!A26" TargetMode="External" Id="rId1241"/><Relationship Type="http://schemas.openxmlformats.org/officeDocument/2006/relationships/hyperlink" Target="https://africanmarketingconfederation.org/amc-conference-2023/book-now/" TargetMode="External" Id="rId1242"/><Relationship Type="http://schemas.openxmlformats.org/officeDocument/2006/relationships/hyperlink" Target="#FixPlan!A16" TargetMode="External" Id="rId1243"/><Relationship Type="http://schemas.openxmlformats.org/officeDocument/2006/relationships/hyperlink" Target="https://africanmarketingconfederation.org/amc-conference-2023/book-now/" TargetMode="External" Id="rId1244"/><Relationship Type="http://schemas.openxmlformats.org/officeDocument/2006/relationships/hyperlink" Target="#FixPlan!A12" TargetMode="External" Id="rId1245"/><Relationship Type="http://schemas.openxmlformats.org/officeDocument/2006/relationships/hyperlink" Target="https://africanmarketingconfederation.org/amc-conference-2023/book-now/" TargetMode="External" Id="rId1246"/><Relationship Type="http://schemas.openxmlformats.org/officeDocument/2006/relationships/hyperlink" Target="#FixPlan!A20" TargetMode="External" Id="rId1247"/><Relationship Type="http://schemas.openxmlformats.org/officeDocument/2006/relationships/hyperlink" Target="https://africanmarketingconfederation.org/amc-conference-2023/book-now/" TargetMode="External" Id="rId1248"/><Relationship Type="http://schemas.openxmlformats.org/officeDocument/2006/relationships/hyperlink" Target="#FixPlan!A21" TargetMode="External" Id="rId1249"/><Relationship Type="http://schemas.openxmlformats.org/officeDocument/2006/relationships/hyperlink" Target="https://africanmarketingconfederation.org/amc-conference-2023/book-now/" TargetMode="External" Id="rId1250"/><Relationship Type="http://schemas.openxmlformats.org/officeDocument/2006/relationships/hyperlink" Target="#FixPlan!A22" TargetMode="External" Id="rId1251"/><Relationship Type="http://schemas.openxmlformats.org/officeDocument/2006/relationships/hyperlink" Target="https://africanmarketingconfederation.org/amc-conference-2023/book-now/" TargetMode="External" Id="rId1252"/><Relationship Type="http://schemas.openxmlformats.org/officeDocument/2006/relationships/hyperlink" Target="#FixPlan!A23" TargetMode="External" Id="rId1253"/><Relationship Type="http://schemas.openxmlformats.org/officeDocument/2006/relationships/hyperlink" Target="https://africanmarketingconfederation.org/amc-conference-2023/book-now/" TargetMode="External" Id="rId1254"/><Relationship Type="http://schemas.openxmlformats.org/officeDocument/2006/relationships/hyperlink" Target="#FixPlan!A24" TargetMode="External" Id="rId1255"/><Relationship Type="http://schemas.openxmlformats.org/officeDocument/2006/relationships/hyperlink" Target="https://africanmarketingconfederation.org/amc-conference-2023/book-now/" TargetMode="External" Id="rId1256"/><Relationship Type="http://schemas.openxmlformats.org/officeDocument/2006/relationships/hyperlink" Target="#FixPlan!A25" TargetMode="External" Id="rId1257"/><Relationship Type="http://schemas.openxmlformats.org/officeDocument/2006/relationships/hyperlink" Target="https://africanmarketingconfederation.org/amc-conference-2023/book-now/" TargetMode="External" Id="rId1258"/><Relationship Type="http://schemas.openxmlformats.org/officeDocument/2006/relationships/hyperlink" Target="#FixPlan!A26" TargetMode="External" Id="rId1259"/><Relationship Type="http://schemas.openxmlformats.org/officeDocument/2006/relationships/hyperlink" Target="https://africanmarketingconfederation.org/amc-conference-2023/download-prospectus/" TargetMode="External" Id="rId1260"/><Relationship Type="http://schemas.openxmlformats.org/officeDocument/2006/relationships/hyperlink" Target="#FixPlan!A16" TargetMode="External" Id="rId1261"/><Relationship Type="http://schemas.openxmlformats.org/officeDocument/2006/relationships/hyperlink" Target="https://africanmarketingconfederation.org/amc-conference-2023/download-prospectus/" TargetMode="External" Id="rId1262"/><Relationship Type="http://schemas.openxmlformats.org/officeDocument/2006/relationships/hyperlink" Target="#FixPlan!A12" TargetMode="External" Id="rId1263"/><Relationship Type="http://schemas.openxmlformats.org/officeDocument/2006/relationships/hyperlink" Target="https://africanmarketingconfederation.org/amc-conference-2023/download-prospectus/" TargetMode="External" Id="rId1264"/><Relationship Type="http://schemas.openxmlformats.org/officeDocument/2006/relationships/hyperlink" Target="#FixPlan!A20" TargetMode="External" Id="rId1265"/><Relationship Type="http://schemas.openxmlformats.org/officeDocument/2006/relationships/hyperlink" Target="https://africanmarketingconfederation.org/amc-conference-2023/download-prospectus/" TargetMode="External" Id="rId1266"/><Relationship Type="http://schemas.openxmlformats.org/officeDocument/2006/relationships/hyperlink" Target="#FixPlan!A21" TargetMode="External" Id="rId1267"/><Relationship Type="http://schemas.openxmlformats.org/officeDocument/2006/relationships/hyperlink" Target="https://africanmarketingconfederation.org/amc-conference-2023/download-prospectus/" TargetMode="External" Id="rId1268"/><Relationship Type="http://schemas.openxmlformats.org/officeDocument/2006/relationships/hyperlink" Target="#FixPlan!A22" TargetMode="External" Id="rId1269"/><Relationship Type="http://schemas.openxmlformats.org/officeDocument/2006/relationships/hyperlink" Target="https://africanmarketingconfederation.org/amc-conference-2023/download-prospectus/" TargetMode="External" Id="rId1270"/><Relationship Type="http://schemas.openxmlformats.org/officeDocument/2006/relationships/hyperlink" Target="#FixPlan!A23" TargetMode="External" Id="rId1271"/><Relationship Type="http://schemas.openxmlformats.org/officeDocument/2006/relationships/hyperlink" Target="https://africanmarketingconfederation.org/amc-conference-2023/download-prospectus/" TargetMode="External" Id="rId1272"/><Relationship Type="http://schemas.openxmlformats.org/officeDocument/2006/relationships/hyperlink" Target="#FixPlan!A24" TargetMode="External" Id="rId1273"/><Relationship Type="http://schemas.openxmlformats.org/officeDocument/2006/relationships/hyperlink" Target="https://africanmarketingconfederation.org/amc-conference-2023/download-prospectus/" TargetMode="External" Id="rId1274"/><Relationship Type="http://schemas.openxmlformats.org/officeDocument/2006/relationships/hyperlink" Target="#FixPlan!A25" TargetMode="External" Id="rId1275"/><Relationship Type="http://schemas.openxmlformats.org/officeDocument/2006/relationships/hyperlink" Target="https://africanmarketingconfederation.org/amc-conference-2023/download-prospectus/" TargetMode="External" Id="rId1276"/><Relationship Type="http://schemas.openxmlformats.org/officeDocument/2006/relationships/hyperlink" Target="#FixPlan!A26" TargetMode="External" Id="rId1277"/><Relationship Type="http://schemas.openxmlformats.org/officeDocument/2006/relationships/hyperlink" Target="https://africanmarketingconfederation.org/thank-you-for-subscribing/" TargetMode="External" Id="rId1278"/><Relationship Type="http://schemas.openxmlformats.org/officeDocument/2006/relationships/hyperlink" Target="#FixPlan!A17" TargetMode="External" Id="rId1279"/><Relationship Type="http://schemas.openxmlformats.org/officeDocument/2006/relationships/hyperlink" Target="https://africanmarketingconfederation.org/thank-you-for-subscribing/" TargetMode="External" Id="rId1280"/><Relationship Type="http://schemas.openxmlformats.org/officeDocument/2006/relationships/hyperlink" Target="#FixPlan!A16" TargetMode="External" Id="rId1281"/><Relationship Type="http://schemas.openxmlformats.org/officeDocument/2006/relationships/hyperlink" Target="https://africanmarketingconfederation.org/thank-you-for-subscribing/" TargetMode="External" Id="rId1282"/><Relationship Type="http://schemas.openxmlformats.org/officeDocument/2006/relationships/hyperlink" Target="#FixPlan!A12" TargetMode="External" Id="rId1283"/><Relationship Type="http://schemas.openxmlformats.org/officeDocument/2006/relationships/hyperlink" Target="https://africanmarketingconfederation.org/thank-you-for-subscribing/" TargetMode="External" Id="rId1284"/><Relationship Type="http://schemas.openxmlformats.org/officeDocument/2006/relationships/hyperlink" Target="#FixPlan!A20" TargetMode="External" Id="rId1285"/><Relationship Type="http://schemas.openxmlformats.org/officeDocument/2006/relationships/hyperlink" Target="https://africanmarketingconfederation.org/thank-you-for-subscribing/" TargetMode="External" Id="rId1286"/><Relationship Type="http://schemas.openxmlformats.org/officeDocument/2006/relationships/hyperlink" Target="#FixPlan!A21" TargetMode="External" Id="rId1287"/><Relationship Type="http://schemas.openxmlformats.org/officeDocument/2006/relationships/hyperlink" Target="https://africanmarketingconfederation.org/thank-you-for-subscribing/" TargetMode="External" Id="rId1288"/><Relationship Type="http://schemas.openxmlformats.org/officeDocument/2006/relationships/hyperlink" Target="#FixPlan!A22" TargetMode="External" Id="rId1289"/><Relationship Type="http://schemas.openxmlformats.org/officeDocument/2006/relationships/hyperlink" Target="https://africanmarketingconfederation.org/thank-you-for-subscribing/" TargetMode="External" Id="rId1290"/><Relationship Type="http://schemas.openxmlformats.org/officeDocument/2006/relationships/hyperlink" Target="#FixPlan!A23" TargetMode="External" Id="rId1291"/><Relationship Type="http://schemas.openxmlformats.org/officeDocument/2006/relationships/hyperlink" Target="https://africanmarketingconfederation.org/thank-you-for-subscribing/" TargetMode="External" Id="rId1292"/><Relationship Type="http://schemas.openxmlformats.org/officeDocument/2006/relationships/hyperlink" Target="#FixPlan!A24" TargetMode="External" Id="rId1293"/><Relationship Type="http://schemas.openxmlformats.org/officeDocument/2006/relationships/hyperlink" Target="https://africanmarketingconfederation.org/thank-you-for-subscribing/" TargetMode="External" Id="rId1294"/><Relationship Type="http://schemas.openxmlformats.org/officeDocument/2006/relationships/hyperlink" Target="#FixPlan!A25" TargetMode="External" Id="rId1295"/><Relationship Type="http://schemas.openxmlformats.org/officeDocument/2006/relationships/hyperlink" Target="https://africanmarketingconfederation.org/thank-you-for-subscribing/" TargetMode="External" Id="rId1296"/><Relationship Type="http://schemas.openxmlformats.org/officeDocument/2006/relationships/hyperlink" Target="#FixPlan!A26" TargetMode="External" Id="rId1297"/><Relationship Type="http://schemas.openxmlformats.org/officeDocument/2006/relationships/hyperlink" Target="https://africanmarketingconfederation.org/amc-conference-2023/book-now-thank-you/" TargetMode="External" Id="rId1298"/><Relationship Type="http://schemas.openxmlformats.org/officeDocument/2006/relationships/hyperlink" Target="#FixPlan!A17" TargetMode="External" Id="rId1299"/><Relationship Type="http://schemas.openxmlformats.org/officeDocument/2006/relationships/hyperlink" Target="https://africanmarketingconfederation.org/amc-conference-2023/book-now-thank-you/" TargetMode="External" Id="rId1300"/><Relationship Type="http://schemas.openxmlformats.org/officeDocument/2006/relationships/hyperlink" Target="#FixPlan!A16" TargetMode="External" Id="rId1301"/><Relationship Type="http://schemas.openxmlformats.org/officeDocument/2006/relationships/hyperlink" Target="https://africanmarketingconfederation.org/amc-conference-2023/book-now-thank-you/" TargetMode="External" Id="rId1302"/><Relationship Type="http://schemas.openxmlformats.org/officeDocument/2006/relationships/hyperlink" Target="#FixPlan!A12" TargetMode="External" Id="rId1303"/><Relationship Type="http://schemas.openxmlformats.org/officeDocument/2006/relationships/hyperlink" Target="https://africanmarketingconfederation.org/amc-conference-2023/book-now-thank-you/" TargetMode="External" Id="rId1304"/><Relationship Type="http://schemas.openxmlformats.org/officeDocument/2006/relationships/hyperlink" Target="#FixPlan!A20" TargetMode="External" Id="rId1305"/><Relationship Type="http://schemas.openxmlformats.org/officeDocument/2006/relationships/hyperlink" Target="https://africanmarketingconfederation.org/amc-conference-2023/book-now-thank-you/" TargetMode="External" Id="rId1306"/><Relationship Type="http://schemas.openxmlformats.org/officeDocument/2006/relationships/hyperlink" Target="#FixPlan!A21" TargetMode="External" Id="rId1307"/><Relationship Type="http://schemas.openxmlformats.org/officeDocument/2006/relationships/hyperlink" Target="https://africanmarketingconfederation.org/amc-conference-2023/book-now-thank-you/" TargetMode="External" Id="rId1308"/><Relationship Type="http://schemas.openxmlformats.org/officeDocument/2006/relationships/hyperlink" Target="#FixPlan!A22" TargetMode="External" Id="rId1309"/><Relationship Type="http://schemas.openxmlformats.org/officeDocument/2006/relationships/hyperlink" Target="https://africanmarketingconfederation.org/amc-conference-2023/book-now-thank-you/" TargetMode="External" Id="rId1310"/><Relationship Type="http://schemas.openxmlformats.org/officeDocument/2006/relationships/hyperlink" Target="#FixPlan!A23" TargetMode="External" Id="rId1311"/><Relationship Type="http://schemas.openxmlformats.org/officeDocument/2006/relationships/hyperlink" Target="https://africanmarketingconfederation.org/amc-conference-2023/book-now-thank-you/" TargetMode="External" Id="rId1312"/><Relationship Type="http://schemas.openxmlformats.org/officeDocument/2006/relationships/hyperlink" Target="#FixPlan!A24" TargetMode="External" Id="rId1313"/><Relationship Type="http://schemas.openxmlformats.org/officeDocument/2006/relationships/hyperlink" Target="https://africanmarketingconfederation.org/amc-conference-2023/book-now-thank-you/" TargetMode="External" Id="rId1314"/><Relationship Type="http://schemas.openxmlformats.org/officeDocument/2006/relationships/hyperlink" Target="#FixPlan!A25" TargetMode="External" Id="rId1315"/><Relationship Type="http://schemas.openxmlformats.org/officeDocument/2006/relationships/hyperlink" Target="https://africanmarketingconfederation.org/amc-conference-2023/book-now-thank-you/" TargetMode="External" Id="rId1316"/><Relationship Type="http://schemas.openxmlformats.org/officeDocument/2006/relationships/hyperlink" Target="#FixPlan!A26" TargetMode="External" Id="rId1317"/><Relationship Type="http://schemas.openxmlformats.org/officeDocument/2006/relationships/hyperlink" Target="https://africanmarketingconfederation.org/upcoming-events/" TargetMode="External" Id="rId1318"/><Relationship Type="http://schemas.openxmlformats.org/officeDocument/2006/relationships/hyperlink" Target="#FixPlan!A17" TargetMode="External" Id="rId1319"/><Relationship Type="http://schemas.openxmlformats.org/officeDocument/2006/relationships/hyperlink" Target="https://africanmarketingconfederation.org/upcoming-events/" TargetMode="External" Id="rId1320"/><Relationship Type="http://schemas.openxmlformats.org/officeDocument/2006/relationships/hyperlink" Target="#FixPlan!A16" TargetMode="External" Id="rId1321"/><Relationship Type="http://schemas.openxmlformats.org/officeDocument/2006/relationships/hyperlink" Target="https://africanmarketingconfederation.org/upcoming-events/" TargetMode="External" Id="rId1322"/><Relationship Type="http://schemas.openxmlformats.org/officeDocument/2006/relationships/hyperlink" Target="#FixPlan!A12" TargetMode="External" Id="rId1323"/><Relationship Type="http://schemas.openxmlformats.org/officeDocument/2006/relationships/hyperlink" Target="https://africanmarketingconfederation.org/upcoming-events/" TargetMode="External" Id="rId1324"/><Relationship Type="http://schemas.openxmlformats.org/officeDocument/2006/relationships/hyperlink" Target="#FixPlan!A20" TargetMode="External" Id="rId1325"/><Relationship Type="http://schemas.openxmlformats.org/officeDocument/2006/relationships/hyperlink" Target="https://africanmarketingconfederation.org/upcoming-events/" TargetMode="External" Id="rId1326"/><Relationship Type="http://schemas.openxmlformats.org/officeDocument/2006/relationships/hyperlink" Target="#FixPlan!A21" TargetMode="External" Id="rId1327"/><Relationship Type="http://schemas.openxmlformats.org/officeDocument/2006/relationships/hyperlink" Target="https://africanmarketingconfederation.org/upcoming-events/" TargetMode="External" Id="rId1328"/><Relationship Type="http://schemas.openxmlformats.org/officeDocument/2006/relationships/hyperlink" Target="#FixPlan!A22" TargetMode="External" Id="rId1329"/><Relationship Type="http://schemas.openxmlformats.org/officeDocument/2006/relationships/hyperlink" Target="https://africanmarketingconfederation.org/upcoming-events/" TargetMode="External" Id="rId1330"/><Relationship Type="http://schemas.openxmlformats.org/officeDocument/2006/relationships/hyperlink" Target="#FixPlan!A23" TargetMode="External" Id="rId1331"/><Relationship Type="http://schemas.openxmlformats.org/officeDocument/2006/relationships/hyperlink" Target="https://africanmarketingconfederation.org/upcoming-events/" TargetMode="External" Id="rId1332"/><Relationship Type="http://schemas.openxmlformats.org/officeDocument/2006/relationships/hyperlink" Target="#FixPlan!A24" TargetMode="External" Id="rId1333"/><Relationship Type="http://schemas.openxmlformats.org/officeDocument/2006/relationships/hyperlink" Target="https://africanmarketingconfederation.org/upcoming-events/" TargetMode="External" Id="rId1334"/><Relationship Type="http://schemas.openxmlformats.org/officeDocument/2006/relationships/hyperlink" Target="#FixPlan!A25" TargetMode="External" Id="rId1335"/><Relationship Type="http://schemas.openxmlformats.org/officeDocument/2006/relationships/hyperlink" Target="https://africanmarketingconfederation.org/upcoming-events/" TargetMode="External" Id="rId1336"/><Relationship Type="http://schemas.openxmlformats.org/officeDocument/2006/relationships/hyperlink" Target="#FixPlan!A26" TargetMode="External" Id="rId1337"/><Relationship Type="http://schemas.openxmlformats.org/officeDocument/2006/relationships/hyperlink" Target="https://africanmarketingconfederation.org/amc-conference-thank-you/" TargetMode="External" Id="rId1338"/><Relationship Type="http://schemas.openxmlformats.org/officeDocument/2006/relationships/hyperlink" Target="#FixPlan!A12" TargetMode="External" Id="rId1339"/><Relationship Type="http://schemas.openxmlformats.org/officeDocument/2006/relationships/hyperlink" Target="https://africanmarketingconfederation.org/amc-conference-thank-you/" TargetMode="External" Id="rId1340"/><Relationship Type="http://schemas.openxmlformats.org/officeDocument/2006/relationships/hyperlink" Target="#FixPlan!A20" TargetMode="External" Id="rId1341"/><Relationship Type="http://schemas.openxmlformats.org/officeDocument/2006/relationships/hyperlink" Target="https://africanmarketingconfederation.org/amc-conference-thank-you/" TargetMode="External" Id="rId1342"/><Relationship Type="http://schemas.openxmlformats.org/officeDocument/2006/relationships/hyperlink" Target="#FixPlan!A21" TargetMode="External" Id="rId1343"/><Relationship Type="http://schemas.openxmlformats.org/officeDocument/2006/relationships/hyperlink" Target="https://africanmarketingconfederation.org/amc-conference-thank-you/" TargetMode="External" Id="rId1344"/><Relationship Type="http://schemas.openxmlformats.org/officeDocument/2006/relationships/hyperlink" Target="#FixPlan!A22" TargetMode="External" Id="rId1345"/><Relationship Type="http://schemas.openxmlformats.org/officeDocument/2006/relationships/hyperlink" Target="https://africanmarketingconfederation.org/amc-conference-thank-you/" TargetMode="External" Id="rId1346"/><Relationship Type="http://schemas.openxmlformats.org/officeDocument/2006/relationships/hyperlink" Target="#FixPlan!A23" TargetMode="External" Id="rId1347"/><Relationship Type="http://schemas.openxmlformats.org/officeDocument/2006/relationships/hyperlink" Target="https://africanmarketingconfederation.org/amc-conference-thank-you/" TargetMode="External" Id="rId1348"/><Relationship Type="http://schemas.openxmlformats.org/officeDocument/2006/relationships/hyperlink" Target="#FixPlan!A24" TargetMode="External" Id="rId1349"/><Relationship Type="http://schemas.openxmlformats.org/officeDocument/2006/relationships/hyperlink" Target="https://africanmarketingconfederation.org/amc-conference-thank-you/" TargetMode="External" Id="rId1350"/><Relationship Type="http://schemas.openxmlformats.org/officeDocument/2006/relationships/hyperlink" Target="#FixPlan!A25" TargetMode="External" Id="rId1351"/><Relationship Type="http://schemas.openxmlformats.org/officeDocument/2006/relationships/hyperlink" Target="https://africanmarketingconfederation.org/amc-conference-thank-you/" TargetMode="External" Id="rId1352"/><Relationship Type="http://schemas.openxmlformats.org/officeDocument/2006/relationships/hyperlink" Target="#FixPlan!A26" TargetMode="External" Id="rId1353"/><Relationship Type="http://schemas.openxmlformats.org/officeDocument/2006/relationships/hyperlink" Target="https://africanmarketingconfederation.org/amc-masterclass/" TargetMode="External" Id="rId1354"/><Relationship Type="http://schemas.openxmlformats.org/officeDocument/2006/relationships/hyperlink" Target="#FixPlan!A17" TargetMode="External" Id="rId1355"/><Relationship Type="http://schemas.openxmlformats.org/officeDocument/2006/relationships/hyperlink" Target="https://africanmarketingconfederation.org/amc-masterclass/" TargetMode="External" Id="rId1356"/><Relationship Type="http://schemas.openxmlformats.org/officeDocument/2006/relationships/hyperlink" Target="#FixPlan!A16" TargetMode="External" Id="rId1357"/><Relationship Type="http://schemas.openxmlformats.org/officeDocument/2006/relationships/hyperlink" Target="https://africanmarketingconfederation.org/amc-masterclass/" TargetMode="External" Id="rId1358"/><Relationship Type="http://schemas.openxmlformats.org/officeDocument/2006/relationships/hyperlink" Target="#FixPlan!A12" TargetMode="External" Id="rId1359"/><Relationship Type="http://schemas.openxmlformats.org/officeDocument/2006/relationships/hyperlink" Target="https://africanmarketingconfederation.org/amc-masterclass/" TargetMode="External" Id="rId1360"/><Relationship Type="http://schemas.openxmlformats.org/officeDocument/2006/relationships/hyperlink" Target="#FixPlan!A20" TargetMode="External" Id="rId1361"/><Relationship Type="http://schemas.openxmlformats.org/officeDocument/2006/relationships/hyperlink" Target="https://africanmarketingconfederation.org/amc-masterclass/" TargetMode="External" Id="rId1362"/><Relationship Type="http://schemas.openxmlformats.org/officeDocument/2006/relationships/hyperlink" Target="#FixPlan!A21" TargetMode="External" Id="rId1363"/><Relationship Type="http://schemas.openxmlformats.org/officeDocument/2006/relationships/hyperlink" Target="https://africanmarketingconfederation.org/amc-masterclass/" TargetMode="External" Id="rId1364"/><Relationship Type="http://schemas.openxmlformats.org/officeDocument/2006/relationships/hyperlink" Target="#FixPlan!A22" TargetMode="External" Id="rId1365"/><Relationship Type="http://schemas.openxmlformats.org/officeDocument/2006/relationships/hyperlink" Target="https://africanmarketingconfederation.org/amc-masterclass/" TargetMode="External" Id="rId1366"/><Relationship Type="http://schemas.openxmlformats.org/officeDocument/2006/relationships/hyperlink" Target="#FixPlan!A23" TargetMode="External" Id="rId1367"/><Relationship Type="http://schemas.openxmlformats.org/officeDocument/2006/relationships/hyperlink" Target="https://africanmarketingconfederation.org/amc-masterclass/" TargetMode="External" Id="rId1368"/><Relationship Type="http://schemas.openxmlformats.org/officeDocument/2006/relationships/hyperlink" Target="#FixPlan!A24" TargetMode="External" Id="rId1369"/><Relationship Type="http://schemas.openxmlformats.org/officeDocument/2006/relationships/hyperlink" Target="https://africanmarketingconfederation.org/amc-masterclass/" TargetMode="External" Id="rId1370"/><Relationship Type="http://schemas.openxmlformats.org/officeDocument/2006/relationships/hyperlink" Target="#FixPlan!A25" TargetMode="External" Id="rId1371"/><Relationship Type="http://schemas.openxmlformats.org/officeDocument/2006/relationships/hyperlink" Target="https://africanmarketingconfederation.org/amc-masterclass/" TargetMode="External" Id="rId1372"/><Relationship Type="http://schemas.openxmlformats.org/officeDocument/2006/relationships/hyperlink" Target="#FixPlan!A26" TargetMode="External" Id="rId1373"/><Relationship Type="http://schemas.openxmlformats.org/officeDocument/2006/relationships/hyperlink" Target="https://africanmarketingconfederation.org/amc-relaunch-programme/" TargetMode="External" Id="rId1374"/><Relationship Type="http://schemas.openxmlformats.org/officeDocument/2006/relationships/hyperlink" Target="#FixPlan!A17" TargetMode="External" Id="rId1375"/><Relationship Type="http://schemas.openxmlformats.org/officeDocument/2006/relationships/hyperlink" Target="https://africanmarketingconfederation.org/amc-relaunch-programme/" TargetMode="External" Id="rId1376"/><Relationship Type="http://schemas.openxmlformats.org/officeDocument/2006/relationships/hyperlink" Target="#FixPlan!A12" TargetMode="External" Id="rId1377"/><Relationship Type="http://schemas.openxmlformats.org/officeDocument/2006/relationships/hyperlink" Target="https://africanmarketingconfederation.org/amc-relaunch-programme/" TargetMode="External" Id="rId1378"/><Relationship Type="http://schemas.openxmlformats.org/officeDocument/2006/relationships/hyperlink" Target="#FixPlan!A20" TargetMode="External" Id="rId1379"/><Relationship Type="http://schemas.openxmlformats.org/officeDocument/2006/relationships/hyperlink" Target="https://africanmarketingconfederation.org/amc-relaunch-programme/" TargetMode="External" Id="rId1380"/><Relationship Type="http://schemas.openxmlformats.org/officeDocument/2006/relationships/hyperlink" Target="#FixPlan!A21" TargetMode="External" Id="rId1381"/><Relationship Type="http://schemas.openxmlformats.org/officeDocument/2006/relationships/hyperlink" Target="https://africanmarketingconfederation.org/amc-relaunch-programme/" TargetMode="External" Id="rId1382"/><Relationship Type="http://schemas.openxmlformats.org/officeDocument/2006/relationships/hyperlink" Target="#FixPlan!A22" TargetMode="External" Id="rId1383"/><Relationship Type="http://schemas.openxmlformats.org/officeDocument/2006/relationships/hyperlink" Target="https://africanmarketingconfederation.org/amc-relaunch-programme/" TargetMode="External" Id="rId1384"/><Relationship Type="http://schemas.openxmlformats.org/officeDocument/2006/relationships/hyperlink" Target="#FixPlan!A23" TargetMode="External" Id="rId1385"/><Relationship Type="http://schemas.openxmlformats.org/officeDocument/2006/relationships/hyperlink" Target="https://africanmarketingconfederation.org/amc-relaunch-programme/" TargetMode="External" Id="rId1386"/><Relationship Type="http://schemas.openxmlformats.org/officeDocument/2006/relationships/hyperlink" Target="#FixPlan!A24" TargetMode="External" Id="rId1387"/><Relationship Type="http://schemas.openxmlformats.org/officeDocument/2006/relationships/hyperlink" Target="https://africanmarketingconfederation.org/amc-relaunch-programme/" TargetMode="External" Id="rId1388"/><Relationship Type="http://schemas.openxmlformats.org/officeDocument/2006/relationships/hyperlink" Target="#FixPlan!A25" TargetMode="External" Id="rId1389"/><Relationship Type="http://schemas.openxmlformats.org/officeDocument/2006/relationships/hyperlink" Target="https://africanmarketingconfederation.org/amc-relaunch-programme/" TargetMode="External" Id="rId1390"/><Relationship Type="http://schemas.openxmlformats.org/officeDocument/2006/relationships/hyperlink" Target="#FixPlan!A26" TargetMode="External" Id="rId1391"/><Relationship Type="http://schemas.openxmlformats.org/officeDocument/2006/relationships/hyperlink" Target="https://africanmarketingconfederation.org/amc-masterclass-thank-you/" TargetMode="External" Id="rId1392"/><Relationship Type="http://schemas.openxmlformats.org/officeDocument/2006/relationships/hyperlink" Target="#FixPlan!A17" TargetMode="External" Id="rId1393"/><Relationship Type="http://schemas.openxmlformats.org/officeDocument/2006/relationships/hyperlink" Target="https://africanmarketingconfederation.org/amc-masterclass-thank-you/" TargetMode="External" Id="rId1394"/><Relationship Type="http://schemas.openxmlformats.org/officeDocument/2006/relationships/hyperlink" Target="#FixPlan!A16" TargetMode="External" Id="rId1395"/><Relationship Type="http://schemas.openxmlformats.org/officeDocument/2006/relationships/hyperlink" Target="https://africanmarketingconfederation.org/amc-masterclass-thank-you/" TargetMode="External" Id="rId1396"/><Relationship Type="http://schemas.openxmlformats.org/officeDocument/2006/relationships/hyperlink" Target="#FixPlan!A12" TargetMode="External" Id="rId1397"/><Relationship Type="http://schemas.openxmlformats.org/officeDocument/2006/relationships/hyperlink" Target="https://africanmarketingconfederation.org/amc-masterclass-thank-you/" TargetMode="External" Id="rId1398"/><Relationship Type="http://schemas.openxmlformats.org/officeDocument/2006/relationships/hyperlink" Target="#FixPlan!A20" TargetMode="External" Id="rId1399"/><Relationship Type="http://schemas.openxmlformats.org/officeDocument/2006/relationships/hyperlink" Target="https://africanmarketingconfederation.org/amc-masterclass-thank-you/" TargetMode="External" Id="rId1400"/><Relationship Type="http://schemas.openxmlformats.org/officeDocument/2006/relationships/hyperlink" Target="#FixPlan!A21" TargetMode="External" Id="rId1401"/><Relationship Type="http://schemas.openxmlformats.org/officeDocument/2006/relationships/hyperlink" Target="https://africanmarketingconfederation.org/amc-masterclass-thank-you/" TargetMode="External" Id="rId1402"/><Relationship Type="http://schemas.openxmlformats.org/officeDocument/2006/relationships/hyperlink" Target="#FixPlan!A22" TargetMode="External" Id="rId1403"/><Relationship Type="http://schemas.openxmlformats.org/officeDocument/2006/relationships/hyperlink" Target="https://africanmarketingconfederation.org/amc-masterclass-thank-you/" TargetMode="External" Id="rId1404"/><Relationship Type="http://schemas.openxmlformats.org/officeDocument/2006/relationships/hyperlink" Target="#FixPlan!A23" TargetMode="External" Id="rId1405"/><Relationship Type="http://schemas.openxmlformats.org/officeDocument/2006/relationships/hyperlink" Target="https://africanmarketingconfederation.org/amc-masterclass-thank-you/" TargetMode="External" Id="rId1406"/><Relationship Type="http://schemas.openxmlformats.org/officeDocument/2006/relationships/hyperlink" Target="#FixPlan!A24" TargetMode="External" Id="rId1407"/><Relationship Type="http://schemas.openxmlformats.org/officeDocument/2006/relationships/hyperlink" Target="https://africanmarketingconfederation.org/amc-masterclass-thank-you/" TargetMode="External" Id="rId1408"/><Relationship Type="http://schemas.openxmlformats.org/officeDocument/2006/relationships/hyperlink" Target="#FixPlan!A25" TargetMode="External" Id="rId1409"/><Relationship Type="http://schemas.openxmlformats.org/officeDocument/2006/relationships/hyperlink" Target="https://africanmarketingconfederation.org/amc-masterclass-thank-you/" TargetMode="External" Id="rId1410"/><Relationship Type="http://schemas.openxmlformats.org/officeDocument/2006/relationships/hyperlink" Target="#FixPlan!A26" TargetMode="External" Id="rId1411"/><Relationship Type="http://schemas.openxmlformats.org/officeDocument/2006/relationships/hyperlink" Target="https://africanmarketingconfederation.org/amc-masterclass-bookings/" TargetMode="External" Id="rId1412"/><Relationship Type="http://schemas.openxmlformats.org/officeDocument/2006/relationships/hyperlink" Target="#FixPlan!A14" TargetMode="External" Id="rId1413"/><Relationship Type="http://schemas.openxmlformats.org/officeDocument/2006/relationships/hyperlink" Target="https://africanmarketingconfederation.org/amc-masterclass-bookings/" TargetMode="External" Id="rId1414"/><Relationship Type="http://schemas.openxmlformats.org/officeDocument/2006/relationships/hyperlink" Target="#FixPlan!A17" TargetMode="External" Id="rId1415"/><Relationship Type="http://schemas.openxmlformats.org/officeDocument/2006/relationships/hyperlink" Target="https://africanmarketingconfederation.org/amc-masterclass-bookings/" TargetMode="External" Id="rId1416"/><Relationship Type="http://schemas.openxmlformats.org/officeDocument/2006/relationships/hyperlink" Target="#FixPlan!A16" TargetMode="External" Id="rId1417"/><Relationship Type="http://schemas.openxmlformats.org/officeDocument/2006/relationships/hyperlink" Target="https://africanmarketingconfederation.org/amc-masterclass-bookings/" TargetMode="External" Id="rId1418"/><Relationship Type="http://schemas.openxmlformats.org/officeDocument/2006/relationships/hyperlink" Target="#FixPlan!A12" TargetMode="External" Id="rId1419"/><Relationship Type="http://schemas.openxmlformats.org/officeDocument/2006/relationships/hyperlink" Target="https://africanmarketingconfederation.org/amc-masterclass-bookings/" TargetMode="External" Id="rId1420"/><Relationship Type="http://schemas.openxmlformats.org/officeDocument/2006/relationships/hyperlink" Target="#FixPlan!A20" TargetMode="External" Id="rId1421"/><Relationship Type="http://schemas.openxmlformats.org/officeDocument/2006/relationships/hyperlink" Target="https://africanmarketingconfederation.org/amc-masterclass-bookings/" TargetMode="External" Id="rId1422"/><Relationship Type="http://schemas.openxmlformats.org/officeDocument/2006/relationships/hyperlink" Target="#FixPlan!A21" TargetMode="External" Id="rId1423"/><Relationship Type="http://schemas.openxmlformats.org/officeDocument/2006/relationships/hyperlink" Target="https://africanmarketingconfederation.org/amc-masterclass-bookings/" TargetMode="External" Id="rId1424"/><Relationship Type="http://schemas.openxmlformats.org/officeDocument/2006/relationships/hyperlink" Target="#FixPlan!A22" TargetMode="External" Id="rId1425"/><Relationship Type="http://schemas.openxmlformats.org/officeDocument/2006/relationships/hyperlink" Target="https://africanmarketingconfederation.org/amc-masterclass-bookings/" TargetMode="External" Id="rId1426"/><Relationship Type="http://schemas.openxmlformats.org/officeDocument/2006/relationships/hyperlink" Target="#FixPlan!A23" TargetMode="External" Id="rId1427"/><Relationship Type="http://schemas.openxmlformats.org/officeDocument/2006/relationships/hyperlink" Target="https://africanmarketingconfederation.org/amc-masterclass-bookings/" TargetMode="External" Id="rId1428"/><Relationship Type="http://schemas.openxmlformats.org/officeDocument/2006/relationships/hyperlink" Target="#FixPlan!A24" TargetMode="External" Id="rId1429"/><Relationship Type="http://schemas.openxmlformats.org/officeDocument/2006/relationships/hyperlink" Target="https://africanmarketingconfederation.org/amc-masterclass-bookings/" TargetMode="External" Id="rId1430"/><Relationship Type="http://schemas.openxmlformats.org/officeDocument/2006/relationships/hyperlink" Target="#FixPlan!A25" TargetMode="External" Id="rId1431"/><Relationship Type="http://schemas.openxmlformats.org/officeDocument/2006/relationships/hyperlink" Target="https://africanmarketingconfederation.org/amc-masterclass-bookings/" TargetMode="External" Id="rId1432"/><Relationship Type="http://schemas.openxmlformats.org/officeDocument/2006/relationships/hyperlink" Target="#FixPlan!A26" TargetMode="External" Id="rId1433"/><Relationship Type="http://schemas.openxmlformats.org/officeDocument/2006/relationships/hyperlink" Target="https://africanmarketingconfederation.org/amc-conference-programme/" TargetMode="External" Id="rId1434"/><Relationship Type="http://schemas.openxmlformats.org/officeDocument/2006/relationships/hyperlink" Target="#FixPlan!A17" TargetMode="External" Id="rId1435"/><Relationship Type="http://schemas.openxmlformats.org/officeDocument/2006/relationships/hyperlink" Target="https://africanmarketingconfederation.org/amc-conference-programme/" TargetMode="External" Id="rId1436"/><Relationship Type="http://schemas.openxmlformats.org/officeDocument/2006/relationships/hyperlink" Target="#FixPlan!A12" TargetMode="External" Id="rId1437"/><Relationship Type="http://schemas.openxmlformats.org/officeDocument/2006/relationships/hyperlink" Target="https://africanmarketingconfederation.org/amc-conference-programme/" TargetMode="External" Id="rId1438"/><Relationship Type="http://schemas.openxmlformats.org/officeDocument/2006/relationships/hyperlink" Target="#FixPlan!A20" TargetMode="External" Id="rId1439"/><Relationship Type="http://schemas.openxmlformats.org/officeDocument/2006/relationships/hyperlink" Target="https://africanmarketingconfederation.org/amc-conference-programme/" TargetMode="External" Id="rId1440"/><Relationship Type="http://schemas.openxmlformats.org/officeDocument/2006/relationships/hyperlink" Target="#FixPlan!A21" TargetMode="External" Id="rId1441"/><Relationship Type="http://schemas.openxmlformats.org/officeDocument/2006/relationships/hyperlink" Target="https://africanmarketingconfederation.org/amc-conference-programme/" TargetMode="External" Id="rId1442"/><Relationship Type="http://schemas.openxmlformats.org/officeDocument/2006/relationships/hyperlink" Target="#FixPlan!A22" TargetMode="External" Id="rId1443"/><Relationship Type="http://schemas.openxmlformats.org/officeDocument/2006/relationships/hyperlink" Target="https://africanmarketingconfederation.org/amc-conference-programme/" TargetMode="External" Id="rId1444"/><Relationship Type="http://schemas.openxmlformats.org/officeDocument/2006/relationships/hyperlink" Target="#FixPlan!A23" TargetMode="External" Id="rId1445"/><Relationship Type="http://schemas.openxmlformats.org/officeDocument/2006/relationships/hyperlink" Target="https://africanmarketingconfederation.org/amc-conference-programme/" TargetMode="External" Id="rId1446"/><Relationship Type="http://schemas.openxmlformats.org/officeDocument/2006/relationships/hyperlink" Target="#FixPlan!A24" TargetMode="External" Id="rId1447"/><Relationship Type="http://schemas.openxmlformats.org/officeDocument/2006/relationships/hyperlink" Target="https://africanmarketingconfederation.org/amc-conference-programme/" TargetMode="External" Id="rId1448"/><Relationship Type="http://schemas.openxmlformats.org/officeDocument/2006/relationships/hyperlink" Target="#FixPlan!A25" TargetMode="External" Id="rId1449"/><Relationship Type="http://schemas.openxmlformats.org/officeDocument/2006/relationships/hyperlink" Target="https://africanmarketingconfederation.org/amc-conference-programme/" TargetMode="External" Id="rId1450"/><Relationship Type="http://schemas.openxmlformats.org/officeDocument/2006/relationships/hyperlink" Target="#FixPlan!A26" TargetMode="External" Id="rId1451"/><Relationship Type="http://schemas.openxmlformats.org/officeDocument/2006/relationships/hyperlink" Target="https://africanmarketingconfederation.org/test-homeslider/" TargetMode="External" Id="rId1452"/><Relationship Type="http://schemas.openxmlformats.org/officeDocument/2006/relationships/hyperlink" Target="#FixPlan!A17" TargetMode="External" Id="rId1453"/><Relationship Type="http://schemas.openxmlformats.org/officeDocument/2006/relationships/hyperlink" Target="https://africanmarketingconfederation.org/test-homeslider/" TargetMode="External" Id="rId1454"/><Relationship Type="http://schemas.openxmlformats.org/officeDocument/2006/relationships/hyperlink" Target="#FixPlan!A16" TargetMode="External" Id="rId1455"/><Relationship Type="http://schemas.openxmlformats.org/officeDocument/2006/relationships/hyperlink" Target="https://africanmarketingconfederation.org/test-homeslider/" TargetMode="External" Id="rId1456"/><Relationship Type="http://schemas.openxmlformats.org/officeDocument/2006/relationships/hyperlink" Target="#FixPlan!A12" TargetMode="External" Id="rId1457"/><Relationship Type="http://schemas.openxmlformats.org/officeDocument/2006/relationships/hyperlink" Target="https://africanmarketingconfederation.org/test-homeslider/" TargetMode="External" Id="rId1458"/><Relationship Type="http://schemas.openxmlformats.org/officeDocument/2006/relationships/hyperlink" Target="#FixPlan!A20" TargetMode="External" Id="rId1459"/><Relationship Type="http://schemas.openxmlformats.org/officeDocument/2006/relationships/hyperlink" Target="https://africanmarketingconfederation.org/test-homeslider/" TargetMode="External" Id="rId1460"/><Relationship Type="http://schemas.openxmlformats.org/officeDocument/2006/relationships/hyperlink" Target="#FixPlan!A21" TargetMode="External" Id="rId1461"/><Relationship Type="http://schemas.openxmlformats.org/officeDocument/2006/relationships/hyperlink" Target="https://africanmarketingconfederation.org/test-homeslider/" TargetMode="External" Id="rId1462"/><Relationship Type="http://schemas.openxmlformats.org/officeDocument/2006/relationships/hyperlink" Target="#FixPlan!A22" TargetMode="External" Id="rId1463"/><Relationship Type="http://schemas.openxmlformats.org/officeDocument/2006/relationships/hyperlink" Target="https://africanmarketingconfederation.org/test-homeslider/" TargetMode="External" Id="rId1464"/><Relationship Type="http://schemas.openxmlformats.org/officeDocument/2006/relationships/hyperlink" Target="#FixPlan!A23" TargetMode="External" Id="rId1465"/><Relationship Type="http://schemas.openxmlformats.org/officeDocument/2006/relationships/hyperlink" Target="https://africanmarketingconfederation.org/test-homeslider/" TargetMode="External" Id="rId1466"/><Relationship Type="http://schemas.openxmlformats.org/officeDocument/2006/relationships/hyperlink" Target="#FixPlan!A24" TargetMode="External" Id="rId1467"/><Relationship Type="http://schemas.openxmlformats.org/officeDocument/2006/relationships/hyperlink" Target="https://africanmarketingconfederation.org/test-homeslider/" TargetMode="External" Id="rId1468"/><Relationship Type="http://schemas.openxmlformats.org/officeDocument/2006/relationships/hyperlink" Target="#FixPlan!A25" TargetMode="External" Id="rId1469"/><Relationship Type="http://schemas.openxmlformats.org/officeDocument/2006/relationships/hyperlink" Target="https://africanmarketingconfederation.org/test-homeslider/" TargetMode="External" Id="rId1470"/><Relationship Type="http://schemas.openxmlformats.org/officeDocument/2006/relationships/hyperlink" Target="#FixPlan!A26" TargetMode="External" Id="rId1471"/><Relationship Type="http://schemas.openxmlformats.org/officeDocument/2006/relationships/hyperlink" Target="https://africanmarketingconfederation.org/virtual-programme/" TargetMode="External" Id="rId1472"/><Relationship Type="http://schemas.openxmlformats.org/officeDocument/2006/relationships/hyperlink" Target="#FixPlan!A17" TargetMode="External" Id="rId1473"/><Relationship Type="http://schemas.openxmlformats.org/officeDocument/2006/relationships/hyperlink" Target="https://africanmarketingconfederation.org/virtual-programme/" TargetMode="External" Id="rId1474"/><Relationship Type="http://schemas.openxmlformats.org/officeDocument/2006/relationships/hyperlink" Target="#FixPlan!A12" TargetMode="External" Id="rId1475"/><Relationship Type="http://schemas.openxmlformats.org/officeDocument/2006/relationships/hyperlink" Target="https://africanmarketingconfederation.org/virtual-programme/" TargetMode="External" Id="rId1476"/><Relationship Type="http://schemas.openxmlformats.org/officeDocument/2006/relationships/hyperlink" Target="#FixPlan!A20" TargetMode="External" Id="rId1477"/><Relationship Type="http://schemas.openxmlformats.org/officeDocument/2006/relationships/hyperlink" Target="https://africanmarketingconfederation.org/virtual-programme/" TargetMode="External" Id="rId1478"/><Relationship Type="http://schemas.openxmlformats.org/officeDocument/2006/relationships/hyperlink" Target="#FixPlan!A21" TargetMode="External" Id="rId1479"/><Relationship Type="http://schemas.openxmlformats.org/officeDocument/2006/relationships/hyperlink" Target="https://africanmarketingconfederation.org/virtual-programme/" TargetMode="External" Id="rId1480"/><Relationship Type="http://schemas.openxmlformats.org/officeDocument/2006/relationships/hyperlink" Target="#FixPlan!A22" TargetMode="External" Id="rId1481"/><Relationship Type="http://schemas.openxmlformats.org/officeDocument/2006/relationships/hyperlink" Target="https://africanmarketingconfederation.org/virtual-programme/" TargetMode="External" Id="rId1482"/><Relationship Type="http://schemas.openxmlformats.org/officeDocument/2006/relationships/hyperlink" Target="#FixPlan!A23" TargetMode="External" Id="rId1483"/><Relationship Type="http://schemas.openxmlformats.org/officeDocument/2006/relationships/hyperlink" Target="https://africanmarketingconfederation.org/virtual-programme/" TargetMode="External" Id="rId1484"/><Relationship Type="http://schemas.openxmlformats.org/officeDocument/2006/relationships/hyperlink" Target="#FixPlan!A24" TargetMode="External" Id="rId1485"/><Relationship Type="http://schemas.openxmlformats.org/officeDocument/2006/relationships/hyperlink" Target="https://africanmarketingconfederation.org/virtual-programme/" TargetMode="External" Id="rId1486"/><Relationship Type="http://schemas.openxmlformats.org/officeDocument/2006/relationships/hyperlink" Target="#FixPlan!A25" TargetMode="External" Id="rId1487"/><Relationship Type="http://schemas.openxmlformats.org/officeDocument/2006/relationships/hyperlink" Target="https://africanmarketingconfederation.org/virtual-programme/" TargetMode="External" Id="rId1488"/><Relationship Type="http://schemas.openxmlformats.org/officeDocument/2006/relationships/hyperlink" Target="#FixPlan!A26" TargetMode="External" Id="rId1489"/><Relationship Type="http://schemas.openxmlformats.org/officeDocument/2006/relationships/hyperlink" Target="https://africanmarketingconfederation.org/general-enquiry-form-thank-you/" TargetMode="External" Id="rId1490"/><Relationship Type="http://schemas.openxmlformats.org/officeDocument/2006/relationships/hyperlink" Target="#FixPlan!A17" TargetMode="External" Id="rId1491"/><Relationship Type="http://schemas.openxmlformats.org/officeDocument/2006/relationships/hyperlink" Target="https://africanmarketingconfederation.org/general-enquiry-form-thank-you/" TargetMode="External" Id="rId1492"/><Relationship Type="http://schemas.openxmlformats.org/officeDocument/2006/relationships/hyperlink" Target="#FixPlan!A16" TargetMode="External" Id="rId1493"/><Relationship Type="http://schemas.openxmlformats.org/officeDocument/2006/relationships/hyperlink" Target="https://africanmarketingconfederation.org/general-enquiry-form-thank-you/" TargetMode="External" Id="rId1494"/><Relationship Type="http://schemas.openxmlformats.org/officeDocument/2006/relationships/hyperlink" Target="#FixPlan!A12" TargetMode="External" Id="rId1495"/><Relationship Type="http://schemas.openxmlformats.org/officeDocument/2006/relationships/hyperlink" Target="https://africanmarketingconfederation.org/general-enquiry-form-thank-you/" TargetMode="External" Id="rId1496"/><Relationship Type="http://schemas.openxmlformats.org/officeDocument/2006/relationships/hyperlink" Target="#FixPlan!A20" TargetMode="External" Id="rId1497"/><Relationship Type="http://schemas.openxmlformats.org/officeDocument/2006/relationships/hyperlink" Target="https://africanmarketingconfederation.org/general-enquiry-form-thank-you/" TargetMode="External" Id="rId1498"/><Relationship Type="http://schemas.openxmlformats.org/officeDocument/2006/relationships/hyperlink" Target="#FixPlan!A21" TargetMode="External" Id="rId1499"/><Relationship Type="http://schemas.openxmlformats.org/officeDocument/2006/relationships/hyperlink" Target="https://africanmarketingconfederation.org/general-enquiry-form-thank-you/" TargetMode="External" Id="rId1500"/><Relationship Type="http://schemas.openxmlformats.org/officeDocument/2006/relationships/hyperlink" Target="#FixPlan!A22" TargetMode="External" Id="rId1501"/><Relationship Type="http://schemas.openxmlformats.org/officeDocument/2006/relationships/hyperlink" Target="https://africanmarketingconfederation.org/general-enquiry-form-thank-you/" TargetMode="External" Id="rId1502"/><Relationship Type="http://schemas.openxmlformats.org/officeDocument/2006/relationships/hyperlink" Target="#FixPlan!A23" TargetMode="External" Id="rId1503"/><Relationship Type="http://schemas.openxmlformats.org/officeDocument/2006/relationships/hyperlink" Target="https://africanmarketingconfederation.org/general-enquiry-form-thank-you/" TargetMode="External" Id="rId1504"/><Relationship Type="http://schemas.openxmlformats.org/officeDocument/2006/relationships/hyperlink" Target="#FixPlan!A24" TargetMode="External" Id="rId1505"/><Relationship Type="http://schemas.openxmlformats.org/officeDocument/2006/relationships/hyperlink" Target="https://africanmarketingconfederation.org/general-enquiry-form-thank-you/" TargetMode="External" Id="rId1506"/><Relationship Type="http://schemas.openxmlformats.org/officeDocument/2006/relationships/hyperlink" Target="#FixPlan!A25" TargetMode="External" Id="rId1507"/><Relationship Type="http://schemas.openxmlformats.org/officeDocument/2006/relationships/hyperlink" Target="https://africanmarketingconfederation.org/general-enquiry-form-thank-you/" TargetMode="External" Id="rId1508"/><Relationship Type="http://schemas.openxmlformats.org/officeDocument/2006/relationships/hyperlink" Target="#FixPlan!A26" TargetMode="External" Id="rId1509"/><Relationship Type="http://schemas.openxmlformats.org/officeDocument/2006/relationships/hyperlink" Target="https://africanmarketingconfederation.org/amc-conference-2022-thank-you/" TargetMode="External" Id="rId1510"/><Relationship Type="http://schemas.openxmlformats.org/officeDocument/2006/relationships/hyperlink" Target="#FixPlan!A17" TargetMode="External" Id="rId1511"/><Relationship Type="http://schemas.openxmlformats.org/officeDocument/2006/relationships/hyperlink" Target="https://africanmarketingconfederation.org/amc-conference-2022-thank-you/" TargetMode="External" Id="rId1512"/><Relationship Type="http://schemas.openxmlformats.org/officeDocument/2006/relationships/hyperlink" Target="#FixPlan!A12" TargetMode="External" Id="rId1513"/><Relationship Type="http://schemas.openxmlformats.org/officeDocument/2006/relationships/hyperlink" Target="https://africanmarketingconfederation.org/amc-conference-2022-thank-you/" TargetMode="External" Id="rId1514"/><Relationship Type="http://schemas.openxmlformats.org/officeDocument/2006/relationships/hyperlink" Target="#FixPlan!A20" TargetMode="External" Id="rId1515"/><Relationship Type="http://schemas.openxmlformats.org/officeDocument/2006/relationships/hyperlink" Target="https://africanmarketingconfederation.org/amc-conference-2022-thank-you/" TargetMode="External" Id="rId1516"/><Relationship Type="http://schemas.openxmlformats.org/officeDocument/2006/relationships/hyperlink" Target="#FixPlan!A21" TargetMode="External" Id="rId1517"/><Relationship Type="http://schemas.openxmlformats.org/officeDocument/2006/relationships/hyperlink" Target="https://africanmarketingconfederation.org/amc-conference-2022-thank-you/" TargetMode="External" Id="rId1518"/><Relationship Type="http://schemas.openxmlformats.org/officeDocument/2006/relationships/hyperlink" Target="#FixPlan!A22" TargetMode="External" Id="rId1519"/><Relationship Type="http://schemas.openxmlformats.org/officeDocument/2006/relationships/hyperlink" Target="https://africanmarketingconfederation.org/amc-conference-2022-thank-you/" TargetMode="External" Id="rId1520"/><Relationship Type="http://schemas.openxmlformats.org/officeDocument/2006/relationships/hyperlink" Target="#FixPlan!A23" TargetMode="External" Id="rId1521"/><Relationship Type="http://schemas.openxmlformats.org/officeDocument/2006/relationships/hyperlink" Target="https://africanmarketingconfederation.org/amc-conference-2022-thank-you/" TargetMode="External" Id="rId1522"/><Relationship Type="http://schemas.openxmlformats.org/officeDocument/2006/relationships/hyperlink" Target="#FixPlan!A24" TargetMode="External" Id="rId1523"/><Relationship Type="http://schemas.openxmlformats.org/officeDocument/2006/relationships/hyperlink" Target="https://africanmarketingconfederation.org/amc-conference-2022-thank-you/" TargetMode="External" Id="rId1524"/><Relationship Type="http://schemas.openxmlformats.org/officeDocument/2006/relationships/hyperlink" Target="#FixPlan!A25" TargetMode="External" Id="rId1525"/><Relationship Type="http://schemas.openxmlformats.org/officeDocument/2006/relationships/hyperlink" Target="https://africanmarketingconfederation.org/amc-conference-2022-thank-you/" TargetMode="External" Id="rId1526"/><Relationship Type="http://schemas.openxmlformats.org/officeDocument/2006/relationships/hyperlink" Target="#FixPlan!A26" TargetMode="External" Id="rId1527"/><Relationship Type="http://schemas.openxmlformats.org/officeDocument/2006/relationships/hyperlink" Target="https://africanmarketingconfederation.org/privacy-policy/" TargetMode="External" Id="rId1528"/><Relationship Type="http://schemas.openxmlformats.org/officeDocument/2006/relationships/hyperlink" Target="#FixPlan!A13" TargetMode="External" Id="rId1529"/><Relationship Type="http://schemas.openxmlformats.org/officeDocument/2006/relationships/hyperlink" Target="https://africanmarketingconfederation.org/privacy-policy/" TargetMode="External" Id="rId1530"/><Relationship Type="http://schemas.openxmlformats.org/officeDocument/2006/relationships/hyperlink" Target="#FixPlan!A12" TargetMode="External" Id="rId1531"/><Relationship Type="http://schemas.openxmlformats.org/officeDocument/2006/relationships/hyperlink" Target="https://africanmarketingconfederation.org/privacy-policy/" TargetMode="External" Id="rId1532"/><Relationship Type="http://schemas.openxmlformats.org/officeDocument/2006/relationships/hyperlink" Target="#FixPlan!A20" TargetMode="External" Id="rId1533"/><Relationship Type="http://schemas.openxmlformats.org/officeDocument/2006/relationships/hyperlink" Target="https://africanmarketingconfederation.org/privacy-policy/" TargetMode="External" Id="rId1534"/><Relationship Type="http://schemas.openxmlformats.org/officeDocument/2006/relationships/hyperlink" Target="#FixPlan!A21" TargetMode="External" Id="rId1535"/><Relationship Type="http://schemas.openxmlformats.org/officeDocument/2006/relationships/hyperlink" Target="https://africanmarketingconfederation.org/privacy-policy/" TargetMode="External" Id="rId1536"/><Relationship Type="http://schemas.openxmlformats.org/officeDocument/2006/relationships/hyperlink" Target="#FixPlan!A22" TargetMode="External" Id="rId1537"/><Relationship Type="http://schemas.openxmlformats.org/officeDocument/2006/relationships/hyperlink" Target="https://africanmarketingconfederation.org/privacy-policy/" TargetMode="External" Id="rId1538"/><Relationship Type="http://schemas.openxmlformats.org/officeDocument/2006/relationships/hyperlink" Target="#FixPlan!A23" TargetMode="External" Id="rId1539"/><Relationship Type="http://schemas.openxmlformats.org/officeDocument/2006/relationships/hyperlink" Target="https://africanmarketingconfederation.org/privacy-policy/" TargetMode="External" Id="rId1540"/><Relationship Type="http://schemas.openxmlformats.org/officeDocument/2006/relationships/hyperlink" Target="#FixPlan!A24" TargetMode="External" Id="rId1541"/><Relationship Type="http://schemas.openxmlformats.org/officeDocument/2006/relationships/hyperlink" Target="https://africanmarketingconfederation.org/privacy-policy/" TargetMode="External" Id="rId1542"/><Relationship Type="http://schemas.openxmlformats.org/officeDocument/2006/relationships/hyperlink" Target="#FixPlan!A25" TargetMode="External" Id="rId1543"/><Relationship Type="http://schemas.openxmlformats.org/officeDocument/2006/relationships/hyperlink" Target="https://africanmarketingconfederation.org/privacy-policy/" TargetMode="External" Id="rId1544"/><Relationship Type="http://schemas.openxmlformats.org/officeDocument/2006/relationships/hyperlink" Target="#FixPlan!A26" TargetMode="External" Id="rId1545"/><Relationship Type="http://schemas.openxmlformats.org/officeDocument/2006/relationships/hyperlink" Target="https://africanmarketingconfederation.org/speakers/" TargetMode="External" Id="rId1546"/><Relationship Type="http://schemas.openxmlformats.org/officeDocument/2006/relationships/hyperlink" Target="#FixPlan!A17" TargetMode="External" Id="rId1547"/><Relationship Type="http://schemas.openxmlformats.org/officeDocument/2006/relationships/hyperlink" Target="https://africanmarketingconfederation.org/speakers/" TargetMode="External" Id="rId1548"/><Relationship Type="http://schemas.openxmlformats.org/officeDocument/2006/relationships/hyperlink" Target="#FixPlan!A16" TargetMode="External" Id="rId1549"/><Relationship Type="http://schemas.openxmlformats.org/officeDocument/2006/relationships/hyperlink" Target="https://africanmarketingconfederation.org/speakers/" TargetMode="External" Id="rId1550"/><Relationship Type="http://schemas.openxmlformats.org/officeDocument/2006/relationships/hyperlink" Target="#FixPlan!A12" TargetMode="External" Id="rId1551"/><Relationship Type="http://schemas.openxmlformats.org/officeDocument/2006/relationships/hyperlink" Target="https://africanmarketingconfederation.org/speakers/" TargetMode="External" Id="rId1552"/><Relationship Type="http://schemas.openxmlformats.org/officeDocument/2006/relationships/hyperlink" Target="#FixPlan!A20" TargetMode="External" Id="rId1553"/><Relationship Type="http://schemas.openxmlformats.org/officeDocument/2006/relationships/hyperlink" Target="https://africanmarketingconfederation.org/speakers/" TargetMode="External" Id="rId1554"/><Relationship Type="http://schemas.openxmlformats.org/officeDocument/2006/relationships/hyperlink" Target="#FixPlan!A21" TargetMode="External" Id="rId1555"/><Relationship Type="http://schemas.openxmlformats.org/officeDocument/2006/relationships/hyperlink" Target="https://africanmarketingconfederation.org/speakers/" TargetMode="External" Id="rId1556"/><Relationship Type="http://schemas.openxmlformats.org/officeDocument/2006/relationships/hyperlink" Target="#FixPlan!A22" TargetMode="External" Id="rId1557"/><Relationship Type="http://schemas.openxmlformats.org/officeDocument/2006/relationships/hyperlink" Target="https://africanmarketingconfederation.org/speakers/" TargetMode="External" Id="rId1558"/><Relationship Type="http://schemas.openxmlformats.org/officeDocument/2006/relationships/hyperlink" Target="#FixPlan!A23" TargetMode="External" Id="rId1559"/><Relationship Type="http://schemas.openxmlformats.org/officeDocument/2006/relationships/hyperlink" Target="https://africanmarketingconfederation.org/speakers/" TargetMode="External" Id="rId1560"/><Relationship Type="http://schemas.openxmlformats.org/officeDocument/2006/relationships/hyperlink" Target="#FixPlan!A24" TargetMode="External" Id="rId1561"/><Relationship Type="http://schemas.openxmlformats.org/officeDocument/2006/relationships/hyperlink" Target="https://africanmarketingconfederation.org/speakers/" TargetMode="External" Id="rId1562"/><Relationship Type="http://schemas.openxmlformats.org/officeDocument/2006/relationships/hyperlink" Target="#FixPlan!A25" TargetMode="External" Id="rId1563"/><Relationship Type="http://schemas.openxmlformats.org/officeDocument/2006/relationships/hyperlink" Target="https://africanmarketingconfederation.org/speakers/" TargetMode="External" Id="rId1564"/><Relationship Type="http://schemas.openxmlformats.org/officeDocument/2006/relationships/hyperlink" Target="#FixPlan!A26" TargetMode="External" Id="rId1565"/></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publication-download-list/" TargetMode="External" Id="rId3"/><Relationship Type="http://schemas.openxmlformats.org/officeDocument/2006/relationships/hyperlink" Target="https://africanmarketingconfederation.org/launch-event-2026-amc-conference/" TargetMode="External" Id="rId4"/><Relationship Type="http://schemas.openxmlformats.org/officeDocument/2006/relationships/hyperlink" Target="https://africanmarketingconfederation.org/publications-2/" TargetMode="External" Id="rId5"/><Relationship Type="http://schemas.openxmlformats.org/officeDocument/2006/relationships/hyperlink" Target="https://africanmarketingconfederation.org/certified-professional-marketer-africa/" TargetMode="External" Id="rId6"/><Relationship Type="http://schemas.openxmlformats.org/officeDocument/2006/relationships/hyperlink" Target="https://africanmarketingconfederation.org/chartered-marketer-africa/" TargetMode="External" Id="rId7"/><Relationship Type="http://schemas.openxmlformats.org/officeDocument/2006/relationships/hyperlink" Target="https://africanmarketingconfederation.org/amc-conference-2026/"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amc-conference-2026-awards-nominations-thank-you/" TargetMode="External" Id="rId19"/><Relationship Type="http://schemas.openxmlformats.org/officeDocument/2006/relationships/hyperlink" Target="https://africanmarketingconfederation.org/speakers-2025/"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onference-faq-2025/" TargetMode="External" Id="rId36"/><Relationship Type="http://schemas.openxmlformats.org/officeDocument/2006/relationships/hyperlink" Target="https://africanmarketingconfederation.org/amc-marketing-conference-2024/amc-conference-2025-ghana-sponsors/" TargetMode="External" Id="rId37"/><Relationship Type="http://schemas.openxmlformats.org/officeDocument/2006/relationships/hyperlink" Target="https://africanmarketingconfederation.org/amc-forum-payments/" TargetMode="External" Id="rId38"/><Relationship Type="http://schemas.openxmlformats.org/officeDocument/2006/relationships/hyperlink" Target="https://africanmarketingconfederation.org/amc-marketing-conference-2024/amc-launch-event-2025/" TargetMode="External" Id="rId39"/><Relationship Type="http://schemas.openxmlformats.org/officeDocument/2006/relationships/hyperlink" Target="https://africanmarketingconfederation.org/checkout/"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amc-speakers-presentations-2024/" TargetMode="External" Id="rId44"/><Relationship Type="http://schemas.openxmlformats.org/officeDocument/2006/relationships/hyperlink" Target="https://africanmarketingconfederation.org/amc-marketing-conference-2024/testimony-thank-you-pag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marketing-conference-2024/"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download-prospectus-2024/" TargetMode="External" Id="rId50"/><Relationship Type="http://schemas.openxmlformats.org/officeDocument/2006/relationships/hyperlink" Target="https://africanmarketingconfederation.org/thank-you-for-registering-2024-registrations-kenya/" TargetMode="External" Id="rId51"/><Relationship Type="http://schemas.openxmlformats.org/officeDocument/2006/relationships/hyperlink" Target="https://africanmarketingconfederation.org/subscribe/" TargetMode="External" Id="rId52"/><Relationship Type="http://schemas.openxmlformats.org/officeDocument/2006/relationships/hyperlink" Target="https://africanmarketingconfederation.org/amc-marketing-conference-2024/speakers-2024/" TargetMode="External" Id="rId53"/><Relationship Type="http://schemas.openxmlformats.org/officeDocument/2006/relationships/hyperlink" Target="https://africanmarketingconfederation.org/amc-conference-sponsors/"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final-submission-fee/" TargetMode="External" Id="rId56"/><Relationship Type="http://schemas.openxmlformats.org/officeDocument/2006/relationships/hyperlink" Target="https://africanmarketingconfederation.org/chartered-marketer-africa-programme-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thank-you-for-the-submission-2024/" TargetMode="External" Id="rId60"/><Relationship Type="http://schemas.openxmlformats.org/officeDocument/2006/relationships/hyperlink" Target="https://africanmarketingconfederation.org/amc-conference-2024-sponsors-packages/"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programme/" TargetMode="External" Id="rId64"/><Relationship Type="http://schemas.openxmlformats.org/officeDocument/2006/relationships/hyperlink" Target="https://africanmarketingconfederation.org/amc-conference-2023/amc-awards/"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thank-you-for-subscribing/" TargetMode="External" Id="rId72"/><Relationship Type="http://schemas.openxmlformats.org/officeDocument/2006/relationships/hyperlink" Target="https://africanmarketingconfederation.org/amc-conference-2023/book-now-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amc-conference-thank-you/" TargetMode="External" Id="rId75"/><Relationship Type="http://schemas.openxmlformats.org/officeDocument/2006/relationships/hyperlink" Target="https://africanmarketingconfederation.org/amc-masterclass/" TargetMode="External" Id="rId76"/><Relationship Type="http://schemas.openxmlformats.org/officeDocument/2006/relationships/hyperlink" Target="https://africanmarketingconfederation.org/amc-relaunch-programme/"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test-homeslider/" TargetMode="External" Id="rId81"/><Relationship Type="http://schemas.openxmlformats.org/officeDocument/2006/relationships/hyperlink" Target="https://africanmarketingconfederation.org/virtual-programme/"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Y79"/>
  <sheetViews>
    <sheetView showGridLines="0" workbookViewId="0">
      <selection activeCell="A1" sqref="A1"/>
    </sheetView>
  </sheetViews>
  <sheetFormatPr baseColWidth="8" defaultRowHeight="15"/>
  <cols>
    <col width="3" customWidth="1" min="1" max="1"/>
    <col width="35" customWidth="1" min="2" max="2"/>
    <col width="20" customWidth="1" min="3" max="3"/>
    <col width="6" customWidth="1" min="4" max="4"/>
    <col width="6" customWidth="1" min="5" max="5"/>
    <col width="14" customWidth="1" min="6" max="6"/>
    <col width="7" customWidth="1" min="7" max="7"/>
    <col width="6" customWidth="1" min="8" max="8"/>
    <col width="12" customWidth="1" min="9" max="9"/>
    <col width="7" customWidth="1" min="10" max="10"/>
  </cols>
  <sheetData>
    <row r="1">
      <c r="A1" s="1" t="inlineStr">
        <is>
          <t>Metric</t>
        </is>
      </c>
      <c r="B1" s="2" t="inlineStr">
        <is>
          <t>Technical Audit Dashboard</t>
        </is>
      </c>
      <c r="C1" s="3" t="n"/>
      <c r="D1" s="3" t="n"/>
      <c r="E1" s="3" t="n"/>
      <c r="F1" s="3" t="n"/>
      <c r="G1" s="3" t="n"/>
      <c r="H1" s="3" t="n"/>
      <c r="I1" s="3" t="n"/>
      <c r="J1" s="3" t="n"/>
    </row>
    <row r="2" ht="30" customHeight="1">
      <c r="A2" s="4" t="inlineStr">
        <is>
          <t>URLs Crawled</t>
        </is>
      </c>
      <c r="B2" s="5" t="inlineStr">
        <is>
          <t>Executive SEO Performance Report</t>
        </is>
      </c>
      <c r="C2" s="6" t="n"/>
      <c r="D2" s="6" t="n"/>
      <c r="E2" s="6" t="n"/>
      <c r="F2" s="6" t="n"/>
      <c r="G2" s="6" t="n"/>
      <c r="H2" s="6" t="n"/>
      <c r="I2" s="6" t="n"/>
      <c r="J2" s="6" t="n"/>
    </row>
    <row r="3">
      <c r="A3" s="4" t="inlineStr">
        <is>
          <t>Pass Rate (%)</t>
        </is>
      </c>
      <c r="B3" s="6" t="n">
        <v>0</v>
      </c>
      <c r="C3" s="6" t="n"/>
      <c r="D3" s="6" t="n"/>
      <c r="E3" s="6" t="n"/>
      <c r="F3" s="6" t="n"/>
      <c r="G3" s="6" t="n"/>
      <c r="H3" s="6" t="n"/>
      <c r="I3" s="6" t="n"/>
      <c r="J3" s="6" t="n"/>
    </row>
    <row r="4">
      <c r="A4" s="4" t="inlineStr">
        <is>
          <t>Critical URL Count</t>
        </is>
      </c>
      <c r="B4" s="7" t="inlineStr">
        <is>
          <t>EXECUTIVE METRICS</t>
        </is>
      </c>
      <c r="C4" s="7" t="inlineStr">
        <is>
          <t>Value</t>
        </is>
      </c>
      <c r="D4" s="6" t="n"/>
      <c r="E4" s="6" t="n"/>
      <c r="F4" s="6" t="n"/>
      <c r="G4" s="6" t="n"/>
      <c r="H4" s="6" t="n"/>
      <c r="I4" s="6" t="n"/>
      <c r="J4" s="6" t="n"/>
    </row>
    <row r="5">
      <c r="A5" s="4" t="inlineStr">
        <is>
          <t>Warning URL Count</t>
        </is>
      </c>
      <c r="B5" s="8">
        <f>HYPERLINK("#Main!A1","Total URLs")</f>
        <v/>
      </c>
      <c r="C5" s="9" t="n">
        <v>85</v>
      </c>
      <c r="D5" s="6" t="n"/>
      <c r="E5" s="6" t="n"/>
      <c r="F5" s="6" t="n"/>
      <c r="G5" s="6" t="n"/>
      <c r="H5" s="6" t="n"/>
      <c r="I5" s="6" t="n"/>
      <c r="J5" s="6" t="n"/>
    </row>
    <row r="6">
      <c r="A6" s="4" t="inlineStr">
        <is>
          <t>Status Distribution</t>
        </is>
      </c>
      <c r="B6" s="8">
        <f>HYPERLINK("#Summary!A1","Overall Health Score")</f>
        <v/>
      </c>
      <c r="C6" s="10">
        <f>IFERROR(56.81/100,0)</f>
        <v/>
      </c>
      <c r="D6" s="6" t="n"/>
      <c r="E6" s="6" t="n"/>
      <c r="F6" s="6" t="n"/>
      <c r="G6" s="6" t="n"/>
      <c r="H6" s="6" t="n"/>
      <c r="I6" s="6" t="n"/>
      <c r="J6" s="6" t="n"/>
    </row>
    <row r="7">
      <c r="A7" s="4" t="inlineStr">
        <is>
          <t>Score Bands</t>
        </is>
      </c>
      <c r="B7" s="8">
        <f>HYPERLINK("#Summary!A1","SEO Pass Rate %")</f>
        <v/>
      </c>
      <c r="C7" s="10">
        <f>IFERROR(0/85,0)</f>
        <v/>
      </c>
      <c r="D7" s="6" t="n"/>
      <c r="E7" s="6" t="n"/>
      <c r="F7" s="6" t="n"/>
      <c r="G7" s="6" t="n"/>
      <c r="H7" s="6" t="n"/>
      <c r="I7" s="6" t="n"/>
      <c r="J7" s="6" t="n"/>
    </row>
    <row r="8">
      <c r="A8" s="4" t="n"/>
      <c r="B8" s="8">
        <f>HYPERLINK("#Technical!A1","Pass URLs")</f>
        <v/>
      </c>
      <c r="C8" s="9" t="n">
        <v>0</v>
      </c>
      <c r="D8" s="6" t="n"/>
      <c r="E8" s="6" t="n"/>
      <c r="F8" s="6" t="n"/>
      <c r="G8" s="6" t="n"/>
      <c r="H8" s="6" t="n"/>
      <c r="I8" s="6" t="n"/>
      <c r="J8" s="6" t="n"/>
    </row>
    <row r="9">
      <c r="A9" s="4" t="n"/>
      <c r="B9" s="8">
        <f>HYPERLINK("#FixPlan!A1","Critical URLs")</f>
        <v/>
      </c>
      <c r="C9" s="9" t="n">
        <v>4</v>
      </c>
      <c r="D9" s="6" t="n"/>
      <c r="E9" s="6" t="n"/>
      <c r="F9" s="6" t="n"/>
      <c r="G9" s="6" t="n"/>
      <c r="H9" s="6" t="n"/>
      <c r="I9" s="6" t="n"/>
      <c r="J9" s="6" t="n"/>
    </row>
    <row r="10">
      <c r="A10" s="11" t="inlineStr">
        <is>
          <t>Issue Type</t>
        </is>
      </c>
      <c r="B10" s="12">
        <f>HYPERLINK("#Technical!A1","Warning URLs")</f>
        <v/>
      </c>
      <c r="C10" s="13" t="n">
        <v>166</v>
      </c>
      <c r="D10" s="6" t="n"/>
      <c r="E10" s="6" t="n"/>
      <c r="F10" s="14" t="inlineStr">
        <is>
          <t>Status Class</t>
        </is>
      </c>
      <c r="G10" s="14" t="inlineStr">
        <is>
          <t>Count</t>
        </is>
      </c>
      <c r="H10" s="6" t="n"/>
      <c r="I10" s="14" t="inlineStr">
        <is>
          <t>Score Band</t>
        </is>
      </c>
      <c r="J10" s="14" t="inlineStr">
        <is>
          <t>Count</t>
        </is>
      </c>
    </row>
    <row r="11">
      <c r="A11" s="4" t="inlineStr">
        <is>
          <t>No Compression Header</t>
        </is>
      </c>
      <c r="B11" s="8">
        <f>HYPERLINK("#Technical!A1","Error Rate % (4xx/5xx)")</f>
        <v/>
      </c>
      <c r="C11" s="10">
        <f>IFERROR(2/85,0)</f>
        <v/>
      </c>
      <c r="D11" s="6" t="n"/>
      <c r="E11" s="6" t="n"/>
      <c r="F11" s="6" t="inlineStr">
        <is>
          <t>2xx</t>
        </is>
      </c>
      <c r="G11" s="6" t="n">
        <v>83</v>
      </c>
      <c r="H11" s="6" t="n"/>
      <c r="I11" s="6" t="inlineStr">
        <is>
          <t>90-100</t>
        </is>
      </c>
      <c r="J11" s="6" t="n">
        <v>0</v>
      </c>
    </row>
    <row r="12">
      <c r="A12" s="4" t="inlineStr">
        <is>
          <t>No Cache-Control Header</t>
        </is>
      </c>
      <c r="B12" s="8">
        <f>HYPERLINK("#Technical!A1","Crawl Success Rate % (2xx)")</f>
        <v/>
      </c>
      <c r="C12" s="15">
        <f>IFERROR(83/85,0)</f>
        <v/>
      </c>
      <c r="D12" s="6" t="n"/>
      <c r="E12" s="6" t="n"/>
      <c r="F12" s="6" t="inlineStr">
        <is>
          <t>4xx</t>
        </is>
      </c>
      <c r="G12" s="6" t="n">
        <v>2</v>
      </c>
      <c r="H12" s="6" t="n"/>
      <c r="I12" s="6" t="inlineStr">
        <is>
          <t>70-89</t>
        </is>
      </c>
      <c r="J12" s="6" t="n">
        <v>0</v>
      </c>
    </row>
    <row r="13">
      <c r="A13" s="4" t="inlineStr">
        <is>
          <t>No ETag Header</t>
        </is>
      </c>
      <c r="B13" s="8">
        <f>HYPERLINK("#Technical!A1","Critical URL Rate %")</f>
        <v/>
      </c>
      <c r="C13" s="10">
        <f>IFERROR(4/85,0)</f>
        <v/>
      </c>
      <c r="D13" s="6" t="n"/>
      <c r="E13" s="6" t="n"/>
      <c r="F13" s="6" t="n"/>
      <c r="G13" s="6" t="n"/>
      <c r="H13" s="6" t="n"/>
      <c r="I13" s="6" t="inlineStr">
        <is>
          <t>&lt;70</t>
        </is>
      </c>
      <c r="J13" s="6" t="n">
        <v>85</v>
      </c>
    </row>
    <row r="14">
      <c r="A14" s="4" t="inlineStr">
        <is>
          <t>No FAQ/QA Schema</t>
        </is>
      </c>
      <c r="B14" s="8">
        <f>HYPERLINK("#Technical!A1","Warning URL Rate %")</f>
        <v/>
      </c>
      <c r="C14" s="10">
        <f>IFERROR(166/85,0)</f>
        <v/>
      </c>
      <c r="D14" s="6" t="n"/>
      <c r="E14" s="6" t="n"/>
      <c r="F14" s="6" t="n"/>
      <c r="G14" s="6" t="n"/>
      <c r="H14" s="6" t="n"/>
      <c r="I14" s="6" t="n"/>
      <c r="J14" s="6" t="n"/>
    </row>
    <row r="15">
      <c r="A15" s="4" t="inlineStr">
        <is>
          <t>No Question Headings</t>
        </is>
      </c>
      <c r="B15" s="6" t="inlineStr">
        <is>
          <t>Info</t>
        </is>
      </c>
      <c r="C15" s="6" t="n">
        <v>85</v>
      </c>
      <c r="D15" s="6" t="n"/>
      <c r="E15" s="6" t="n"/>
      <c r="F15" s="6" t="n"/>
      <c r="G15" s="6" t="n"/>
      <c r="H15" s="6" t="n"/>
      <c r="I15" s="6" t="n"/>
      <c r="J15" s="6" t="n"/>
    </row>
    <row r="16">
      <c r="A16" s="4" t="inlineStr">
        <is>
          <t>No Answer-Friendly Structure</t>
        </is>
      </c>
      <c r="B16" s="16" t="inlineStr">
        <is>
          <t>Status</t>
        </is>
      </c>
      <c r="C16" s="16" t="inlineStr">
        <is>
          <t>Count</t>
        </is>
      </c>
      <c r="D16" s="6" t="n"/>
      <c r="E16" s="6" t="n"/>
      <c r="F16" s="6" t="n"/>
      <c r="G16" s="6" t="n"/>
      <c r="H16" s="6" t="n"/>
      <c r="I16" s="6" t="n"/>
      <c r="J16" s="6" t="n"/>
    </row>
    <row r="17">
      <c r="A17" s="4" t="inlineStr">
        <is>
          <t>No 40-60 Word Answer Paragraphs</t>
        </is>
      </c>
      <c r="B17" s="17" t="inlineStr">
        <is>
          <t>200 OK</t>
        </is>
      </c>
      <c r="C17" s="17" t="n">
        <v>83</v>
      </c>
      <c r="D17" s="6" t="n"/>
      <c r="E17" s="6" t="n"/>
      <c r="F17" s="6" t="n"/>
      <c r="G17" s="6" t="n"/>
      <c r="H17" s="6" t="n"/>
      <c r="I17" s="6" t="n"/>
      <c r="J17" s="6" t="n"/>
    </row>
    <row r="18">
      <c r="A18" s="4" t="inlineStr">
        <is>
          <t>Low AEO Readiness Score</t>
        </is>
      </c>
      <c r="B18" s="18" t="inlineStr">
        <is>
          <t>3xx Redirects</t>
        </is>
      </c>
      <c r="C18" s="18" t="n">
        <v>0</v>
      </c>
      <c r="D18" s="6" t="n"/>
      <c r="E18" s="6" t="n"/>
      <c r="F18" s="6" t="n"/>
      <c r="G18" s="6" t="n"/>
      <c r="H18" s="6" t="n"/>
      <c r="I18" s="6" t="n"/>
      <c r="J18" s="6" t="n"/>
    </row>
    <row r="19">
      <c r="A19" s="4" t="inlineStr">
        <is>
          <t>Thin Content</t>
        </is>
      </c>
      <c r="B19" s="19" t="inlineStr">
        <is>
          <t>4xx Errors</t>
        </is>
      </c>
      <c r="C19" s="19" t="n">
        <v>2</v>
      </c>
      <c r="D19" s="6" t="n"/>
      <c r="E19" s="6" t="n"/>
      <c r="F19" s="6" t="n"/>
      <c r="G19" s="6" t="n"/>
      <c r="H19" s="6" t="n"/>
      <c r="I19" s="6" t="n"/>
      <c r="J19" s="6" t="n"/>
    </row>
    <row r="20">
      <c r="A20" s="4" t="inlineStr">
        <is>
          <t>Missing H1</t>
        </is>
      </c>
      <c r="B20" s="19" t="inlineStr">
        <is>
          <t>5xx Errors</t>
        </is>
      </c>
      <c r="C20" s="19" t="n">
        <v>0</v>
      </c>
      <c r="D20" s="6" t="n"/>
      <c r="E20" s="6" t="n"/>
      <c r="F20" s="6" t="n"/>
      <c r="G20" s="6" t="n"/>
      <c r="H20" s="6" t="n"/>
      <c r="I20" s="6" t="n"/>
      <c r="J20" s="6" t="n"/>
    </row>
    <row r="21">
      <c r="B21" s="18" t="inlineStr">
        <is>
          <t>Other</t>
        </is>
      </c>
      <c r="C21" s="18" t="n">
        <v>0</v>
      </c>
    </row>
    <row r="22">
      <c r="B22" s="20" t="n"/>
      <c r="C22" s="20" t="n"/>
    </row>
    <row r="23">
      <c r="B23" s="16" t="inlineStr">
        <is>
          <t>Severity</t>
        </is>
      </c>
      <c r="C23" s="16" t="inlineStr">
        <is>
          <t>Count</t>
        </is>
      </c>
    </row>
    <row r="24">
      <c r="B24" s="19" t="inlineStr">
        <is>
          <t>Critical</t>
        </is>
      </c>
      <c r="C24" s="19" t="n">
        <v>5</v>
      </c>
    </row>
    <row r="25">
      <c r="B25" s="18" t="inlineStr">
        <is>
          <t>Warning</t>
        </is>
      </c>
      <c r="C25" s="18" t="n">
        <v>11</v>
      </c>
    </row>
    <row r="26">
      <c r="B26" s="18" t="inlineStr">
        <is>
          <t>Medium</t>
        </is>
      </c>
      <c r="C26" s="18" t="n">
        <v>0</v>
      </c>
    </row>
    <row r="27">
      <c r="B27" s="17" t="inlineStr">
        <is>
          <t>Low</t>
        </is>
      </c>
      <c r="C27" s="17" t="n">
        <v>10</v>
      </c>
    </row>
    <row r="28"/>
    <row r="29">
      <c r="B29" s="16" t="inlineStr">
        <is>
          <t>PRIORITY SNAPSHOT</t>
        </is>
      </c>
      <c r="C29" s="16" t="inlineStr">
        <is>
          <t>Value</t>
        </is>
      </c>
    </row>
    <row r="30">
      <c r="B30" s="21" t="inlineStr">
        <is>
          <t>Top Blocking Issue</t>
        </is>
      </c>
      <c r="C30" s="21" t="inlineStr">
        <is>
          <t>No Compression Header</t>
        </is>
      </c>
    </row>
    <row r="31">
      <c r="B31" s="21" t="inlineStr">
        <is>
          <t>Top Issue Affected URLs</t>
        </is>
      </c>
      <c r="C31" s="21" t="n">
        <v>85</v>
      </c>
    </row>
    <row r="32">
      <c r="B32" s="21" t="inlineStr">
        <is>
          <t>4xx/5xx URLs</t>
        </is>
      </c>
      <c r="C32" s="21" t="n">
        <v>2</v>
      </c>
    </row>
    <row r="33">
      <c r="B33" s="21" t="inlineStr">
        <is>
          <t>Avg TTFB (ms)</t>
        </is>
      </c>
      <c r="C33" s="21" t="n">
        <v>252.37</v>
      </c>
    </row>
    <row r="34"/>
    <row r="35">
      <c r="B35" s="16" t="inlineStr">
        <is>
          <t>Quick Navigation</t>
        </is>
      </c>
      <c r="C35" s="16" t="inlineStr">
        <is>
          <t>Open</t>
        </is>
      </c>
    </row>
    <row r="36">
      <c r="B36" s="21" t="inlineStr">
        <is>
          <t>Fix Plan</t>
        </is>
      </c>
      <c r="C36" s="22">
        <f>HYPERLINK("#FixPlan!A1","Open")</f>
        <v/>
      </c>
    </row>
    <row r="37">
      <c r="B37" s="21" t="inlineStr">
        <is>
          <t>Main URL Data</t>
        </is>
      </c>
      <c r="C37" s="22">
        <f>HYPERLINK("#Main!A1","Open")</f>
        <v/>
      </c>
    </row>
    <row r="38">
      <c r="B38" s="21" t="inlineStr">
        <is>
          <t>Technical Diagnostics</t>
        </is>
      </c>
      <c r="C38" s="22">
        <f>HYPERLINK("#Technical!A1","Open")</f>
        <v/>
      </c>
    </row>
    <row r="39">
      <c r="B39" s="21" t="inlineStr">
        <is>
          <t>Indexability</t>
        </is>
      </c>
      <c r="C39" s="22">
        <f>HYPERLINK("#Indexability!A1","Open")</f>
        <v/>
      </c>
    </row>
    <row r="40">
      <c r="B40" s="21" t="inlineStr">
        <is>
          <t>AEO Opportunities</t>
        </is>
      </c>
      <c r="C40" s="22">
        <f>HYPERLINK("#AEO!A1","Open")</f>
        <v/>
      </c>
    </row>
    <row r="41">
      <c r="B41" s="21" t="inlineStr">
        <is>
          <t>AIOSEO Action Queue</t>
        </is>
      </c>
      <c r="C41" s="22">
        <f>HYPERLINK("#AIOSEO!A1","Open")</f>
        <v/>
      </c>
    </row>
    <row r="42">
      <c r="B42" s="16" t="inlineStr">
        <is>
          <t>TOP ISSUES TO FIX FIRST</t>
        </is>
      </c>
      <c r="C42" s="16" t="inlineStr">
        <is>
          <t>Affected URLs</t>
        </is>
      </c>
    </row>
    <row r="43">
      <c r="B43" s="22">
        <f>HYPERLINK("#FixPlan!A9","Low AEO Readiness Score")</f>
        <v/>
      </c>
      <c r="C43" s="21" t="n">
        <v>85</v>
      </c>
    </row>
    <row r="44">
      <c r="B44" s="22">
        <f>HYPERLINK("#FixPlan!A8","No 40-60 Word Answer Paragraphs")</f>
        <v/>
      </c>
      <c r="C44" s="21" t="n">
        <v>85</v>
      </c>
    </row>
    <row r="45">
      <c r="B45" s="22">
        <f>HYPERLINK("#FixPlan!A7","No Answer-Friendly Structure")</f>
        <v/>
      </c>
      <c r="C45" s="21" t="n">
        <v>85</v>
      </c>
    </row>
    <row r="46">
      <c r="B46" s="22">
        <f>HYPERLINK("#FixPlan!A3","No Cache-Control Header")</f>
        <v/>
      </c>
      <c r="C46" s="21" t="n">
        <v>85</v>
      </c>
    </row>
    <row r="47">
      <c r="B47" s="22">
        <f>HYPERLINK("#FixPlan!A2","No Compression Header")</f>
        <v/>
      </c>
      <c r="C47" s="21" t="n">
        <v>85</v>
      </c>
    </row>
    <row r="48"/>
    <row r="49"/>
    <row r="50"/>
    <row r="51"/>
    <row r="52"/>
    <row r="53"/>
    <row r="54"/>
    <row r="55"/>
    <row r="56"/>
    <row r="57"/>
    <row r="58"/>
    <row r="59"/>
    <row r="60"/>
    <row r="61"/>
    <row r="62"/>
    <row r="63"/>
    <row r="64"/>
    <row r="65"/>
    <row r="66"/>
    <row r="67"/>
    <row r="68"/>
    <row r="69"/>
    <row r="70"/>
    <row r="71"/>
    <row r="72"/>
    <row r="73"/>
    <row r="74"/>
    <row r="75"/>
    <row r="76"/>
    <row r="77"/>
    <row r="78"/>
    <row r="79"/>
  </sheetData>
  <autoFilter ref="A1:J20"/>
  <dataValidations count="21">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30" showDropDown="0" showInputMessage="1" showErrorMessage="0" allowBlank="1" promptTitle="KPI C30" prompt="Most widespread issue from FixPlan by affected URL count." type="custom">
      <formula1>TRUE</formula1>
    </dataValidation>
    <dataValidation sqref="C31" showDropDown="0" showInputMessage="1" showErrorMessage="0" allowBlank="1" promptTitle="KPI C31" prompt="Number of URLs impacted by the top blocking issue." type="custom">
      <formula1>TRUE</formula1>
    </dataValidation>
    <dataValidation sqref="C32" showDropDown="0" showInputMessage="1" showErrorMessage="0" allowBlank="1" promptTitle="KPI C32" prompt="Total URLs returning client/server errors (4xx + 5xx)." type="custom">
      <formula1>TRUE</formula1>
    </dataValidation>
    <dataValidation sqref="C33" showDropDown="0" showInputMessage="1" showErrorMessage="0" allowBlank="1" promptTitle="KPI C33" prompt="Average Time to First Byte across Technical URLs (ms)." type="custom">
      <formula1>TRUE</formula1>
    </dataValidation>
    <dataValidation sqref="C43" showDropDown="0" showInputMessage="1" showErrorMessage="0" allowBlank="1" promptTitle="KPI C43" prompt="Affected URL count for the highest-priority issue (linked to FixPlan)." type="custom">
      <formula1>TRUE</formula1>
    </dataValidation>
    <dataValidation sqref="C44" showDropDown="0" showInputMessage="1" showErrorMessage="0" allowBlank="1" promptTitle="KPI C44" prompt="Affected URL count for the next issue in the priority list." type="custom">
      <formula1>TRUE</formula1>
    </dataValidation>
    <dataValidation sqref="C45" showDropDown="0" showInputMessage="1" showErrorMessage="0" allowBlank="1" promptTitle="KPI C45" prompt="Affected URL count for the next issue in the priority list."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9" customWidth="1" min="2" max="2"/>
    <col width="58" customWidth="1" min="3" max="3"/>
    <col width="38" customWidth="1" min="4" max="4"/>
    <col width="37" customWidth="1" min="5" max="5"/>
  </cols>
  <sheetData>
    <row r="1">
      <c r="A1" s="1" t="inlineStr">
        <is>
          <t>Section</t>
        </is>
      </c>
      <c r="B1" s="1" t="inlineStr">
        <is>
          <t>Term</t>
        </is>
      </c>
      <c r="C1" s="1" t="inlineStr">
        <is>
          <t>Meaning</t>
        </is>
      </c>
      <c r="D1" s="1" t="inlineStr">
        <is>
          <t>Values/Threshold</t>
        </is>
      </c>
      <c r="E1" s="1" t="inlineStr">
        <is>
          <t>Related Tabs</t>
        </is>
      </c>
      <c r="F1" s="23" t="inlineStr">
        <is>
          <t>BACK TO DASHBOARD</t>
        </is>
      </c>
    </row>
    <row r="2">
      <c r="A2" s="4" t="inlineStr">
        <is>
          <t>Severity</t>
        </is>
      </c>
      <c r="B2" s="24" t="inlineStr">
        <is>
          <t>Critical</t>
        </is>
      </c>
      <c r="C2" s="24" t="inlineStr">
        <is>
          <t>High-impact SEO blocker that should be fixed first.</t>
        </is>
      </c>
      <c r="D2" s="24" t="inlineStr">
        <is>
          <t>Immediate action</t>
        </is>
      </c>
      <c r="E2" s="24" t="inlineStr">
        <is>
          <t>Summary, FixPlan, Technical</t>
        </is>
      </c>
    </row>
    <row r="3">
      <c r="A3" s="4" t="inlineStr">
        <is>
          <t>Severity</t>
        </is>
      </c>
      <c r="B3" s="6" t="inlineStr">
        <is>
          <t>Warning</t>
        </is>
      </c>
      <c r="C3" s="6" t="inlineStr">
        <is>
          <t>Out-of-best-practice issue likely affecting performance.</t>
        </is>
      </c>
      <c r="D3" s="6" t="inlineStr">
        <is>
          <t>Plan next sprint</t>
        </is>
      </c>
      <c r="E3" s="6" t="inlineStr">
        <is>
          <t>Summary, FixPlan, Technical</t>
        </is>
      </c>
    </row>
    <row r="4">
      <c r="A4" s="4" t="inlineStr">
        <is>
          <t>Severity</t>
        </is>
      </c>
      <c r="B4" s="24" t="inlineStr">
        <is>
          <t>Info</t>
        </is>
      </c>
      <c r="C4" s="24" t="inlineStr">
        <is>
          <t>Optimization opportunity or context signal.</t>
        </is>
      </c>
      <c r="D4" s="24" t="inlineStr">
        <is>
          <t>Backlog/monitor</t>
        </is>
      </c>
      <c r="E4" s="24" t="inlineStr">
        <is>
          <t>Summary, Technical</t>
        </is>
      </c>
    </row>
    <row r="5">
      <c r="A5" s="4" t="inlineStr">
        <is>
          <t>Scoring</t>
        </is>
      </c>
      <c r="B5" s="6" t="inlineStr">
        <is>
          <t>SEO Health Score</t>
        </is>
      </c>
      <c r="C5" s="6" t="inlineStr">
        <is>
          <t>Weighted technical SEO quality score per URL.</t>
        </is>
      </c>
      <c r="D5" s="6" t="inlineStr">
        <is>
          <t>&gt;=90 green, 70-89 yellow, &lt;70 red</t>
        </is>
      </c>
      <c r="E5" s="6" t="inlineStr">
        <is>
          <t>Technical, Priority URLs, Dashboard</t>
        </is>
      </c>
    </row>
    <row r="6">
      <c r="A6" s="4" t="inlineStr">
        <is>
          <t>Scoring</t>
        </is>
      </c>
      <c r="B6" s="24" t="inlineStr">
        <is>
          <t>AEO Readiness Score</t>
        </is>
      </c>
      <c r="C6" s="24" t="inlineStr">
        <is>
          <t>Answer Engine Optimization readiness score per URL.</t>
        </is>
      </c>
      <c r="D6" s="24" t="inlineStr">
        <is>
          <t>&gt;=80 strong, 60-79 good, 40-59 fair</t>
        </is>
      </c>
      <c r="E6" s="24" t="inlineStr">
        <is>
          <t>AEO</t>
        </is>
      </c>
    </row>
    <row r="7">
      <c r="A7" s="4" t="inlineStr">
        <is>
          <t>Indexing</t>
        </is>
      </c>
      <c r="B7" s="6" t="inlineStr">
        <is>
          <t>Indexability Reason</t>
        </is>
      </c>
      <c r="C7" s="6" t="inlineStr">
        <is>
          <t>Primary reason URL may not be indexed.</t>
        </is>
      </c>
      <c r="D7" s="6" t="inlineStr">
        <is>
          <t>Noindex, non-200, canonical mismatch</t>
        </is>
      </c>
      <c r="E7" s="6" t="inlineStr">
        <is>
          <t>Indexability, Technical</t>
        </is>
      </c>
    </row>
    <row r="8">
      <c r="A8" s="4" t="inlineStr">
        <is>
          <t>Links</t>
        </is>
      </c>
      <c r="B8" s="24" t="inlineStr">
        <is>
          <t>Broken Internal Links Count</t>
        </is>
      </c>
      <c r="C8" s="24" t="inlineStr">
        <is>
          <t>Internal links returning 4xx/5xx or equivalent failures.</t>
        </is>
      </c>
      <c r="D8" s="24" t="inlineStr">
        <is>
          <t>&gt;0 flagged</t>
        </is>
      </c>
      <c r="E8" s="24" t="inlineStr">
        <is>
          <t>Links, LinksDetail, Priority URLs</t>
        </is>
      </c>
    </row>
    <row r="9">
      <c r="A9" s="4" t="inlineStr">
        <is>
          <t>Content</t>
        </is>
      </c>
      <c r="B9" s="6" t="inlineStr">
        <is>
          <t>Word Count Band</t>
        </is>
      </c>
      <c r="C9" s="6" t="inlineStr">
        <is>
          <t>Body content depth class.</t>
        </is>
      </c>
      <c r="D9" s="6" t="inlineStr">
        <is>
          <t>Thin / OK / Strong</t>
        </is>
      </c>
      <c r="E9" s="6" t="inlineStr">
        <is>
          <t>Content</t>
        </is>
      </c>
    </row>
    <row r="10">
      <c r="A10" s="4" t="inlineStr">
        <is>
          <t>AEO</t>
        </is>
      </c>
      <c r="B10" s="24" t="inlineStr">
        <is>
          <t>Question Heading Count</t>
        </is>
      </c>
      <c r="C10" s="24" t="inlineStr">
        <is>
          <t>Headings phrased as questions to match answer intent.</t>
        </is>
      </c>
      <c r="D10" s="24" t="inlineStr">
        <is>
          <t>Higher is generally better</t>
        </is>
      </c>
      <c r="E10" s="24" t="inlineStr">
        <is>
          <t>AEO</t>
        </is>
      </c>
    </row>
    <row r="11">
      <c r="A11" s="4" t="inlineStr">
        <is>
          <t>Color Key</t>
        </is>
      </c>
      <c r="B11" s="6" t="inlineStr">
        <is>
          <t>Green</t>
        </is>
      </c>
      <c r="C11" s="6" t="inlineStr">
        <is>
          <t>Pass / aligned with best practice.</t>
        </is>
      </c>
      <c r="D11" s="6" t="inlineStr">
        <is>
          <t>Good</t>
        </is>
      </c>
      <c r="E11" s="6" t="inlineStr">
        <is>
          <t>All</t>
        </is>
      </c>
    </row>
    <row r="12">
      <c r="A12" s="4" t="inlineStr">
        <is>
          <t>Color Key</t>
        </is>
      </c>
      <c r="B12" s="24" t="inlineStr">
        <is>
          <t>Yellow</t>
        </is>
      </c>
      <c r="C12" s="24" t="inlineStr">
        <is>
          <t>Warning / needs attention soon.</t>
        </is>
      </c>
      <c r="D12" s="24" t="inlineStr">
        <is>
          <t>Medium risk</t>
        </is>
      </c>
      <c r="E12" s="24" t="inlineStr">
        <is>
          <t>All</t>
        </is>
      </c>
    </row>
    <row r="13">
      <c r="A13" s="4" t="inlineStr">
        <is>
          <t>Color Key</t>
        </is>
      </c>
      <c r="B13" s="6" t="inlineStr">
        <is>
          <t>Red</t>
        </is>
      </c>
      <c r="C13" s="6" t="inlineStr">
        <is>
          <t>Failure / high-priority issue.</t>
        </is>
      </c>
      <c r="D13" s="6" t="inlineStr">
        <is>
          <t>High risk</t>
        </is>
      </c>
      <c r="E13" s="6" t="inlineStr">
        <is>
          <t>All</t>
        </is>
      </c>
    </row>
    <row r="14">
      <c r="A14" s="4" t="inlineStr">
        <is>
          <t>Color Key</t>
        </is>
      </c>
      <c r="B14" s="24" t="inlineStr">
        <is>
          <t>Purple</t>
        </is>
      </c>
      <c r="C14" s="24" t="inlineStr">
        <is>
          <t>Informational edge-case or AEO category signal.</t>
        </is>
      </c>
      <c r="D14" s="24" t="inlineStr">
        <is>
          <t>Context</t>
        </is>
      </c>
      <c r="E14" s="24" t="inlineStr">
        <is>
          <t>All</t>
        </is>
      </c>
    </row>
  </sheetData>
  <autoFilter ref="A1:E14"/>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60" customWidth="1" min="3" max="3"/>
    <col width="20" customWidth="1" min="4" max="4"/>
    <col width="18" customWidth="1" min="5" max="5"/>
    <col width="60" customWidth="1" min="6" max="6"/>
  </cols>
  <sheetData>
    <row r="1">
      <c r="A1" s="1" t="inlineStr">
        <is>
          <t>Section</t>
        </is>
      </c>
      <c r="B1" s="1" t="inlineStr">
        <is>
          <t>Severity</t>
        </is>
      </c>
      <c r="C1" s="1" t="inlineStr">
        <is>
          <t>Issue</t>
        </is>
      </c>
      <c r="D1" s="1" t="inlineStr">
        <is>
          <t>Affected URL Count</t>
        </is>
      </c>
      <c r="E1" s="1" t="inlineStr">
        <is>
          <t>Reference Tab</t>
        </is>
      </c>
      <c r="F1" s="1" t="inlineStr">
        <is>
          <t>Affected URLs (sample)</t>
        </is>
      </c>
      <c r="G1" s="23" t="inlineStr">
        <is>
          <t>BACK TO DASHBOARD</t>
        </is>
      </c>
    </row>
    <row r="2">
      <c r="A2" s="24" t="inlineStr">
        <is>
          <t>AEO Opportunities</t>
        </is>
      </c>
      <c r="B2" s="25" t="inlineStr">
        <is>
          <t>Warning</t>
        </is>
      </c>
      <c r="C2" s="26" t="inlineStr">
        <is>
          <t>Low AEO Readiness Score</t>
        </is>
      </c>
      <c r="D2" s="27" t="n">
        <v>85</v>
      </c>
      <c r="E2" s="28" t="inlineStr">
        <is>
          <t>AEO</t>
        </is>
      </c>
      <c r="F2" s="27"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3">
      <c r="A3" s="4" t="inlineStr">
        <is>
          <t>AEO Opportunities</t>
        </is>
      </c>
      <c r="B3" s="29" t="inlineStr">
        <is>
          <t>Info</t>
        </is>
      </c>
      <c r="C3" s="26" t="inlineStr">
        <is>
          <t>No 40-60 Word Answer Paragraphs</t>
        </is>
      </c>
      <c r="D3" s="30" t="n">
        <v>85</v>
      </c>
      <c r="E3" s="31" t="inlineStr">
        <is>
          <t>AEO</t>
        </is>
      </c>
      <c r="F3" s="30"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4">
      <c r="A4" s="4" t="inlineStr">
        <is>
          <t>AEO Opportunities</t>
        </is>
      </c>
      <c r="B4" s="29" t="inlineStr">
        <is>
          <t>Info</t>
        </is>
      </c>
      <c r="C4" s="26" t="inlineStr">
        <is>
          <t>No Answer-Friendly Structure</t>
        </is>
      </c>
      <c r="D4" s="27" t="n">
        <v>85</v>
      </c>
      <c r="E4" s="28" t="inlineStr">
        <is>
          <t>AEO</t>
        </is>
      </c>
      <c r="F4" s="27"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5">
      <c r="A5" s="4" t="inlineStr">
        <is>
          <t>AEO Opportunities</t>
        </is>
      </c>
      <c r="B5" s="29" t="inlineStr">
        <is>
          <t>Info</t>
        </is>
      </c>
      <c r="C5" s="26" t="inlineStr">
        <is>
          <t>No FAQ/QA Schema</t>
        </is>
      </c>
      <c r="D5" s="30" t="n">
        <v>85</v>
      </c>
      <c r="E5" s="31" t="inlineStr">
        <is>
          <t>AEO</t>
        </is>
      </c>
      <c r="F5" s="30"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6">
      <c r="A6" s="4" t="inlineStr">
        <is>
          <t>AEO Opportunities</t>
        </is>
      </c>
      <c r="B6" s="29" t="inlineStr">
        <is>
          <t>Info</t>
        </is>
      </c>
      <c r="C6" s="26" t="inlineStr">
        <is>
          <t>No Question Headings</t>
        </is>
      </c>
      <c r="D6" s="27" t="n">
        <v>85</v>
      </c>
      <c r="E6" s="28" t="inlineStr">
        <is>
          <t>AEO</t>
        </is>
      </c>
      <c r="F6" s="27"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7">
      <c r="A7" s="4" t="inlineStr">
        <is>
          <t>AEO Opportunities</t>
        </is>
      </c>
      <c r="B7" s="6" t="inlineStr"/>
      <c r="C7" s="6" t="inlineStr"/>
      <c r="D7" s="30" t="inlineStr"/>
      <c r="E7" s="6" t="inlineStr"/>
      <c r="F7" s="30" t="inlineStr">
        <is>
          <t>Detailed rows: see AEO tab</t>
        </is>
      </c>
    </row>
    <row r="8">
      <c r="A8" s="24" t="inlineStr">
        <is>
          <t>Issue Counts</t>
        </is>
      </c>
      <c r="B8" s="32" t="inlineStr">
        <is>
          <t>Critical</t>
        </is>
      </c>
      <c r="C8" s="26" t="inlineStr">
        <is>
          <t>Non-200 Status</t>
        </is>
      </c>
      <c r="D8" s="27" t="n">
        <v>2</v>
      </c>
      <c r="E8" s="28" t="inlineStr">
        <is>
          <t>Technical</t>
        </is>
      </c>
      <c r="F8" s="27" t="inlineStr">
        <is>
          <t>https://africanmarketingconfederation.org/amc-marketing-conference-2024/speakers-2024/ | https://africanmarketingconfederation.org/amc-conference-sponsors/ || Full list: see Technical/Links/Indexability tabs</t>
        </is>
      </c>
    </row>
    <row r="9">
      <c r="A9" s="6" t="inlineStr">
        <is>
          <t>Issue Counts</t>
        </is>
      </c>
      <c r="B9" s="32" t="inlineStr">
        <is>
          <t>Critical</t>
        </is>
      </c>
      <c r="C9" s="26" t="inlineStr">
        <is>
          <t>Broken Internal Links</t>
        </is>
      </c>
      <c r="D9" s="30" t="n">
        <v>0</v>
      </c>
      <c r="E9" s="31" t="inlineStr">
        <is>
          <t>Links</t>
        </is>
      </c>
      <c r="F9" s="30" t="inlineStr">
        <is>
          <t xml:space="preserve"> || Full list: see Technical/Links/Indexability tabs</t>
        </is>
      </c>
    </row>
    <row r="10">
      <c r="A10" s="24" t="inlineStr">
        <is>
          <t>Issue Counts</t>
        </is>
      </c>
      <c r="B10" s="32" t="inlineStr">
        <is>
          <t>Critical</t>
        </is>
      </c>
      <c r="C10" s="26" t="inlineStr">
        <is>
          <t>Canonical Points Elsewhere</t>
        </is>
      </c>
      <c r="D10" s="27" t="n">
        <v>0</v>
      </c>
      <c r="E10" s="28" t="inlineStr">
        <is>
          <t>Indexability</t>
        </is>
      </c>
      <c r="F10" s="27" t="inlineStr">
        <is>
          <t xml:space="preserve"> || Full list: see Technical/Links/Indexability tabs</t>
        </is>
      </c>
    </row>
    <row r="11">
      <c r="A11" s="6" t="inlineStr">
        <is>
          <t>Issue Counts</t>
        </is>
      </c>
      <c r="B11" s="32" t="inlineStr">
        <is>
          <t>Critical</t>
        </is>
      </c>
      <c r="C11" s="26" t="inlineStr">
        <is>
          <t>Noindex Directive</t>
        </is>
      </c>
      <c r="D11" s="30" t="n">
        <v>0</v>
      </c>
      <c r="E11" s="31" t="inlineStr">
        <is>
          <t>Indexability</t>
        </is>
      </c>
      <c r="F11" s="30" t="inlineStr">
        <is>
          <t xml:space="preserve"> || Full list: see Technical/Links/Indexability tabs</t>
        </is>
      </c>
    </row>
    <row r="12">
      <c r="A12" s="24" t="inlineStr">
        <is>
          <t>Issue Counts</t>
        </is>
      </c>
      <c r="B12" s="32" t="inlineStr">
        <is>
          <t>Critical</t>
        </is>
      </c>
      <c r="C12" s="26" t="inlineStr">
        <is>
          <t>Robots.txt Disallow Root</t>
        </is>
      </c>
      <c r="D12" s="27" t="n">
        <v>0</v>
      </c>
      <c r="E12" s="28" t="inlineStr">
        <is>
          <t>Technical</t>
        </is>
      </c>
      <c r="F12" s="27" t="inlineStr">
        <is>
          <t xml:space="preserve"> || Full list: see Technical/Links/Indexability tabs</t>
        </is>
      </c>
    </row>
    <row r="13">
      <c r="A13" s="6" t="inlineStr">
        <is>
          <t>Issue Counts</t>
        </is>
      </c>
      <c r="B13" s="25" t="inlineStr">
        <is>
          <t>Warning</t>
        </is>
      </c>
      <c r="C13" s="26" t="inlineStr">
        <is>
          <t>Low AEO Readiness Score</t>
        </is>
      </c>
      <c r="D13" s="30" t="n">
        <v>85</v>
      </c>
      <c r="E13" s="31" t="inlineStr">
        <is>
          <t>AEO</t>
        </is>
      </c>
      <c r="F13" s="30"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14">
      <c r="A14" s="24" t="inlineStr">
        <is>
          <t>Issue Counts</t>
        </is>
      </c>
      <c r="B14" s="25" t="inlineStr">
        <is>
          <t>Warning</t>
        </is>
      </c>
      <c r="C14" s="26" t="inlineStr">
        <is>
          <t>Thin Content</t>
        </is>
      </c>
      <c r="D14" s="27" t="n">
        <v>41</v>
      </c>
      <c r="E14" s="28" t="inlineStr">
        <is>
          <t>Technical</t>
        </is>
      </c>
      <c r="F14" s="27" t="inlineStr">
        <is>
          <t>https://africanmarketingconfederation.org/publication-download-list/ | https://africanmarketingconfederation.org/launch-event-2026-amc-conference/ | https://africanmarketingconfederation.org/publications-2/ | https://africanmarketingconfederation.org/about-us/ | https://africanmarketingconfederation.org/amc-conference-2026-awards-nominations-thank-you/ | https://africanmarketingconfederation.org/amc-conference-2026-zambia-thank-you/ | https://africanmarketingconfederation.org/amc-launch-event-zambia-thank-you-2026/ | https://africanmarketingconfederation.org/amc-conference-2023/gallery/ | https://africanmarketingconfederation.org/amc-marketing-conference-2024/amc-programme-2025/ | https://africanmarketingconfederation.org/amc-conference-2022-prospectus/ | https://africanmarketingconfederation.org/test-payment-gate/ | https://africanmarketingconfederation.org/amc-marketing-conference-2024/amc-conference-2025-ghana-sponsors/ | https://africanmarketingconfederation.org/amc-forum-payments/ | https://africanmarketingconfederation.org/checkout/ | https://africanmarketingconfederation.org/amc-marketing-conference-2024/amc-speakers-presentations-2024/ | https://africanmarketingconfederation.org/amc-marketing-conference-2024/testimony-thank-you-page/ | https://africanmarketingconfederation.org/thank-you-for-registering-2024-registrations/ | https://africanmarketingconfederation.org/download-prospectus-2024/ | https://africanmarketingconfederation.org/thank-you-for-registering-2024-registrations-kenya/ | https://africanmarketingconfederation.org/elementor-20341/ | https://africanmarketingconfederation.org/chartered-marketer-africa-final-submission-fee/ | https://africanmarketingconfederation.org/chartered-marketer-africa-programme-fee/ | https://africanmarketingconfederation.org/download-brochure/ | https://africanmarketingconfederation.org/thank-you-for-the-nomination-2024/ | https://africanmarketingconfederation.org/thank-you-for-the-submission-2024/ || Full list: see Technical/Links/Indexability tabs</t>
        </is>
      </c>
    </row>
    <row r="15">
      <c r="A15" s="6" t="inlineStr">
        <is>
          <t>Issue Counts</t>
        </is>
      </c>
      <c r="B15" s="25" t="inlineStr">
        <is>
          <t>Warning</t>
        </is>
      </c>
      <c r="C15" s="26" t="inlineStr">
        <is>
          <t>Missing H1</t>
        </is>
      </c>
      <c r="D15" s="30" t="n">
        <v>32</v>
      </c>
      <c r="E15" s="31" t="inlineStr">
        <is>
          <t>Technical</t>
        </is>
      </c>
      <c r="F15" s="30" t="inlineStr">
        <is>
          <t>https://africanmarketingconfederation.org/publication-download-list/ | https://africanmarketingconfederation.org/certified-professional-marketer-africa/ | https://africanmarketingconfederation.org/education/ | https://africanmarketingconfederation.org/amc-conference-2022/ | https://africanmarketingconfederation.org/amc-conference-2022-prospectus/ | https://africanmarketingconfederation.org/test-payment-gate/ | https://africanmarketingconfederation.org/amc-forum-payments/ | https://africanmarketingconfederation.org/checkout/ | https://africanmarketingconfederation.org/thank-you-for-registering-2024-registrations/ | https://africanmarketingconfederation.org/download-prospectus-2024/ | https://africanmarketingconfederation.org/thank-you-for-registering-2024-registrations-kenya/ | https://africanmarketingconfederation.org/subscribe/ | https://africanmarketingconfederation.org/elementor-20341/ | https://africanmarketingconfederation.org/download-brochure/ | https://africanmarketingconfederation.org/thank-you-for-the-nomination-2024/ | https://africanmarketingconfederation.org/thank-you-for-the-submission-2024/ | https://africanmarketingconfederation.org/elementor-16548/ | https://africanmarketingconfederation.org/chartered-marketer-africa-thank-you/ | https://africanmarketingconfederation.org/amc-conference-2023/amc-awards-book-now/ | https://africanmarketingconfederation.org/thank-you-for-subscribing/ | https://africanmarketingconfederation.org/amc-conference-2023/book-now-thank-you/ | https://africanmarketingconfederation.org/upcoming-events/ | https://africanmarketingconfederation.org/amc-masterclass/ | https://africanmarketingconfederation.org/amc-relaunch-programme/ | https://africanmarketingconfederation.org/amc-masterclass-thank-you/ || Full list: see Technical/Links/Indexability tabs</t>
        </is>
      </c>
    </row>
    <row r="16">
      <c r="A16" s="24" t="inlineStr">
        <is>
          <t>Issue Counts</t>
        </is>
      </c>
      <c r="B16" s="25" t="inlineStr">
        <is>
          <t>Warning</t>
        </is>
      </c>
      <c r="C16" s="26" t="inlineStr">
        <is>
          <t>Multiple H1</t>
        </is>
      </c>
      <c r="D16" s="27" t="n">
        <v>18</v>
      </c>
      <c r="E16" s="28" t="inlineStr">
        <is>
          <t>Technical</t>
        </is>
      </c>
      <c r="F16" s="27" t="inlineStr">
        <is>
          <t>https://africanmarketingconfederation.org/ | https://africanmarketingconfederation.org/awards-2026/ | https://africanmarketingconfederation.org/contact-us/ | https://africanmarketingconfederation.org/african-marketing-confederation-tourism-chapter/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https://africanmarketingconfederation.org/amc-conference-2025-highlights/ | https://africanmarketingconfederation.org/amc-conference-2024-recap/ | https://africanmarketingconfederation.org/amc-marketing-conference-2024/amc-programme-2025/ | https://africanmarketingconfederation.org/amc-conference-2025/ | https://africanmarketingconfederation.org/amc-awards-2024/ | https://africanmarketingconfederation.org/amc-marketing-conference-2024/amc-speakers-presentations-2024/ | https://africanmarketingconfederation.org/amc-marketing-conference-2024/testimony-thank-you-page/ | https://africanmarketingconfederation.org/privacy-policy/ || Full list: see Technical/Links/Indexability tabs</t>
        </is>
      </c>
    </row>
    <row r="17">
      <c r="A17" s="6" t="inlineStr">
        <is>
          <t>Issue Counts</t>
        </is>
      </c>
      <c r="B17" s="25" t="inlineStr">
        <is>
          <t>Warning</t>
        </is>
      </c>
      <c r="C17" s="26" t="inlineStr">
        <is>
          <t>Missing Meta Description</t>
        </is>
      </c>
      <c r="D17" s="30" t="n">
        <v>5</v>
      </c>
      <c r="E17" s="31" t="inlineStr">
        <is>
          <t>Technical</t>
        </is>
      </c>
      <c r="F17" s="30" t="inlineStr">
        <is>
          <t>https://africanmarketingconfederation.org/amc-marketing-conference-2024/speakers-2024/ | https://africanmarketingconfederation.org/amc-conference-sponsors/ | https://africanmarketingconfederation.org/elementor-20341/ | https://africanmarketingconfederation.org/amc-conference-2023/amc-awards-book-now/ | https://africanmarketingconfederation.org/amc-masterclass-bookings/ || Full list: see Technical/Links/Indexability tabs</t>
        </is>
      </c>
    </row>
    <row r="18">
      <c r="A18" s="24" t="inlineStr">
        <is>
          <t>Issue Counts</t>
        </is>
      </c>
      <c r="B18" s="25" t="inlineStr">
        <is>
          <t>Warning</t>
        </is>
      </c>
      <c r="C18" s="26" t="inlineStr">
        <is>
          <t>Missing Title</t>
        </is>
      </c>
      <c r="D18" s="27" t="n">
        <v>2</v>
      </c>
      <c r="E18" s="28" t="inlineStr">
        <is>
          <t>Technical</t>
        </is>
      </c>
      <c r="F18" s="27" t="inlineStr">
        <is>
          <t>https://africanmarketingconfederation.org/amc-marketing-conference-2024/speakers-2024/ | https://africanmarketingconfederation.org/amc-conference-sponsors/ || Full list: see Technical/Links/Indexability tabs</t>
        </is>
      </c>
    </row>
    <row r="19">
      <c r="A19" s="6" t="inlineStr">
        <is>
          <t>Issue Counts</t>
        </is>
      </c>
      <c r="B19" s="25" t="inlineStr">
        <is>
          <t>Warning</t>
        </is>
      </c>
      <c r="C19" s="26" t="inlineStr">
        <is>
          <t>Canonical Missing</t>
        </is>
      </c>
      <c r="D19" s="30" t="n">
        <v>0</v>
      </c>
      <c r="E19" s="31" t="inlineStr">
        <is>
          <t>Indexability</t>
        </is>
      </c>
      <c r="F19" s="30" t="inlineStr">
        <is>
          <t xml:space="preserve"> || Full list: see Technical/Links/Indexability tabs</t>
        </is>
      </c>
    </row>
    <row r="20">
      <c r="A20" s="24" t="inlineStr">
        <is>
          <t>Issue Counts</t>
        </is>
      </c>
      <c r="B20" s="25" t="inlineStr">
        <is>
          <t>Warning</t>
        </is>
      </c>
      <c r="C20" s="26" t="inlineStr">
        <is>
          <t>Hreflang Without Reciprocity</t>
        </is>
      </c>
      <c r="D20" s="27" t="n">
        <v>0</v>
      </c>
      <c r="E20" s="28" t="inlineStr">
        <is>
          <t>Technical</t>
        </is>
      </c>
      <c r="F20" s="27" t="inlineStr">
        <is>
          <t xml:space="preserve"> || Full list: see Technical/Links/Indexability tabs</t>
        </is>
      </c>
    </row>
    <row r="21">
      <c r="A21" s="6" t="inlineStr">
        <is>
          <t>Issue Counts</t>
        </is>
      </c>
      <c r="B21" s="25" t="inlineStr">
        <is>
          <t>Warning</t>
        </is>
      </c>
      <c r="C21" s="26" t="inlineStr">
        <is>
          <t>Low Image Alt Coverage</t>
        </is>
      </c>
      <c r="D21" s="30" t="n">
        <v>0</v>
      </c>
      <c r="E21" s="31" t="inlineStr">
        <is>
          <t>Technical</t>
        </is>
      </c>
      <c r="F21" s="30" t="inlineStr">
        <is>
          <t xml:space="preserve"> || Full list: see Technical/Links/Indexability tabs</t>
        </is>
      </c>
    </row>
    <row r="22">
      <c r="A22" s="24" t="inlineStr">
        <is>
          <t>Issue Counts</t>
        </is>
      </c>
      <c r="B22" s="25" t="inlineStr">
        <is>
          <t>Warning</t>
        </is>
      </c>
      <c r="C22" s="26" t="inlineStr">
        <is>
          <t>Mixed Content</t>
        </is>
      </c>
      <c r="D22" s="27" t="n">
        <v>0</v>
      </c>
      <c r="E22" s="28" t="inlineStr">
        <is>
          <t>Technical</t>
        </is>
      </c>
      <c r="F22" s="27" t="inlineStr">
        <is>
          <t xml:space="preserve"> || Full list: see Technical/Links/Indexability tabs</t>
        </is>
      </c>
    </row>
    <row r="23">
      <c r="A23" s="6" t="inlineStr">
        <is>
          <t>Issue Counts</t>
        </is>
      </c>
      <c r="B23" s="25" t="inlineStr">
        <is>
          <t>Warning</t>
        </is>
      </c>
      <c r="C23" s="26" t="inlineStr">
        <is>
          <t>Redirect Chains</t>
        </is>
      </c>
      <c r="D23" s="30" t="n">
        <v>0</v>
      </c>
      <c r="E23" s="31" t="inlineStr">
        <is>
          <t>Technical</t>
        </is>
      </c>
      <c r="F23" s="30" t="inlineStr">
        <is>
          <t xml:space="preserve"> || Full list: see Technical/Links/Indexability tabs</t>
        </is>
      </c>
    </row>
    <row r="24">
      <c r="A24" s="4" t="inlineStr">
        <is>
          <t>Issue Counts</t>
        </is>
      </c>
      <c r="B24" s="29" t="inlineStr">
        <is>
          <t>Info</t>
        </is>
      </c>
      <c r="C24" s="26" t="inlineStr">
        <is>
          <t>No 40-60 Word Answer Paragraphs</t>
        </is>
      </c>
      <c r="D24" s="27" t="n">
        <v>85</v>
      </c>
      <c r="E24" s="28" t="inlineStr">
        <is>
          <t>Technical</t>
        </is>
      </c>
      <c r="F24" s="27"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5">
      <c r="A25" s="4" t="inlineStr">
        <is>
          <t>Issue Counts</t>
        </is>
      </c>
      <c r="B25" s="29" t="inlineStr">
        <is>
          <t>Info</t>
        </is>
      </c>
      <c r="C25" s="26" t="inlineStr">
        <is>
          <t>No Answer-Friendly Structure</t>
        </is>
      </c>
      <c r="D25" s="30" t="n">
        <v>85</v>
      </c>
      <c r="E25" s="31" t="inlineStr">
        <is>
          <t>Technical</t>
        </is>
      </c>
      <c r="F25" s="30"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6">
      <c r="A26" s="4" t="inlineStr">
        <is>
          <t>Issue Counts</t>
        </is>
      </c>
      <c r="B26" s="29" t="inlineStr">
        <is>
          <t>Info</t>
        </is>
      </c>
      <c r="C26" s="26" t="inlineStr">
        <is>
          <t>No Cache-Control Header</t>
        </is>
      </c>
      <c r="D26" s="27" t="n">
        <v>85</v>
      </c>
      <c r="E26" s="28" t="inlineStr">
        <is>
          <t>Technical</t>
        </is>
      </c>
      <c r="F26" s="27"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7">
      <c r="A27" s="4" t="inlineStr">
        <is>
          <t>Issue Counts</t>
        </is>
      </c>
      <c r="B27" s="29" t="inlineStr">
        <is>
          <t>Info</t>
        </is>
      </c>
      <c r="C27" s="26" t="inlineStr">
        <is>
          <t>No Compression Header</t>
        </is>
      </c>
      <c r="D27" s="30" t="n">
        <v>85</v>
      </c>
      <c r="E27" s="31" t="inlineStr">
        <is>
          <t>Technical</t>
        </is>
      </c>
      <c r="F27" s="30"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8">
      <c r="A28" s="4" t="inlineStr">
        <is>
          <t>Issue Counts</t>
        </is>
      </c>
      <c r="B28" s="29" t="inlineStr">
        <is>
          <t>Info</t>
        </is>
      </c>
      <c r="C28" s="26" t="inlineStr">
        <is>
          <t>No ETag Header</t>
        </is>
      </c>
      <c r="D28" s="27" t="n">
        <v>85</v>
      </c>
      <c r="E28" s="28" t="inlineStr">
        <is>
          <t>Technical</t>
        </is>
      </c>
      <c r="F28" s="27"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9">
      <c r="A29" s="4" t="inlineStr">
        <is>
          <t>Issue Counts</t>
        </is>
      </c>
      <c r="B29" s="29" t="inlineStr">
        <is>
          <t>Info</t>
        </is>
      </c>
      <c r="C29" s="26" t="inlineStr">
        <is>
          <t>No FAQ/QA Schema</t>
        </is>
      </c>
      <c r="D29" s="30" t="n">
        <v>85</v>
      </c>
      <c r="E29" s="31" t="inlineStr">
        <is>
          <t>AEO</t>
        </is>
      </c>
      <c r="F29" s="30"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0">
      <c r="A30" s="4" t="inlineStr">
        <is>
          <t>Issue Counts</t>
        </is>
      </c>
      <c r="B30" s="29" t="inlineStr">
        <is>
          <t>Info</t>
        </is>
      </c>
      <c r="C30" s="26" t="inlineStr">
        <is>
          <t>No Question Headings</t>
        </is>
      </c>
      <c r="D30" s="27" t="n">
        <v>85</v>
      </c>
      <c r="E30" s="28" t="inlineStr">
        <is>
          <t>AEO</t>
        </is>
      </c>
      <c r="F30" s="27" t="inlineStr">
        <is>
          <t>https://africanmarketingconfederation.org/ | https://africanmarketingconfederation.org/publication-download-list/ | https://africanmarketingconfederation.org/launch-event-2026-amc-conference/ | https://africanmarketingconfederation.org/publications-2/ | https://africanmarketingconfederation.org/certified-professional-marketer-africa/ | https://africanmarketingconfederation.org/chartered-marketer-africa/ | https://africanmarketingconfederation.org/amc-conference-2026/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https://africanmarketingconfederation.org/sub-committees/ | https://africanmarketingconfederation.org/members/ | https://africanmarketingconfederation.org/about-us/ | https://africanmarketingconfederation.org/awards-2026-1/ | https://africanmarketingconfederation.org/awards-2026-test/ | https://africanmarketingconfederation.org/amc-conference-2026-awards-nominations-thank-you/ | https://africanmarketingconfederation.org/speakers-2025/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1">
      <c r="A31" s="4" t="inlineStr">
        <is>
          <t>Issue Counts</t>
        </is>
      </c>
      <c r="B31" s="29" t="inlineStr">
        <is>
          <t>Info</t>
        </is>
      </c>
      <c r="C31" s="26" t="inlineStr">
        <is>
          <t>Image Filename Quality Issues</t>
        </is>
      </c>
      <c r="D31" s="30" t="n">
        <v>2</v>
      </c>
      <c r="E31" s="31" t="inlineStr">
        <is>
          <t>Technical</t>
        </is>
      </c>
      <c r="F31" s="30" t="inlineStr">
        <is>
          <t>https://africanmarketingconfederation.org/amc-conference-2026/ | https://africanmarketingconfederation.org/amc-conference-2025-highlights/ || Full list: see Technical/Links/Indexability tabs</t>
        </is>
      </c>
    </row>
    <row r="32">
      <c r="A32" s="4" t="inlineStr">
        <is>
          <t>Issue Counts</t>
        </is>
      </c>
      <c r="B32" s="29" t="inlineStr">
        <is>
          <t>Info</t>
        </is>
      </c>
      <c r="C32" s="26" t="inlineStr">
        <is>
          <t>Generic Anchor Text Present</t>
        </is>
      </c>
      <c r="D32" s="27" t="n">
        <v>0</v>
      </c>
      <c r="E32" s="28" t="inlineStr">
        <is>
          <t>Technical</t>
        </is>
      </c>
      <c r="F32" s="27" t="inlineStr">
        <is>
          <t xml:space="preserve"> || Full list: see Technical/Links/Indexability tabs</t>
        </is>
      </c>
    </row>
    <row r="33">
      <c r="A33" s="4" t="inlineStr">
        <is>
          <t>Issue Counts</t>
        </is>
      </c>
      <c r="B33" s="29" t="inlineStr">
        <is>
          <t>Info</t>
        </is>
      </c>
      <c r="C33" s="26" t="inlineStr">
        <is>
          <t>Uses URL Parameters</t>
        </is>
      </c>
      <c r="D33" s="30" t="n">
        <v>0</v>
      </c>
      <c r="E33" s="31" t="inlineStr">
        <is>
          <t>Technical</t>
        </is>
      </c>
      <c r="F33" s="30" t="inlineStr">
        <is>
          <t xml:space="preserve"> || Full list: see Technical/Links/Indexability tabs</t>
        </is>
      </c>
    </row>
    <row r="34">
      <c r="A34" s="4" t="inlineStr">
        <is>
          <t>Issue Counts</t>
        </is>
      </c>
      <c r="B34" s="24" t="inlineStr"/>
      <c r="C34" s="24" t="inlineStr"/>
      <c r="D34" s="27" t="inlineStr"/>
      <c r="E34" s="24" t="inlineStr"/>
      <c r="F34" s="27" t="inlineStr"/>
    </row>
    <row r="35">
      <c r="A35" s="4" t="inlineStr">
        <is>
          <t>Top 10 Critical URLs</t>
        </is>
      </c>
      <c r="B35" s="6" t="inlineStr"/>
      <c r="C35" s="6" t="inlineStr"/>
      <c r="D35" s="30" t="inlineStr"/>
      <c r="E35" s="6" t="inlineStr"/>
      <c r="F35" s="30" t="inlineStr"/>
    </row>
    <row r="36">
      <c r="A36" s="24" t="inlineStr">
        <is>
          <t>Top 10 Critical URLs</t>
        </is>
      </c>
      <c r="B36" s="32" t="inlineStr">
        <is>
          <t>Critical</t>
        </is>
      </c>
      <c r="C36" s="24" t="inlineStr">
        <is>
          <t>#1 https://africanmarketingconfederation.org/amc-marketing-conference-2024/speakers-2024/</t>
        </is>
      </c>
      <c r="D36" s="27" t="n">
        <v>1</v>
      </c>
      <c r="E36" s="28" t="inlineStr">
        <is>
          <t>Priority URLs</t>
        </is>
      </c>
      <c r="F36" s="27" t="inlineStr">
        <is>
          <t>Non-200 Status | Missing Title | Missing Meta Description | Low AEO Readiness Score | No Compression Header | No Cache-Control Header | No ETag Header | No FAQ/QA Schema | No Question Headings | No Answer-Friendly Structure | No 40-60 Word Answer Paragraphs</t>
        </is>
      </c>
    </row>
    <row r="37">
      <c r="A37" s="6" t="inlineStr">
        <is>
          <t>Top 10 Critical URLs</t>
        </is>
      </c>
      <c r="B37" s="32" t="inlineStr">
        <is>
          <t>Critical</t>
        </is>
      </c>
      <c r="C37" s="6" t="inlineStr">
        <is>
          <t>#2 https://africanmarketingconfederation.org/amc-conference-sponsors/</t>
        </is>
      </c>
      <c r="D37" s="30" t="n">
        <v>1</v>
      </c>
      <c r="E37" s="31" t="inlineStr">
        <is>
          <t>Priority URLs</t>
        </is>
      </c>
      <c r="F37" s="30" t="inlineStr">
        <is>
          <t>Non-200 Status | Missing Title | Missing Meta Description | Low AEO Readiness Score | No Compression Header | No Cache-Control Header | No ETag Header | No FAQ/QA Schema | No Question Headings | No Answer-Friendly Structure | No 40-60 Word Answer Paragraphs</t>
        </is>
      </c>
    </row>
    <row r="38">
      <c r="A38" s="4" t="inlineStr">
        <is>
          <t>Top Issues by Template</t>
        </is>
      </c>
      <c r="B38" s="24" t="inlineStr"/>
      <c r="C38" s="24" t="inlineStr"/>
      <c r="D38" s="27" t="inlineStr"/>
      <c r="E38" s="24" t="inlineStr"/>
      <c r="F38" s="27" t="inlineStr"/>
    </row>
    <row r="39">
      <c r="A39" s="4" t="inlineStr">
        <is>
          <t>Top Issues by Template</t>
        </is>
      </c>
      <c r="B39" s="29" t="inlineStr">
        <is>
          <t>Info</t>
        </is>
      </c>
      <c r="C39" s="6" t="inlineStr">
        <is>
          <t>amc-conference-2023 -&gt; Low AEO Readiness Score</t>
        </is>
      </c>
      <c r="D39" s="30" t="n">
        <v>10</v>
      </c>
      <c r="E39" s="31" t="inlineStr">
        <is>
          <t>TemplateClusters</t>
        </is>
      </c>
      <c r="F39" s="30" t="inlineStr"/>
    </row>
    <row r="40">
      <c r="A40" s="4" t="inlineStr">
        <is>
          <t>Top Issues by Template</t>
        </is>
      </c>
      <c r="B40" s="29" t="inlineStr">
        <is>
          <t>Info</t>
        </is>
      </c>
      <c r="C40" s="24" t="inlineStr">
        <is>
          <t>amc-conference-2023 -&gt; No Compression Header</t>
        </is>
      </c>
      <c r="D40" s="27" t="n">
        <v>10</v>
      </c>
      <c r="E40" s="28" t="inlineStr">
        <is>
          <t>TemplateClusters</t>
        </is>
      </c>
      <c r="F40" s="27" t="inlineStr"/>
    </row>
    <row r="41">
      <c r="A41" s="4" t="inlineStr">
        <is>
          <t>Top Issues by Template</t>
        </is>
      </c>
      <c r="B41" s="29" t="inlineStr">
        <is>
          <t>Info</t>
        </is>
      </c>
      <c r="C41" s="6" t="inlineStr">
        <is>
          <t>amc-conference-2023 -&gt; No Cache-Control Header</t>
        </is>
      </c>
      <c r="D41" s="30" t="n">
        <v>10</v>
      </c>
      <c r="E41" s="31" t="inlineStr">
        <is>
          <t>TemplateClusters</t>
        </is>
      </c>
      <c r="F41" s="30" t="inlineStr"/>
    </row>
    <row r="42">
      <c r="A42" s="4" t="inlineStr">
        <is>
          <t>Top Issues by Template</t>
        </is>
      </c>
      <c r="B42" s="29" t="inlineStr">
        <is>
          <t>Info</t>
        </is>
      </c>
      <c r="C42" s="24" t="inlineStr">
        <is>
          <t>amc-conference-2023 -&gt; No ETag Header</t>
        </is>
      </c>
      <c r="D42" s="27" t="n">
        <v>10</v>
      </c>
      <c r="E42" s="28" t="inlineStr">
        <is>
          <t>TemplateClusters</t>
        </is>
      </c>
      <c r="F42" s="27" t="inlineStr"/>
    </row>
    <row r="43">
      <c r="A43" s="4" t="inlineStr">
        <is>
          <t>Top Issues by Template</t>
        </is>
      </c>
      <c r="B43" s="29" t="inlineStr">
        <is>
          <t>Info</t>
        </is>
      </c>
      <c r="C43" s="6" t="inlineStr">
        <is>
          <t>amc-conference-2023 -&gt; No FAQ/QA Schema</t>
        </is>
      </c>
      <c r="D43" s="30" t="n">
        <v>10</v>
      </c>
      <c r="E43" s="31" t="inlineStr">
        <is>
          <t>TemplateClusters</t>
        </is>
      </c>
      <c r="F43" s="30" t="inlineStr"/>
    </row>
    <row r="44">
      <c r="A44" s="4" t="inlineStr">
        <is>
          <t>Top Issues by Template</t>
        </is>
      </c>
      <c r="B44" s="29" t="inlineStr">
        <is>
          <t>Info</t>
        </is>
      </c>
      <c r="C44" s="24" t="inlineStr">
        <is>
          <t>amc-conference-2023 -&gt; No Question Headings</t>
        </is>
      </c>
      <c r="D44" s="27" t="n">
        <v>10</v>
      </c>
      <c r="E44" s="28" t="inlineStr">
        <is>
          <t>TemplateClusters</t>
        </is>
      </c>
      <c r="F44" s="27" t="inlineStr"/>
    </row>
    <row r="45">
      <c r="A45" s="4" t="inlineStr">
        <is>
          <t>Top Issues by Template</t>
        </is>
      </c>
      <c r="B45" s="29" t="inlineStr">
        <is>
          <t>Info</t>
        </is>
      </c>
      <c r="C45" s="6" t="inlineStr">
        <is>
          <t>amc-conference-2023 -&gt; No Answer-Friendly Structure</t>
        </is>
      </c>
      <c r="D45" s="30" t="n">
        <v>10</v>
      </c>
      <c r="E45" s="31" t="inlineStr">
        <is>
          <t>TemplateClusters</t>
        </is>
      </c>
      <c r="F45" s="30" t="inlineStr"/>
    </row>
    <row r="46">
      <c r="A46" s="4" t="inlineStr">
        <is>
          <t>Top Issues by Template</t>
        </is>
      </c>
      <c r="B46" s="29" t="inlineStr">
        <is>
          <t>Info</t>
        </is>
      </c>
      <c r="C46" s="24" t="inlineStr">
        <is>
          <t>amc-conference-2023 -&gt; No 40-60 Word Answer Paragraphs</t>
        </is>
      </c>
      <c r="D46" s="27" t="n">
        <v>10</v>
      </c>
      <c r="E46" s="28" t="inlineStr">
        <is>
          <t>TemplateClusters</t>
        </is>
      </c>
      <c r="F46" s="27" t="inlineStr"/>
    </row>
    <row r="47">
      <c r="A47" s="4" t="inlineStr">
        <is>
          <t>Top Issues by Template</t>
        </is>
      </c>
      <c r="B47" s="29" t="inlineStr">
        <is>
          <t>Info</t>
        </is>
      </c>
      <c r="C47" s="6" t="inlineStr">
        <is>
          <t>amc-marketing-conference-2024 -&gt; Low AEO Readiness Score</t>
        </is>
      </c>
      <c r="D47" s="30" t="n">
        <v>8</v>
      </c>
      <c r="E47" s="31" t="inlineStr">
        <is>
          <t>TemplateClusters</t>
        </is>
      </c>
      <c r="F47" s="30" t="inlineStr"/>
    </row>
    <row r="48">
      <c r="A48" s="4" t="inlineStr">
        <is>
          <t>Top Issues by Template</t>
        </is>
      </c>
      <c r="B48" s="29" t="inlineStr">
        <is>
          <t>Info</t>
        </is>
      </c>
      <c r="C48" s="24" t="inlineStr">
        <is>
          <t>amc-marketing-conference-2024 -&gt; No Compression Header</t>
        </is>
      </c>
      <c r="D48" s="27" t="n">
        <v>8</v>
      </c>
      <c r="E48" s="28" t="inlineStr">
        <is>
          <t>TemplateClusters</t>
        </is>
      </c>
      <c r="F48" s="27" t="inlineStr"/>
    </row>
    <row r="49">
      <c r="A49" s="4" t="inlineStr">
        <is>
          <t>Top Issues by Template</t>
        </is>
      </c>
      <c r="B49" s="29" t="inlineStr">
        <is>
          <t>Info</t>
        </is>
      </c>
      <c r="C49" s="6" t="inlineStr">
        <is>
          <t>amc-marketing-conference-2024 -&gt; No Cache-Control Header</t>
        </is>
      </c>
      <c r="D49" s="30" t="n">
        <v>8</v>
      </c>
      <c r="E49" s="31" t="inlineStr">
        <is>
          <t>TemplateClusters</t>
        </is>
      </c>
      <c r="F49" s="30" t="inlineStr"/>
    </row>
    <row r="50">
      <c r="A50" s="4" t="inlineStr">
        <is>
          <t>Top Issues by Template</t>
        </is>
      </c>
      <c r="B50" s="29" t="inlineStr">
        <is>
          <t>Info</t>
        </is>
      </c>
      <c r="C50" s="24" t="inlineStr">
        <is>
          <t>amc-marketing-conference-2024 -&gt; No ETag Header</t>
        </is>
      </c>
      <c r="D50" s="27" t="n">
        <v>8</v>
      </c>
      <c r="E50" s="28" t="inlineStr">
        <is>
          <t>TemplateClusters</t>
        </is>
      </c>
      <c r="F50" s="27" t="inlineStr"/>
    </row>
    <row r="51">
      <c r="A51" s="4" t="inlineStr">
        <is>
          <t>Top Issues by Template</t>
        </is>
      </c>
      <c r="B51" s="29" t="inlineStr">
        <is>
          <t>Info</t>
        </is>
      </c>
      <c r="C51" s="6" t="inlineStr">
        <is>
          <t>amc-marketing-conference-2024 -&gt; No FAQ/QA Schema</t>
        </is>
      </c>
      <c r="D51" s="30" t="n">
        <v>8</v>
      </c>
      <c r="E51" s="31" t="inlineStr">
        <is>
          <t>TemplateClusters</t>
        </is>
      </c>
      <c r="F51" s="30" t="inlineStr"/>
    </row>
    <row r="52">
      <c r="A52" s="4" t="inlineStr">
        <is>
          <t>Top Issues by Template</t>
        </is>
      </c>
      <c r="B52" s="29" t="inlineStr">
        <is>
          <t>Info</t>
        </is>
      </c>
      <c r="C52" s="24" t="inlineStr">
        <is>
          <t>amc-marketing-conference-2024 -&gt; No Question Headings</t>
        </is>
      </c>
      <c r="D52" s="27" t="n">
        <v>8</v>
      </c>
      <c r="E52" s="28" t="inlineStr">
        <is>
          <t>TemplateClusters</t>
        </is>
      </c>
      <c r="F52" s="27" t="inlineStr"/>
    </row>
    <row r="53">
      <c r="A53" s="4" t="inlineStr">
        <is>
          <t>Top Issues by Template</t>
        </is>
      </c>
      <c r="B53" s="29" t="inlineStr">
        <is>
          <t>Info</t>
        </is>
      </c>
      <c r="C53" s="6" t="inlineStr">
        <is>
          <t>amc-marketing-conference-2024 -&gt; No Answer-Friendly Structure</t>
        </is>
      </c>
      <c r="D53" s="30" t="n">
        <v>8</v>
      </c>
      <c r="E53" s="31" t="inlineStr">
        <is>
          <t>TemplateClusters</t>
        </is>
      </c>
      <c r="F53" s="30" t="inlineStr"/>
    </row>
    <row r="54">
      <c r="A54" s="4" t="inlineStr">
        <is>
          <t>Top Issues by Template</t>
        </is>
      </c>
      <c r="B54" s="29" t="inlineStr">
        <is>
          <t>Info</t>
        </is>
      </c>
      <c r="C54" s="24" t="inlineStr">
        <is>
          <t>amc-marketing-conference-2024 -&gt; No 40-60 Word Answer Paragraphs</t>
        </is>
      </c>
      <c r="D54" s="27" t="n">
        <v>8</v>
      </c>
      <c r="E54" s="28" t="inlineStr">
        <is>
          <t>TemplateClusters</t>
        </is>
      </c>
      <c r="F54" s="27" t="inlineStr"/>
    </row>
    <row r="55">
      <c r="A55" s="4" t="inlineStr">
        <is>
          <t>Top Issues by Template</t>
        </is>
      </c>
      <c r="B55" s="29" t="inlineStr">
        <is>
          <t>Info</t>
        </is>
      </c>
      <c r="C55" s="6" t="inlineStr">
        <is>
          <t>amc-conference-2023 -&gt; Thin Content</t>
        </is>
      </c>
      <c r="D55" s="30" t="n">
        <v>6</v>
      </c>
      <c r="E55" s="31" t="inlineStr">
        <is>
          <t>TemplateClusters</t>
        </is>
      </c>
      <c r="F55" s="30" t="inlineStr"/>
    </row>
    <row r="56">
      <c r="A56" s="4" t="inlineStr">
        <is>
          <t>Top Issues by Template</t>
        </is>
      </c>
      <c r="B56" s="29" t="inlineStr">
        <is>
          <t>Info</t>
        </is>
      </c>
      <c r="C56" s="24" t="inlineStr">
        <is>
          <t>amc-marketing-conference-2024 -&gt; Thin Content</t>
        </is>
      </c>
      <c r="D56" s="27" t="n">
        <v>4</v>
      </c>
      <c r="E56" s="28" t="inlineStr">
        <is>
          <t>TemplateClusters</t>
        </is>
      </c>
      <c r="F56" s="27" t="inlineStr"/>
    </row>
    <row r="57">
      <c r="A57" s="4" t="inlineStr">
        <is>
          <t>Top Issues by Template</t>
        </is>
      </c>
      <c r="B57" s="29" t="inlineStr">
        <is>
          <t>Info</t>
        </is>
      </c>
      <c r="C57" s="6" t="inlineStr">
        <is>
          <t>amc-marketing-conference-2024 -&gt; Multiple H1</t>
        </is>
      </c>
      <c r="D57" s="30" t="n">
        <v>3</v>
      </c>
      <c r="E57" s="31" t="inlineStr">
        <is>
          <t>TemplateClusters</t>
        </is>
      </c>
      <c r="F57" s="30" t="inlineStr"/>
    </row>
    <row r="58">
      <c r="A58" s="4" t="inlineStr">
        <is>
          <t>Top Issues by Template</t>
        </is>
      </c>
      <c r="B58" s="29" t="inlineStr">
        <is>
          <t>Info</t>
        </is>
      </c>
      <c r="C58" s="24" t="inlineStr">
        <is>
          <t>amc-forum-mombasa -&gt; Low AEO Readiness Score</t>
        </is>
      </c>
      <c r="D58" s="27" t="n">
        <v>2</v>
      </c>
      <c r="E58" s="28" t="inlineStr">
        <is>
          <t>TemplateClusters</t>
        </is>
      </c>
      <c r="F58" s="27" t="inlineStr"/>
    </row>
  </sheetData>
  <autoFilter ref="A1:F58"/>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E36" r:id="rId64"/>
    <hyperlink xmlns:r="http://schemas.openxmlformats.org/officeDocument/2006/relationships" ref="E37" r:id="rId65"/>
    <hyperlink xmlns:r="http://schemas.openxmlformats.org/officeDocument/2006/relationships" ref="E39" r:id="rId66"/>
    <hyperlink xmlns:r="http://schemas.openxmlformats.org/officeDocument/2006/relationships" ref="E40" r:id="rId67"/>
    <hyperlink xmlns:r="http://schemas.openxmlformats.org/officeDocument/2006/relationships" ref="E41" r:id="rId68"/>
    <hyperlink xmlns:r="http://schemas.openxmlformats.org/officeDocument/2006/relationships" ref="E42" r:id="rId69"/>
    <hyperlink xmlns:r="http://schemas.openxmlformats.org/officeDocument/2006/relationships" ref="E43" r:id="rId70"/>
    <hyperlink xmlns:r="http://schemas.openxmlformats.org/officeDocument/2006/relationships" ref="E44" r:id="rId71"/>
    <hyperlink xmlns:r="http://schemas.openxmlformats.org/officeDocument/2006/relationships" ref="E45" r:id="rId72"/>
    <hyperlink xmlns:r="http://schemas.openxmlformats.org/officeDocument/2006/relationships" ref="E46" r:id="rId73"/>
    <hyperlink xmlns:r="http://schemas.openxmlformats.org/officeDocument/2006/relationships" ref="E47" r:id="rId74"/>
    <hyperlink xmlns:r="http://schemas.openxmlformats.org/officeDocument/2006/relationships" ref="E48" r:id="rId75"/>
    <hyperlink xmlns:r="http://schemas.openxmlformats.org/officeDocument/2006/relationships" ref="E49" r:id="rId76"/>
    <hyperlink xmlns:r="http://schemas.openxmlformats.org/officeDocument/2006/relationships" ref="E50" r:id="rId77"/>
    <hyperlink xmlns:r="http://schemas.openxmlformats.org/officeDocument/2006/relationships" ref="E51" r:id="rId78"/>
    <hyperlink xmlns:r="http://schemas.openxmlformats.org/officeDocument/2006/relationships" ref="E52" r:id="rId79"/>
    <hyperlink xmlns:r="http://schemas.openxmlformats.org/officeDocument/2006/relationships" ref="E53" r:id="rId80"/>
    <hyperlink xmlns:r="http://schemas.openxmlformats.org/officeDocument/2006/relationships" ref="E54" r:id="rId81"/>
    <hyperlink xmlns:r="http://schemas.openxmlformats.org/officeDocument/2006/relationships" ref="E55" r:id="rId82"/>
    <hyperlink xmlns:r="http://schemas.openxmlformats.org/officeDocument/2006/relationships" ref="E56" r:id="rId83"/>
    <hyperlink xmlns:r="http://schemas.openxmlformats.org/officeDocument/2006/relationships" ref="E57" r:id="rId84"/>
    <hyperlink xmlns:r="http://schemas.openxmlformats.org/officeDocument/2006/relationships" ref="E58" r:id="rId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15" customWidth="1" min="4" max="4"/>
    <col width="60" customWidth="1" min="5" max="5"/>
    <col width="60" customWidth="1" min="6" max="6"/>
    <col width="19" customWidth="1" min="7" max="7"/>
    <col width="18" customWidth="1" min="8" max="8"/>
    <col width="16" customWidth="1" min="9" max="9"/>
    <col width="14" customWidth="1" min="10" max="10"/>
    <col width="18" customWidth="1" min="11" max="11"/>
    <col width="10" customWidth="1" min="12" max="12"/>
    <col hidden="1" width="19" customWidth="1" min="13" max="13"/>
    <col width="12" customWidth="1" min="14" max="14"/>
    <col width="11" customWidth="1" min="15" max="15"/>
    <col width="12" customWidth="1" min="16" max="16"/>
    <col width="11" customWidth="1" min="17" max="17"/>
    <col width="12" customWidth="1" min="18" max="18"/>
    <col width="11" customWidth="1" min="19" max="19"/>
    <col width="12" customWidth="1" min="20" max="20"/>
    <col width="11" customWidth="1" min="21" max="21"/>
    <col width="12" customWidth="1" min="22" max="22"/>
    <col width="11" customWidth="1" min="23" max="23"/>
    <col width="12" customWidth="1" min="24" max="24"/>
    <col width="11" customWidth="1" min="25" max="25"/>
    <col width="13" customWidth="1" min="26" max="26"/>
  </cols>
  <sheetData>
    <row r="1">
      <c r="A1" s="3" t="inlineStr">
        <is>
          <t>URL</t>
        </is>
      </c>
      <c r="B1" s="3" t="inlineStr">
        <is>
          <t>Status Code</t>
        </is>
      </c>
      <c r="C1" s="3" t="inlineStr">
        <is>
          <t>Indexability</t>
        </is>
      </c>
      <c r="D1" s="3" t="inlineStr">
        <is>
          <t>Load Time (s)</t>
        </is>
      </c>
      <c r="E1" s="3" t="inlineStr">
        <is>
          <t>Title</t>
        </is>
      </c>
      <c r="F1" s="3" t="inlineStr">
        <is>
          <t>Meta Description</t>
        </is>
      </c>
      <c r="G1" s="3" t="inlineStr">
        <is>
          <t>Word Count (Body)</t>
        </is>
      </c>
      <c r="H1" s="3" t="inlineStr">
        <is>
          <t>SEO Health Score</t>
        </is>
      </c>
      <c r="I1" s="3" t="inlineStr">
        <is>
          <t>Severity Badge</t>
        </is>
      </c>
      <c r="J1" s="3" t="inlineStr">
        <is>
          <t>Title Length</t>
        </is>
      </c>
      <c r="K1" s="3" t="inlineStr">
        <is>
          <t>Meta Desc Length</t>
        </is>
      </c>
      <c r="L1" s="3" t="inlineStr">
        <is>
          <t>OG-Image</t>
        </is>
      </c>
      <c r="M1" s="3" t="inlineStr">
        <is>
          <t>Has Valid JSON-LD</t>
        </is>
      </c>
      <c r="N1" s="3" t="inlineStr">
        <is>
          <t>H1 Content</t>
        </is>
      </c>
      <c r="O1" s="3" t="inlineStr">
        <is>
          <t>H1 Length</t>
        </is>
      </c>
      <c r="P1" s="3" t="inlineStr">
        <is>
          <t>H2 Content</t>
        </is>
      </c>
      <c r="Q1" s="3" t="inlineStr">
        <is>
          <t>H2 Length</t>
        </is>
      </c>
      <c r="R1" s="3" t="inlineStr">
        <is>
          <t>H3 Content</t>
        </is>
      </c>
      <c r="S1" s="3" t="inlineStr">
        <is>
          <t>H3 Length</t>
        </is>
      </c>
      <c r="T1" s="3" t="inlineStr">
        <is>
          <t>H4 Content</t>
        </is>
      </c>
      <c r="U1" s="3" t="inlineStr">
        <is>
          <t>H4 Length</t>
        </is>
      </c>
      <c r="V1" s="3" t="inlineStr">
        <is>
          <t>H5 Content</t>
        </is>
      </c>
      <c r="W1" s="3" t="inlineStr">
        <is>
          <t>H5 Length</t>
        </is>
      </c>
      <c r="X1" s="3" t="inlineStr">
        <is>
          <t>H6 Content</t>
        </is>
      </c>
      <c r="Y1" s="3" t="inlineStr">
        <is>
          <t>H6 Length</t>
        </is>
      </c>
      <c r="Z1" s="3" t="inlineStr">
        <is>
          <t>Health Icon</t>
        </is>
      </c>
      <c r="AA1" t="inlineStr">
        <is>
          <t>Technical View</t>
        </is>
      </c>
      <c r="AB1" s="23" t="inlineStr">
        <is>
          <t>BACK TO DASHBOARD</t>
        </is>
      </c>
    </row>
    <row r="2" ht="30" customHeight="1">
      <c r="A2" s="33" t="inlineStr">
        <is>
          <t>https://africanmarketingconfederation.org/amc-conference-sponsors/</t>
        </is>
      </c>
      <c r="B2" s="32" t="n">
        <v>404</v>
      </c>
      <c r="C2" s="24" t="inlineStr">
        <is>
          <t>Indexable</t>
        </is>
      </c>
      <c r="D2" s="24" t="n">
        <v>3.974</v>
      </c>
      <c r="E2" s="24" t="inlineStr">
        <is>
          <t>African Marketing Confederation - Uniting Marketers for Excellence</t>
        </is>
      </c>
      <c r="F2" s="24" t="n">
        <v>0</v>
      </c>
      <c r="G2" s="24" t="n">
        <v>0</v>
      </c>
      <c r="H2" s="24" t="n">
        <v>24</v>
      </c>
      <c r="I2" s="32" t="inlineStr">
        <is>
          <t>Critical</t>
        </is>
      </c>
      <c r="J2" s="24" t="n">
        <v>0</v>
      </c>
      <c r="K2" s="24" t="n">
        <v>0</v>
      </c>
      <c r="L2" s="24" t="n"/>
      <c r="M2" s="24" t="b">
        <v>0</v>
      </c>
      <c r="N2" s="24" t="n"/>
      <c r="O2" s="24" t="n">
        <v>0</v>
      </c>
      <c r="P2" s="24" t="n"/>
      <c r="Q2" s="24" t="n">
        <v>0</v>
      </c>
      <c r="R2" s="24" t="n"/>
      <c r="S2" s="24" t="n">
        <v>0</v>
      </c>
      <c r="T2" s="24" t="n"/>
      <c r="U2" s="24" t="n">
        <v>0</v>
      </c>
      <c r="V2" s="24" t="n"/>
      <c r="W2" s="24" t="n">
        <v>0</v>
      </c>
      <c r="X2" s="24" t="n">
        <v>24</v>
      </c>
      <c r="Y2" s="24" t="n">
        <v>0</v>
      </c>
      <c r="Z2" s="24" t="inlineStr">
        <is>
          <t>FAIL 🔴</t>
        </is>
      </c>
      <c r="AA2">
        <f>IFERROR(HYPERLINK("#Technical!A"&amp;MATCH(A2,Technical!A:A,0),"Open Technical"),HYPERLINK("#Technical!A1","Open Technical"))</f>
        <v/>
      </c>
    </row>
    <row r="3" ht="30" customHeight="1">
      <c r="A3" s="33" t="inlineStr">
        <is>
          <t>https://africanmarketingconfederation.org/amc-marketing-conference-2024/speakers-2024/</t>
        </is>
      </c>
      <c r="B3" s="32" t="n">
        <v>404</v>
      </c>
      <c r="C3" s="6" t="inlineStr">
        <is>
          <t>Indexable</t>
        </is>
      </c>
      <c r="D3" s="6" t="n">
        <v>3.906</v>
      </c>
      <c r="E3" s="6" t="inlineStr">
        <is>
          <t>Publication Download List – African Marketing Confederation</t>
        </is>
      </c>
      <c r="F3" s="6" t="n">
        <v>0</v>
      </c>
      <c r="G3" s="6" t="n">
        <v>0</v>
      </c>
      <c r="H3" s="6" t="n">
        <v>24</v>
      </c>
      <c r="I3" s="32" t="inlineStr">
        <is>
          <t>Critical</t>
        </is>
      </c>
      <c r="J3" s="6" t="n">
        <v>0</v>
      </c>
      <c r="K3" s="6" t="n">
        <v>0</v>
      </c>
      <c r="L3" s="6" t="n"/>
      <c r="M3" s="6" t="b">
        <v>0</v>
      </c>
      <c r="N3" s="6" t="n"/>
      <c r="O3" s="6" t="n">
        <v>0</v>
      </c>
      <c r="P3" s="6" t="n"/>
      <c r="Q3" s="6" t="n">
        <v>0</v>
      </c>
      <c r="R3" s="6" t="n"/>
      <c r="S3" s="6" t="n">
        <v>0</v>
      </c>
      <c r="T3" s="6" t="n"/>
      <c r="U3" s="6" t="n">
        <v>0</v>
      </c>
      <c r="V3" s="6" t="n"/>
      <c r="W3" s="6" t="n">
        <v>0</v>
      </c>
      <c r="X3" s="6" t="n">
        <v>24</v>
      </c>
      <c r="Y3" s="6" t="n">
        <v>0</v>
      </c>
      <c r="Z3" s="6" t="inlineStr">
        <is>
          <t>FAIL 🔴</t>
        </is>
      </c>
      <c r="AA3">
        <f>IFERROR(HYPERLINK("#Technical!A"&amp;MATCH(A3,Technical!A:A,0),"Open Technical"),HYPERLINK("#Technical!A1","Open Technical"))</f>
        <v/>
      </c>
    </row>
    <row r="4">
      <c r="A4" s="33" t="inlineStr">
        <is>
          <t>https://africanmarketingconfederation.org/</t>
        </is>
      </c>
      <c r="B4" s="4" t="n">
        <v>200</v>
      </c>
      <c r="C4" s="24" t="inlineStr">
        <is>
          <t>Indexable</t>
        </is>
      </c>
      <c r="D4" s="24" t="n">
        <v>0.067</v>
      </c>
      <c r="E4" s="24" t="inlineStr">
        <is>
          <t>African Marketing Confederation - Uniting Marketers for Excellence</t>
        </is>
      </c>
      <c r="F4" s="24" t="inlineStr">
        <is>
          <t>The African Marketing Confederation is the ground-breaking Pan-African body driving the development of top marketing standards across Africa and beyond.</t>
        </is>
      </c>
      <c r="G4" s="24" t="n">
        <v>1105</v>
      </c>
      <c r="H4" s="24" t="n">
        <v>59</v>
      </c>
      <c r="I4" s="25" t="inlineStr">
        <is>
          <t>Warning</t>
        </is>
      </c>
      <c r="J4" s="24" t="n">
        <v>66</v>
      </c>
      <c r="K4" s="24" t="n">
        <v>152</v>
      </c>
      <c r="L4" s="24" t="n"/>
      <c r="M4" s="24" t="b">
        <v>0</v>
      </c>
      <c r="N4" s="24" t="n"/>
      <c r="O4" s="24" t="n">
        <v>0</v>
      </c>
      <c r="P4" s="24" t="n"/>
      <c r="Q4" s="24" t="n">
        <v>0</v>
      </c>
      <c r="R4" s="24" t="n"/>
      <c r="S4" s="24" t="n">
        <v>0</v>
      </c>
      <c r="T4" s="24" t="n"/>
      <c r="U4" s="24" t="n">
        <v>0</v>
      </c>
      <c r="V4" s="24" t="n"/>
      <c r="W4" s="24" t="n">
        <v>0</v>
      </c>
      <c r="X4" s="24" t="n">
        <v>59</v>
      </c>
      <c r="Y4" s="24" t="n">
        <v>0</v>
      </c>
      <c r="Z4" s="24" t="inlineStr">
        <is>
          <t>WARN 🟡</t>
        </is>
      </c>
      <c r="AA4">
        <f>IFERROR(HYPERLINK("#Technical!A"&amp;MATCH(A4,Technical!A:A,0),"Open Technical"),HYPERLINK("#Technical!A1","Open Technical"))</f>
        <v/>
      </c>
    </row>
    <row r="5" ht="30" customHeight="1">
      <c r="A5" s="33" t="inlineStr">
        <is>
          <t>https://africanmarketingconfederation.org/about-us/</t>
        </is>
      </c>
      <c r="B5" s="4" t="n">
        <v>200</v>
      </c>
      <c r="C5" s="6" t="inlineStr">
        <is>
          <t>Indexable</t>
        </is>
      </c>
      <c r="D5" s="6" t="n">
        <v>0.054</v>
      </c>
      <c r="E5" s="6" t="inlineStr">
        <is>
          <t>African Marketing Confederation – The Leading Marketing Professional Body – African Marketing Confederation</t>
        </is>
      </c>
      <c r="F5" s="6"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G5" s="6" t="n">
        <v>283</v>
      </c>
      <c r="H5" s="6" t="n">
        <v>59</v>
      </c>
      <c r="I5" s="25" t="inlineStr">
        <is>
          <t>Warning</t>
        </is>
      </c>
      <c r="J5" s="6" t="n">
        <v>107</v>
      </c>
      <c r="K5" s="6" t="n">
        <v>405</v>
      </c>
      <c r="L5" s="6" t="n"/>
      <c r="M5" s="6" t="b">
        <v>0</v>
      </c>
      <c r="N5" s="6" t="n"/>
      <c r="O5" s="6" t="n">
        <v>0</v>
      </c>
      <c r="P5" s="6" t="n"/>
      <c r="Q5" s="6" t="n">
        <v>0</v>
      </c>
      <c r="R5" s="6" t="n"/>
      <c r="S5" s="6" t="n">
        <v>0</v>
      </c>
      <c r="T5" s="6" t="n"/>
      <c r="U5" s="6" t="n">
        <v>0</v>
      </c>
      <c r="V5" s="6" t="n"/>
      <c r="W5" s="6" t="n">
        <v>0</v>
      </c>
      <c r="X5" s="6" t="n">
        <v>59</v>
      </c>
      <c r="Y5" s="6" t="n">
        <v>0</v>
      </c>
      <c r="Z5" s="6" t="inlineStr">
        <is>
          <t>WARN 🟡</t>
        </is>
      </c>
      <c r="AA5">
        <f>IFERROR(HYPERLINK("#Technical!A"&amp;MATCH(A5,Technical!A:A,0),"Open Technical"),HYPERLINK("#Technical!A1","Open Technical"))</f>
        <v/>
      </c>
    </row>
    <row r="6" ht="30" customHeight="1">
      <c r="A6" s="33" t="inlineStr">
        <is>
          <t>https://africanmarketingconfederation.org/african-marketing-confederation-tourism-chapter/</t>
        </is>
      </c>
      <c r="B6" s="4" t="n">
        <v>200</v>
      </c>
      <c r="C6" s="24" t="inlineStr">
        <is>
          <t>Indexable</t>
        </is>
      </c>
      <c r="D6" s="24" t="n">
        <v>0.042</v>
      </c>
      <c r="E6" s="24" t="inlineStr">
        <is>
          <t>African Marketing Confederation Tourism Chapter – African Marketing Confederation</t>
        </is>
      </c>
      <c r="F6" s="24"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G6" s="24" t="n">
        <v>449</v>
      </c>
      <c r="H6" s="24" t="n">
        <v>59</v>
      </c>
      <c r="I6" s="25" t="inlineStr">
        <is>
          <t>Warning</t>
        </is>
      </c>
      <c r="J6" s="24" t="n">
        <v>81</v>
      </c>
      <c r="K6" s="24" t="n">
        <v>423</v>
      </c>
      <c r="L6" s="24" t="n"/>
      <c r="M6" s="24" t="b">
        <v>0</v>
      </c>
      <c r="N6" s="24" t="n"/>
      <c r="O6" s="24" t="n">
        <v>0</v>
      </c>
      <c r="P6" s="24" t="n"/>
      <c r="Q6" s="24" t="n">
        <v>0</v>
      </c>
      <c r="R6" s="24" t="n"/>
      <c r="S6" s="24" t="n">
        <v>0</v>
      </c>
      <c r="T6" s="24" t="n"/>
      <c r="U6" s="24" t="n">
        <v>0</v>
      </c>
      <c r="V6" s="24" t="n"/>
      <c r="W6" s="24" t="n">
        <v>0</v>
      </c>
      <c r="X6" s="24" t="n">
        <v>59</v>
      </c>
      <c r="Y6" s="24" t="n">
        <v>0</v>
      </c>
      <c r="Z6" s="24" t="inlineStr">
        <is>
          <t>WARN 🟡</t>
        </is>
      </c>
      <c r="AA6">
        <f>IFERROR(HYPERLINK("#Technical!A"&amp;MATCH(A6,Technical!A:A,0),"Open Technical"),HYPERLINK("#Technical!A1","Open Technical"))</f>
        <v/>
      </c>
    </row>
    <row r="7" ht="30" customHeight="1">
      <c r="A7" s="33" t="inlineStr">
        <is>
          <t>https://africanmarketingconfederation.org/amc-awards-2024/</t>
        </is>
      </c>
      <c r="B7" s="4" t="n">
        <v>200</v>
      </c>
      <c r="C7" s="6" t="inlineStr">
        <is>
          <t>Indexable</t>
        </is>
      </c>
      <c r="D7" s="6" t="n">
        <v>0.056</v>
      </c>
      <c r="E7" s="6" t="inlineStr">
        <is>
          <t>AMC Awards 2024 – African Marketing Confederation</t>
        </is>
      </c>
      <c r="F7" s="6"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G7" s="6" t="n">
        <v>1672</v>
      </c>
      <c r="H7" s="6" t="n">
        <v>59</v>
      </c>
      <c r="I7" s="25" t="inlineStr">
        <is>
          <t>Warning</t>
        </is>
      </c>
      <c r="J7" s="6" t="n">
        <v>49</v>
      </c>
      <c r="K7" s="6" t="n">
        <v>406</v>
      </c>
      <c r="L7" s="6" t="n"/>
      <c r="M7" s="6" t="b">
        <v>0</v>
      </c>
      <c r="N7" s="6" t="n"/>
      <c r="O7" s="6" t="n">
        <v>0</v>
      </c>
      <c r="P7" s="6" t="n"/>
      <c r="Q7" s="6" t="n">
        <v>0</v>
      </c>
      <c r="R7" s="6" t="n"/>
      <c r="S7" s="6" t="n">
        <v>0</v>
      </c>
      <c r="T7" s="6" t="n"/>
      <c r="U7" s="6" t="n">
        <v>0</v>
      </c>
      <c r="V7" s="6" t="n"/>
      <c r="W7" s="6" t="n">
        <v>0</v>
      </c>
      <c r="X7" s="6" t="n">
        <v>59</v>
      </c>
      <c r="Y7" s="6" t="n">
        <v>0</v>
      </c>
      <c r="Z7" s="6" t="inlineStr">
        <is>
          <t>WARN 🟡</t>
        </is>
      </c>
      <c r="AA7">
        <f>IFERROR(HYPERLINK("#Technical!A"&amp;MATCH(A7,Technical!A:A,0),"Open Technical"),HYPERLINK("#Technical!A1","Open Technical"))</f>
        <v/>
      </c>
    </row>
    <row r="8" ht="30" customHeight="1">
      <c r="A8" s="33" t="inlineStr">
        <is>
          <t>https://africanmarketingconfederation.org/amc-conference-2022-prospectus/</t>
        </is>
      </c>
      <c r="B8" s="4" t="n">
        <v>200</v>
      </c>
      <c r="C8" s="24" t="inlineStr">
        <is>
          <t>Indexable</t>
        </is>
      </c>
      <c r="D8" s="24" t="n">
        <v>0.079</v>
      </c>
      <c r="E8" s="24" t="inlineStr">
        <is>
          <t>AMC Conference 2022 – Prospectus – African Marketing Confederation</t>
        </is>
      </c>
      <c r="F8" s="24"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G8" s="24" t="n">
        <v>164</v>
      </c>
      <c r="H8" s="24" t="n">
        <v>49</v>
      </c>
      <c r="I8" s="25" t="inlineStr">
        <is>
          <t>Warning</t>
        </is>
      </c>
      <c r="J8" s="24" t="n">
        <v>66</v>
      </c>
      <c r="K8" s="24" t="n">
        <v>335</v>
      </c>
      <c r="L8" s="24" t="n"/>
      <c r="M8" s="24" t="b">
        <v>0</v>
      </c>
      <c r="N8" s="24" t="n"/>
      <c r="O8" s="24" t="n">
        <v>0</v>
      </c>
      <c r="P8" s="24" t="n"/>
      <c r="Q8" s="24" t="n">
        <v>0</v>
      </c>
      <c r="R8" s="24" t="n"/>
      <c r="S8" s="24" t="n">
        <v>0</v>
      </c>
      <c r="T8" s="24" t="n"/>
      <c r="U8" s="24" t="n">
        <v>0</v>
      </c>
      <c r="V8" s="24" t="n"/>
      <c r="W8" s="24" t="n">
        <v>0</v>
      </c>
      <c r="X8" s="24" t="n">
        <v>49</v>
      </c>
      <c r="Y8" s="24" t="n">
        <v>0</v>
      </c>
      <c r="Z8" s="24" t="inlineStr">
        <is>
          <t>WARN 🟡</t>
        </is>
      </c>
      <c r="AA8">
        <f>IFERROR(HYPERLINK("#Technical!A"&amp;MATCH(A8,Technical!A:A,0),"Open Technical"),HYPERLINK("#Technical!A1","Open Technical"))</f>
        <v/>
      </c>
    </row>
    <row r="9" ht="30" customHeight="1">
      <c r="A9" s="33" t="inlineStr">
        <is>
          <t>https://africanmarketingconfederation.org/amc-conference-2022-thank-you/</t>
        </is>
      </c>
      <c r="B9" s="4" t="n">
        <v>200</v>
      </c>
      <c r="C9" s="6" t="inlineStr">
        <is>
          <t>Indexable</t>
        </is>
      </c>
      <c r="D9" s="6" t="n">
        <v>0.051</v>
      </c>
      <c r="E9" s="6" t="inlineStr">
        <is>
          <t>AMC Conference 2022 – Thank You – African Marketing Confederation</t>
        </is>
      </c>
      <c r="F9" s="6"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G9" s="6" t="n">
        <v>411</v>
      </c>
      <c r="H9" s="6" t="n">
        <v>59</v>
      </c>
      <c r="I9" s="25" t="inlineStr">
        <is>
          <t>Warning</t>
        </is>
      </c>
      <c r="J9" s="6" t="n">
        <v>65</v>
      </c>
      <c r="K9" s="6" t="n">
        <v>337</v>
      </c>
      <c r="L9" s="6" t="n"/>
      <c r="M9" s="6" t="b">
        <v>0</v>
      </c>
      <c r="N9" s="6" t="n"/>
      <c r="O9" s="6" t="n">
        <v>0</v>
      </c>
      <c r="P9" s="6" t="n"/>
      <c r="Q9" s="6" t="n">
        <v>0</v>
      </c>
      <c r="R9" s="6" t="n"/>
      <c r="S9" s="6" t="n">
        <v>0</v>
      </c>
      <c r="T9" s="6" t="n"/>
      <c r="U9" s="6" t="n">
        <v>0</v>
      </c>
      <c r="V9" s="6" t="n"/>
      <c r="W9" s="6" t="n">
        <v>0</v>
      </c>
      <c r="X9" s="6" t="n">
        <v>59</v>
      </c>
      <c r="Y9" s="6" t="n">
        <v>0</v>
      </c>
      <c r="Z9" s="6" t="inlineStr">
        <is>
          <t>WARN 🟡</t>
        </is>
      </c>
      <c r="AA9">
        <f>IFERROR(HYPERLINK("#Technical!A"&amp;MATCH(A9,Technical!A:A,0),"Open Technical"),HYPERLINK("#Technical!A1","Open Technical"))</f>
        <v/>
      </c>
    </row>
    <row r="10" ht="30" customHeight="1">
      <c r="A10" s="33" t="inlineStr">
        <is>
          <t>https://africanmarketingconfederation.org/amc-conference-2022/</t>
        </is>
      </c>
      <c r="B10" s="4" t="n">
        <v>200</v>
      </c>
      <c r="C10" s="24" t="inlineStr">
        <is>
          <t>Indexable</t>
        </is>
      </c>
      <c r="D10" s="24" t="n">
        <v>0.055</v>
      </c>
      <c r="E10" s="24" t="inlineStr">
        <is>
          <t>AMC Conference 2022 – African Marketing Confederation</t>
        </is>
      </c>
      <c r="F10" s="24"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G10" s="24" t="n">
        <v>376</v>
      </c>
      <c r="H10" s="24" t="n">
        <v>59</v>
      </c>
      <c r="I10" s="25" t="inlineStr">
        <is>
          <t>Warning</t>
        </is>
      </c>
      <c r="J10" s="24" t="n">
        <v>53</v>
      </c>
      <c r="K10" s="24" t="n">
        <v>387</v>
      </c>
      <c r="L10" s="24" t="n"/>
      <c r="M10" s="24" t="b">
        <v>0</v>
      </c>
      <c r="N10" s="24" t="n"/>
      <c r="O10" s="24" t="n">
        <v>0</v>
      </c>
      <c r="P10" s="24" t="n"/>
      <c r="Q10" s="24" t="n">
        <v>0</v>
      </c>
      <c r="R10" s="24" t="n"/>
      <c r="S10" s="24" t="n">
        <v>0</v>
      </c>
      <c r="T10" s="24" t="n"/>
      <c r="U10" s="24" t="n">
        <v>0</v>
      </c>
      <c r="V10" s="24" t="n"/>
      <c r="W10" s="24" t="n">
        <v>0</v>
      </c>
      <c r="X10" s="24" t="n">
        <v>59</v>
      </c>
      <c r="Y10" s="24" t="n">
        <v>0</v>
      </c>
      <c r="Z10" s="24" t="inlineStr">
        <is>
          <t>WARN 🟡</t>
        </is>
      </c>
      <c r="AA10">
        <f>IFERROR(HYPERLINK("#Technical!A"&amp;MATCH(A10,Technical!A:A,0),"Open Technical"),HYPERLINK("#Technical!A1","Open Technical"))</f>
        <v/>
      </c>
    </row>
    <row r="11" ht="30" customHeight="1">
      <c r="A11" s="33" t="inlineStr">
        <is>
          <t>https://africanmarketingconfederation.org/amc-conference-2023/</t>
        </is>
      </c>
      <c r="B11" s="4" t="n">
        <v>200</v>
      </c>
      <c r="C11" s="6" t="inlineStr">
        <is>
          <t>Indexable</t>
        </is>
      </c>
      <c r="D11" s="6" t="n">
        <v>0.051</v>
      </c>
      <c r="E11" s="6" t="inlineStr">
        <is>
          <t>AMC Conference 2023 – African Marketing Confederation</t>
        </is>
      </c>
      <c r="F11" s="6"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G11" s="6" t="n">
        <v>434</v>
      </c>
      <c r="H11" s="6" t="n">
        <v>69</v>
      </c>
      <c r="I11" s="25" t="inlineStr">
        <is>
          <t>Warning</t>
        </is>
      </c>
      <c r="J11" s="6" t="n">
        <v>53</v>
      </c>
      <c r="K11" s="6" t="n">
        <v>398</v>
      </c>
      <c r="L11" s="6" t="n"/>
      <c r="M11" s="6" t="b">
        <v>0</v>
      </c>
      <c r="N11" s="6" t="n"/>
      <c r="O11" s="6" t="n">
        <v>0</v>
      </c>
      <c r="P11" s="6" t="n"/>
      <c r="Q11" s="6" t="n">
        <v>0</v>
      </c>
      <c r="R11" s="6" t="n"/>
      <c r="S11" s="6" t="n">
        <v>0</v>
      </c>
      <c r="T11" s="6" t="n"/>
      <c r="U11" s="6" t="n">
        <v>0</v>
      </c>
      <c r="V11" s="6" t="n"/>
      <c r="W11" s="6" t="n">
        <v>0</v>
      </c>
      <c r="X11" s="6" t="n">
        <v>69</v>
      </c>
      <c r="Y11" s="6" t="n">
        <v>0</v>
      </c>
      <c r="Z11" s="6" t="inlineStr">
        <is>
          <t>WARN 🟡</t>
        </is>
      </c>
      <c r="AA11">
        <f>IFERROR(HYPERLINK("#Technical!A"&amp;MATCH(A11,Technical!A:A,0),"Open Technical"),HYPERLINK("#Technical!A1","Open Technical"))</f>
        <v/>
      </c>
    </row>
    <row r="12" ht="30" customHeight="1">
      <c r="A12" s="33" t="inlineStr">
        <is>
          <t>https://africanmarketingconfederation.org/amc-conference-2023/amc-awards-book-now/</t>
        </is>
      </c>
      <c r="B12" s="4" t="n">
        <v>200</v>
      </c>
      <c r="C12" s="24" t="inlineStr">
        <is>
          <t>Indexable</t>
        </is>
      </c>
      <c r="D12" s="24" t="n">
        <v>0.08599999999999999</v>
      </c>
      <c r="E12" s="24" t="inlineStr">
        <is>
          <t>AMC Awards | Book Now – African Marketing Confederation</t>
        </is>
      </c>
      <c r="F12" s="24" t="n">
        <v>55</v>
      </c>
      <c r="G12" s="24" t="n">
        <v>67</v>
      </c>
      <c r="H12" s="24" t="n">
        <v>39</v>
      </c>
      <c r="I12" s="25" t="inlineStr">
        <is>
          <t>Warning</t>
        </is>
      </c>
      <c r="J12" s="24" t="n">
        <v>55</v>
      </c>
      <c r="K12" s="24" t="n">
        <v>0</v>
      </c>
      <c r="L12" s="24" t="n"/>
      <c r="M12" s="24" t="b">
        <v>0</v>
      </c>
      <c r="N12" s="24" t="n"/>
      <c r="O12" s="24" t="n">
        <v>0</v>
      </c>
      <c r="P12" s="24" t="n"/>
      <c r="Q12" s="24" t="n">
        <v>0</v>
      </c>
      <c r="R12" s="24" t="n"/>
      <c r="S12" s="24" t="n">
        <v>0</v>
      </c>
      <c r="T12" s="24" t="n"/>
      <c r="U12" s="24" t="n">
        <v>0</v>
      </c>
      <c r="V12" s="24" t="n"/>
      <c r="W12" s="24" t="n">
        <v>0</v>
      </c>
      <c r="X12" s="24" t="n">
        <v>39</v>
      </c>
      <c r="Y12" s="24" t="n">
        <v>0</v>
      </c>
      <c r="Z12" s="24" t="inlineStr">
        <is>
          <t>WARN 🟡</t>
        </is>
      </c>
      <c r="AA12">
        <f>IFERROR(HYPERLINK("#Technical!A"&amp;MATCH(A12,Technical!A:A,0),"Open Technical"),HYPERLINK("#Technical!A1","Open Technical"))</f>
        <v/>
      </c>
    </row>
    <row r="13" ht="30" customHeight="1">
      <c r="A13" s="33" t="inlineStr">
        <is>
          <t>https://africanmarketingconfederation.org/amc-conference-2023/amc-awards/</t>
        </is>
      </c>
      <c r="B13" s="4" t="n">
        <v>200</v>
      </c>
      <c r="C13" s="6" t="inlineStr">
        <is>
          <t>Indexable</t>
        </is>
      </c>
      <c r="D13" s="6" t="n">
        <v>0.048</v>
      </c>
      <c r="E13" s="6" t="inlineStr">
        <is>
          <t>AMC Awards – African Marketing Confederation</t>
        </is>
      </c>
      <c r="F13" s="6"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G13" s="6" t="n">
        <v>362</v>
      </c>
      <c r="H13" s="6" t="n">
        <v>69</v>
      </c>
      <c r="I13" s="25" t="inlineStr">
        <is>
          <t>Warning</t>
        </is>
      </c>
      <c r="J13" s="6" t="n">
        <v>44</v>
      </c>
      <c r="K13" s="6" t="n">
        <v>432</v>
      </c>
      <c r="L13" s="6" t="n"/>
      <c r="M13" s="6" t="b">
        <v>0</v>
      </c>
      <c r="N13" s="6" t="n"/>
      <c r="O13" s="6" t="n">
        <v>0</v>
      </c>
      <c r="P13" s="6" t="n"/>
      <c r="Q13" s="6" t="n">
        <v>0</v>
      </c>
      <c r="R13" s="6" t="n"/>
      <c r="S13" s="6" t="n">
        <v>0</v>
      </c>
      <c r="T13" s="6" t="n"/>
      <c r="U13" s="6" t="n">
        <v>0</v>
      </c>
      <c r="V13" s="6" t="n"/>
      <c r="W13" s="6" t="n">
        <v>0</v>
      </c>
      <c r="X13" s="6" t="n">
        <v>69</v>
      </c>
      <c r="Y13" s="6" t="n">
        <v>0</v>
      </c>
      <c r="Z13" s="6" t="inlineStr">
        <is>
          <t>WARN 🟡</t>
        </is>
      </c>
      <c r="AA13">
        <f>IFERROR(HYPERLINK("#Technical!A"&amp;MATCH(A13,Technical!A:A,0),"Open Technical"),HYPERLINK("#Technical!A1","Open Technical"))</f>
        <v/>
      </c>
    </row>
    <row r="14" ht="30" customHeight="1">
      <c r="A14" s="33" t="inlineStr">
        <is>
          <t>https://africanmarketingconfederation.org/amc-conference-2023/book-now-thank-you/</t>
        </is>
      </c>
      <c r="B14" s="4" t="n">
        <v>200</v>
      </c>
      <c r="C14" s="24" t="inlineStr">
        <is>
          <t>Indexable</t>
        </is>
      </c>
      <c r="D14" s="24" t="n">
        <v>0.067</v>
      </c>
      <c r="E14" s="24" t="inlineStr">
        <is>
          <t>Book Now | Thank you – African Marketing Confederation</t>
        </is>
      </c>
      <c r="F14" s="24" t="inlineStr">
        <is>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is>
      </c>
      <c r="G14" s="24" t="n">
        <v>81</v>
      </c>
      <c r="H14" s="24" t="n">
        <v>49</v>
      </c>
      <c r="I14" s="25" t="inlineStr">
        <is>
          <t>Warning</t>
        </is>
      </c>
      <c r="J14" s="24" t="n">
        <v>54</v>
      </c>
      <c r="K14" s="24" t="n">
        <v>379</v>
      </c>
      <c r="L14" s="24" t="n"/>
      <c r="M14" s="24" t="b">
        <v>0</v>
      </c>
      <c r="N14" s="24" t="n"/>
      <c r="O14" s="24" t="n">
        <v>0</v>
      </c>
      <c r="P14" s="24" t="n"/>
      <c r="Q14" s="24" t="n">
        <v>0</v>
      </c>
      <c r="R14" s="24" t="n"/>
      <c r="S14" s="24" t="n">
        <v>0</v>
      </c>
      <c r="T14" s="24" t="n"/>
      <c r="U14" s="24" t="n">
        <v>0</v>
      </c>
      <c r="V14" s="24" t="n"/>
      <c r="W14" s="24" t="n">
        <v>0</v>
      </c>
      <c r="X14" s="24" t="n">
        <v>49</v>
      </c>
      <c r="Y14" s="24" t="n">
        <v>0</v>
      </c>
      <c r="Z14" s="24" t="inlineStr">
        <is>
          <t>WARN 🟡</t>
        </is>
      </c>
      <c r="AA14">
        <f>IFERROR(HYPERLINK("#Technical!A"&amp;MATCH(A14,Technical!A:A,0),"Open Technical"),HYPERLINK("#Technical!A1","Open Technical"))</f>
        <v/>
      </c>
    </row>
    <row r="15" ht="30" customHeight="1">
      <c r="A15" s="33" t="inlineStr">
        <is>
          <t>https://africanmarketingconfederation.org/amc-conference-2023/book-now/</t>
        </is>
      </c>
      <c r="B15" s="4" t="n">
        <v>200</v>
      </c>
      <c r="C15" s="6" t="inlineStr">
        <is>
          <t>Indexable</t>
        </is>
      </c>
      <c r="D15" s="6" t="n">
        <v>0.081</v>
      </c>
      <c r="E15" s="6" t="inlineStr">
        <is>
          <t>Book Now – African Marketing Confederation</t>
        </is>
      </c>
      <c r="F15" s="6" t="inlineStr">
        <is>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is>
      </c>
      <c r="G15" s="6" t="n">
        <v>231</v>
      </c>
      <c r="H15" s="6" t="n">
        <v>59</v>
      </c>
      <c r="I15" s="25" t="inlineStr">
        <is>
          <t>Warning</t>
        </is>
      </c>
      <c r="J15" s="6" t="n">
        <v>42</v>
      </c>
      <c r="K15" s="6" t="n">
        <v>316</v>
      </c>
      <c r="L15" s="6" t="n"/>
      <c r="M15" s="6" t="b">
        <v>0</v>
      </c>
      <c r="N15" s="6" t="n"/>
      <c r="O15" s="6" t="n">
        <v>0</v>
      </c>
      <c r="P15" s="6" t="n"/>
      <c r="Q15" s="6" t="n">
        <v>0</v>
      </c>
      <c r="R15" s="6" t="n"/>
      <c r="S15" s="6" t="n">
        <v>0</v>
      </c>
      <c r="T15" s="6" t="n"/>
      <c r="U15" s="6" t="n">
        <v>0</v>
      </c>
      <c r="V15" s="6" t="n"/>
      <c r="W15" s="6" t="n">
        <v>0</v>
      </c>
      <c r="X15" s="6" t="n">
        <v>59</v>
      </c>
      <c r="Y15" s="6" t="n">
        <v>0</v>
      </c>
      <c r="Z15" s="6" t="inlineStr">
        <is>
          <t>WARN 🟡</t>
        </is>
      </c>
      <c r="AA15">
        <f>IFERROR(HYPERLINK("#Technical!A"&amp;MATCH(A15,Technical!A:A,0),"Open Technical"),HYPERLINK("#Technical!A1","Open Technical"))</f>
        <v/>
      </c>
    </row>
    <row r="16" ht="30" customHeight="1">
      <c r="A16" s="33" t="inlineStr">
        <is>
          <t>https://africanmarketingconfederation.org/amc-conference-2023/download-prospectus/</t>
        </is>
      </c>
      <c r="B16" s="4" t="n">
        <v>200</v>
      </c>
      <c r="C16" s="24" t="inlineStr">
        <is>
          <t>Indexable</t>
        </is>
      </c>
      <c r="D16" s="24" t="n">
        <v>0.07000000000000001</v>
      </c>
      <c r="E16" s="24" t="inlineStr">
        <is>
          <t>Download Prospectus – African Marketing Confederation</t>
        </is>
      </c>
      <c r="F16" s="24" t="inlineStr">
        <is>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is>
      </c>
      <c r="G16" s="24" t="n">
        <v>136</v>
      </c>
      <c r="H16" s="24" t="n">
        <v>59</v>
      </c>
      <c r="I16" s="25" t="inlineStr">
        <is>
          <t>Warning</t>
        </is>
      </c>
      <c r="J16" s="24" t="n">
        <v>53</v>
      </c>
      <c r="K16" s="24" t="n">
        <v>340</v>
      </c>
      <c r="L16" s="24" t="n"/>
      <c r="M16" s="24" t="b">
        <v>0</v>
      </c>
      <c r="N16" s="24" t="n"/>
      <c r="O16" s="24" t="n">
        <v>0</v>
      </c>
      <c r="P16" s="24" t="n"/>
      <c r="Q16" s="24" t="n">
        <v>0</v>
      </c>
      <c r="R16" s="24" t="n"/>
      <c r="S16" s="24" t="n">
        <v>0</v>
      </c>
      <c r="T16" s="24" t="n"/>
      <c r="U16" s="24" t="n">
        <v>0</v>
      </c>
      <c r="V16" s="24" t="n"/>
      <c r="W16" s="24" t="n">
        <v>0</v>
      </c>
      <c r="X16" s="24" t="n">
        <v>59</v>
      </c>
      <c r="Y16" s="24" t="n">
        <v>0</v>
      </c>
      <c r="Z16" s="24" t="inlineStr">
        <is>
          <t>WARN 🟡</t>
        </is>
      </c>
      <c r="AA16">
        <f>IFERROR(HYPERLINK("#Technical!A"&amp;MATCH(A16,Technical!A:A,0),"Open Technical"),HYPERLINK("#Technical!A1","Open Technical"))</f>
        <v/>
      </c>
    </row>
    <row r="17" ht="30" customHeight="1">
      <c r="A17" s="33" t="inlineStr">
        <is>
          <t>https://africanmarketingconfederation.org/amc-conference-2023/gallery/</t>
        </is>
      </c>
      <c r="B17" s="4" t="n">
        <v>200</v>
      </c>
      <c r="C17" s="6" t="inlineStr">
        <is>
          <t>Indexable</t>
        </is>
      </c>
      <c r="D17" s="6" t="n">
        <v>0.078</v>
      </c>
      <c r="E17" s="6" t="inlineStr">
        <is>
          <t>Gallery – African Marketing Confederation</t>
        </is>
      </c>
      <c r="F17" s="6" t="inlineStr">
        <is>
          <t>Conference Gallery sydney sweeney met gala All Day 1 Day 2 Day 3 Night 1 Night 2 Night 3</t>
        </is>
      </c>
      <c r="G17" s="6" t="n">
        <v>82</v>
      </c>
      <c r="H17" s="6" t="n">
        <v>59</v>
      </c>
      <c r="I17" s="25" t="inlineStr">
        <is>
          <t>Warning</t>
        </is>
      </c>
      <c r="J17" s="6" t="n">
        <v>41</v>
      </c>
      <c r="K17" s="6" t="n">
        <v>88</v>
      </c>
      <c r="L17" s="6" t="n"/>
      <c r="M17" s="6" t="b">
        <v>0</v>
      </c>
      <c r="N17" s="6" t="n"/>
      <c r="O17" s="6" t="n">
        <v>0</v>
      </c>
      <c r="P17" s="6" t="n"/>
      <c r="Q17" s="6" t="n">
        <v>0</v>
      </c>
      <c r="R17" s="6" t="n"/>
      <c r="S17" s="6" t="n">
        <v>0</v>
      </c>
      <c r="T17" s="6" t="n"/>
      <c r="U17" s="6" t="n">
        <v>0</v>
      </c>
      <c r="V17" s="6" t="n"/>
      <c r="W17" s="6" t="n">
        <v>0</v>
      </c>
      <c r="X17" s="6" t="n">
        <v>59</v>
      </c>
      <c r="Y17" s="6" t="n">
        <v>0</v>
      </c>
      <c r="Z17" s="6" t="inlineStr">
        <is>
          <t>WARN 🟡</t>
        </is>
      </c>
      <c r="AA17">
        <f>IFERROR(HYPERLINK("#Technical!A"&amp;MATCH(A17,Technical!A:A,0),"Open Technical"),HYPERLINK("#Technical!A1","Open Technical"))</f>
        <v/>
      </c>
    </row>
    <row r="18" ht="30" customHeight="1">
      <c r="A18" s="33" t="inlineStr">
        <is>
          <t>https://africanmarketingconfederation.org/amc-conference-2023/partners/</t>
        </is>
      </c>
      <c r="B18" s="4" t="n">
        <v>200</v>
      </c>
      <c r="C18" s="24" t="inlineStr">
        <is>
          <t>Indexable</t>
        </is>
      </c>
      <c r="D18" s="24" t="n">
        <v>0.048</v>
      </c>
      <c r="E18" s="24" t="inlineStr">
        <is>
          <t>Partners – African Marketing Confederation</t>
        </is>
      </c>
      <c r="F18" s="24" t="inlineStr">
        <is>
          <t>Conference Partners AMC Member Bodies</t>
        </is>
      </c>
      <c r="G18" s="24" t="n">
        <v>72</v>
      </c>
      <c r="H18" s="24" t="n">
        <v>59</v>
      </c>
      <c r="I18" s="25" t="inlineStr">
        <is>
          <t>Warning</t>
        </is>
      </c>
      <c r="J18" s="24" t="n">
        <v>42</v>
      </c>
      <c r="K18" s="24" t="n">
        <v>37</v>
      </c>
      <c r="L18" s="24" t="n"/>
      <c r="M18" s="24" t="b">
        <v>0</v>
      </c>
      <c r="N18" s="24" t="n"/>
      <c r="O18" s="24" t="n">
        <v>0</v>
      </c>
      <c r="P18" s="24" t="n"/>
      <c r="Q18" s="24" t="n">
        <v>0</v>
      </c>
      <c r="R18" s="24" t="n"/>
      <c r="S18" s="24" t="n">
        <v>0</v>
      </c>
      <c r="T18" s="24" t="n"/>
      <c r="U18" s="24" t="n">
        <v>0</v>
      </c>
      <c r="V18" s="24" t="n"/>
      <c r="W18" s="24" t="n">
        <v>0</v>
      </c>
      <c r="X18" s="24" t="n">
        <v>59</v>
      </c>
      <c r="Y18" s="24" t="n">
        <v>0</v>
      </c>
      <c r="Z18" s="24" t="inlineStr">
        <is>
          <t>WARN 🟡</t>
        </is>
      </c>
      <c r="AA18">
        <f>IFERROR(HYPERLINK("#Technical!A"&amp;MATCH(A18,Technical!A:A,0),"Open Technical"),HYPERLINK("#Technical!A1","Open Technical"))</f>
        <v/>
      </c>
    </row>
    <row r="19" ht="30" customHeight="1">
      <c r="A19" s="33" t="inlineStr">
        <is>
          <t>https://africanmarketingconfederation.org/amc-conference-2023/programme/</t>
        </is>
      </c>
      <c r="B19" s="4" t="n">
        <v>200</v>
      </c>
      <c r="C19" s="6" t="inlineStr">
        <is>
          <t>Indexable</t>
        </is>
      </c>
      <c r="D19" s="6" t="n">
        <v>0.105</v>
      </c>
      <c r="E19" s="6" t="inlineStr">
        <is>
          <t>Programme – African Marketing Confederation</t>
        </is>
      </c>
      <c r="F19" s="6"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G19" s="6" t="n">
        <v>730</v>
      </c>
      <c r="H19" s="6" t="n">
        <v>69</v>
      </c>
      <c r="I19" s="25" t="inlineStr">
        <is>
          <t>Warning</t>
        </is>
      </c>
      <c r="J19" s="6" t="n">
        <v>43</v>
      </c>
      <c r="K19" s="6" t="n">
        <v>362</v>
      </c>
      <c r="L19" s="6" t="n"/>
      <c r="M19" s="6" t="b">
        <v>0</v>
      </c>
      <c r="N19" s="6" t="n"/>
      <c r="O19" s="6" t="n">
        <v>0</v>
      </c>
      <c r="P19" s="6" t="n"/>
      <c r="Q19" s="6" t="n">
        <v>0</v>
      </c>
      <c r="R19" s="6" t="n"/>
      <c r="S19" s="6" t="n">
        <v>0</v>
      </c>
      <c r="T19" s="6" t="n"/>
      <c r="U19" s="6" t="n">
        <v>0</v>
      </c>
      <c r="V19" s="6" t="n"/>
      <c r="W19" s="6" t="n">
        <v>0</v>
      </c>
      <c r="X19" s="6" t="n">
        <v>69</v>
      </c>
      <c r="Y19" s="6" t="n">
        <v>0</v>
      </c>
      <c r="Z19" s="6" t="inlineStr">
        <is>
          <t>WARN 🟡</t>
        </is>
      </c>
      <c r="AA19">
        <f>IFERROR(HYPERLINK("#Technical!A"&amp;MATCH(A19,Technical!A:A,0),"Open Technical"),HYPERLINK("#Technical!A1","Open Technical"))</f>
        <v/>
      </c>
    </row>
    <row r="20" ht="30" customHeight="1">
      <c r="A20" s="33" t="inlineStr">
        <is>
          <t>https://africanmarketingconfederation.org/amc-conference-2023/speakers/</t>
        </is>
      </c>
      <c r="B20" s="4" t="n">
        <v>200</v>
      </c>
      <c r="C20" s="24" t="inlineStr">
        <is>
          <t>Indexable</t>
        </is>
      </c>
      <c r="D20" s="24" t="n">
        <v>0.176</v>
      </c>
      <c r="E20" s="24" t="inlineStr">
        <is>
          <t>Speakers – African Marketing Confederation</t>
        </is>
      </c>
      <c r="F20" s="24" t="inlineStr">
        <is>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is>
      </c>
      <c r="G20" s="24" t="n">
        <v>2694</v>
      </c>
      <c r="H20" s="24" t="n">
        <v>69</v>
      </c>
      <c r="I20" s="25" t="inlineStr">
        <is>
          <t>Warning</t>
        </is>
      </c>
      <c r="J20" s="24" t="n">
        <v>42</v>
      </c>
      <c r="K20" s="24" t="n">
        <v>354</v>
      </c>
      <c r="L20" s="24" t="n"/>
      <c r="M20" s="24" t="b">
        <v>0</v>
      </c>
      <c r="N20" s="24" t="n"/>
      <c r="O20" s="24" t="n">
        <v>0</v>
      </c>
      <c r="P20" s="24" t="n"/>
      <c r="Q20" s="24" t="n">
        <v>0</v>
      </c>
      <c r="R20" s="24" t="n"/>
      <c r="S20" s="24" t="n">
        <v>0</v>
      </c>
      <c r="T20" s="24" t="n"/>
      <c r="U20" s="24" t="n">
        <v>0</v>
      </c>
      <c r="V20" s="24" t="n"/>
      <c r="W20" s="24" t="n">
        <v>0</v>
      </c>
      <c r="X20" s="24" t="n">
        <v>69</v>
      </c>
      <c r="Y20" s="24" t="n">
        <v>0</v>
      </c>
      <c r="Z20" s="24" t="inlineStr">
        <is>
          <t>WARN 🟡</t>
        </is>
      </c>
      <c r="AA20">
        <f>IFERROR(HYPERLINK("#Technical!A"&amp;MATCH(A20,Technical!A:A,0),"Open Technical"),HYPERLINK("#Technical!A1","Open Technical"))</f>
        <v/>
      </c>
    </row>
    <row r="21" ht="30" customHeight="1">
      <c r="A21" s="33" t="inlineStr">
        <is>
          <t>https://africanmarketingconfederation.org/amc-conference-2024-recap/</t>
        </is>
      </c>
      <c r="B21" s="4" t="n">
        <v>200</v>
      </c>
      <c r="C21" s="6" t="inlineStr">
        <is>
          <t>Indexable</t>
        </is>
      </c>
      <c r="D21" s="6" t="n">
        <v>0.303</v>
      </c>
      <c r="E21" s="6" t="inlineStr">
        <is>
          <t>AMC Conference 2024 Recap – African Marketing Confederation</t>
        </is>
      </c>
      <c r="F21" s="6" t="inlineStr">
        <is>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is>
      </c>
      <c r="G21" s="6" t="n">
        <v>1453</v>
      </c>
      <c r="H21" s="6" t="n">
        <v>59</v>
      </c>
      <c r="I21" s="25" t="inlineStr">
        <is>
          <t>Warning</t>
        </is>
      </c>
      <c r="J21" s="6" t="n">
        <v>59</v>
      </c>
      <c r="K21" s="6" t="n">
        <v>377</v>
      </c>
      <c r="L21" s="6" t="n"/>
      <c r="M21" s="6" t="b">
        <v>0</v>
      </c>
      <c r="N21" s="6" t="n"/>
      <c r="O21" s="6" t="n">
        <v>0</v>
      </c>
      <c r="P21" s="6" t="n"/>
      <c r="Q21" s="6" t="n">
        <v>0</v>
      </c>
      <c r="R21" s="6" t="n"/>
      <c r="S21" s="6" t="n">
        <v>0</v>
      </c>
      <c r="T21" s="6" t="n"/>
      <c r="U21" s="6" t="n">
        <v>0</v>
      </c>
      <c r="V21" s="6" t="n"/>
      <c r="W21" s="6" t="n">
        <v>0</v>
      </c>
      <c r="X21" s="6" t="n">
        <v>59</v>
      </c>
      <c r="Y21" s="6" t="n">
        <v>0</v>
      </c>
      <c r="Z21" s="6" t="inlineStr">
        <is>
          <t>WARN 🟡</t>
        </is>
      </c>
      <c r="AA21">
        <f>IFERROR(HYPERLINK("#Technical!A"&amp;MATCH(A21,Technical!A:A,0),"Open Technical"),HYPERLINK("#Technical!A1","Open Technical"))</f>
        <v/>
      </c>
    </row>
    <row r="22" ht="30" customHeight="1">
      <c r="A22" s="33" t="inlineStr">
        <is>
          <t>https://africanmarketingconfederation.org/amc-conference-2024-sponsors-packages/</t>
        </is>
      </c>
      <c r="B22" s="4" t="n">
        <v>200</v>
      </c>
      <c r="C22" s="24" t="inlineStr">
        <is>
          <t>Indexable</t>
        </is>
      </c>
      <c r="D22" s="24" t="n">
        <v>0.06</v>
      </c>
      <c r="E22" s="24" t="inlineStr">
        <is>
          <t>Sponsors Packages – African Marketing Confederation</t>
        </is>
      </c>
      <c r="F22" s="24" t="inlineStr">
        <is>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is>
      </c>
      <c r="G22" s="24" t="n">
        <v>145</v>
      </c>
      <c r="H22" s="24" t="n">
        <v>59</v>
      </c>
      <c r="I22" s="25" t="inlineStr">
        <is>
          <t>Warning</t>
        </is>
      </c>
      <c r="J22" s="24" t="n">
        <v>51</v>
      </c>
      <c r="K22" s="24" t="n">
        <v>339</v>
      </c>
      <c r="L22" s="24" t="n"/>
      <c r="M22" s="24" t="b">
        <v>0</v>
      </c>
      <c r="N22" s="24" t="n"/>
      <c r="O22" s="24" t="n">
        <v>0</v>
      </c>
      <c r="P22" s="24" t="n"/>
      <c r="Q22" s="24" t="n">
        <v>0</v>
      </c>
      <c r="R22" s="24" t="n"/>
      <c r="S22" s="24" t="n">
        <v>0</v>
      </c>
      <c r="T22" s="24" t="n"/>
      <c r="U22" s="24" t="n">
        <v>0</v>
      </c>
      <c r="V22" s="24" t="n"/>
      <c r="W22" s="24" t="n">
        <v>0</v>
      </c>
      <c r="X22" s="24" t="n">
        <v>59</v>
      </c>
      <c r="Y22" s="24" t="n">
        <v>0</v>
      </c>
      <c r="Z22" s="24" t="inlineStr">
        <is>
          <t>WARN 🟡</t>
        </is>
      </c>
      <c r="AA22">
        <f>IFERROR(HYPERLINK("#Technical!A"&amp;MATCH(A22,Technical!A:A,0),"Open Technical"),HYPERLINK("#Technical!A1","Open Technical"))</f>
        <v/>
      </c>
    </row>
    <row r="23" ht="30" customHeight="1">
      <c r="A23" s="33" t="inlineStr">
        <is>
          <t>https://africanmarketingconfederation.org/amc-conference-2025-highlights/</t>
        </is>
      </c>
      <c r="B23" s="4" t="n">
        <v>200</v>
      </c>
      <c r="C23" s="6" t="inlineStr">
        <is>
          <t>Indexable</t>
        </is>
      </c>
      <c r="D23" s="6" t="n">
        <v>0.16</v>
      </c>
      <c r="E23" s="6" t="inlineStr">
        <is>
          <t>AMC Conference 2025 Highlights – African Marketing Confederation</t>
        </is>
      </c>
      <c r="F23" s="6" t="inlineStr">
        <is>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is>
      </c>
      <c r="G23" s="6" t="n">
        <v>1888</v>
      </c>
      <c r="H23" s="6" t="n">
        <v>56</v>
      </c>
      <c r="I23" s="25" t="inlineStr">
        <is>
          <t>Warning</t>
        </is>
      </c>
      <c r="J23" s="6" t="n">
        <v>64</v>
      </c>
      <c r="K23" s="6" t="n">
        <v>437</v>
      </c>
      <c r="L23" s="6" t="n"/>
      <c r="M23" s="6" t="b">
        <v>0</v>
      </c>
      <c r="N23" s="6" t="n"/>
      <c r="O23" s="6" t="n">
        <v>0</v>
      </c>
      <c r="P23" s="6" t="n"/>
      <c r="Q23" s="6" t="n">
        <v>0</v>
      </c>
      <c r="R23" s="6" t="n"/>
      <c r="S23" s="6" t="n">
        <v>0</v>
      </c>
      <c r="T23" s="6" t="n"/>
      <c r="U23" s="6" t="n">
        <v>0</v>
      </c>
      <c r="V23" s="6" t="n"/>
      <c r="W23" s="6" t="n">
        <v>0</v>
      </c>
      <c r="X23" s="6" t="n">
        <v>56</v>
      </c>
      <c r="Y23" s="6" t="n">
        <v>0</v>
      </c>
      <c r="Z23" s="6" t="inlineStr">
        <is>
          <t>WARN 🟡</t>
        </is>
      </c>
      <c r="AA23">
        <f>IFERROR(HYPERLINK("#Technical!A"&amp;MATCH(A23,Technical!A:A,0),"Open Technical"),HYPERLINK("#Technical!A1","Open Technical"))</f>
        <v/>
      </c>
    </row>
    <row r="24" ht="30" customHeight="1">
      <c r="A24" s="33" t="inlineStr">
        <is>
          <t>https://africanmarketingconfederation.org/amc-conference-2025/</t>
        </is>
      </c>
      <c r="B24" s="4" t="n">
        <v>200</v>
      </c>
      <c r="C24" s="24" t="inlineStr">
        <is>
          <t>Indexable</t>
        </is>
      </c>
      <c r="D24" s="24" t="n">
        <v>0.077</v>
      </c>
      <c r="E24" s="24" t="inlineStr">
        <is>
          <t>AMC Conference 2025</t>
        </is>
      </c>
      <c r="F24" s="24" t="inlineStr">
        <is>
          <t>Join Africa's top marketers at the AMC Conference 2025 n Accra, Ghana from 20-22 August - 3 days of insights, innovation, and powerful networking.</t>
        </is>
      </c>
      <c r="G24" s="24" t="n">
        <v>1242</v>
      </c>
      <c r="H24" s="24" t="n">
        <v>59</v>
      </c>
      <c r="I24" s="25" t="inlineStr">
        <is>
          <t>Warning</t>
        </is>
      </c>
      <c r="J24" s="24" t="n">
        <v>19</v>
      </c>
      <c r="K24" s="24" t="n">
        <v>146</v>
      </c>
      <c r="L24" s="24" t="n"/>
      <c r="M24" s="24" t="b">
        <v>0</v>
      </c>
      <c r="N24" s="24" t="n"/>
      <c r="O24" s="24" t="n">
        <v>0</v>
      </c>
      <c r="P24" s="24" t="n"/>
      <c r="Q24" s="24" t="n">
        <v>0</v>
      </c>
      <c r="R24" s="24" t="n"/>
      <c r="S24" s="24" t="n">
        <v>0</v>
      </c>
      <c r="T24" s="24" t="n"/>
      <c r="U24" s="24" t="n">
        <v>0</v>
      </c>
      <c r="V24" s="24" t="n"/>
      <c r="W24" s="24" t="n">
        <v>0</v>
      </c>
      <c r="X24" s="24" t="n">
        <v>59</v>
      </c>
      <c r="Y24" s="24" t="n">
        <v>0</v>
      </c>
      <c r="Z24" s="24" t="inlineStr">
        <is>
          <t>WARN 🟡</t>
        </is>
      </c>
      <c r="AA24">
        <f>IFERROR(HYPERLINK("#Technical!A"&amp;MATCH(A24,Technical!A:A,0),"Open Technical"),HYPERLINK("#Technical!A1","Open Technical"))</f>
        <v/>
      </c>
    </row>
    <row r="25" ht="30" customHeight="1">
      <c r="A25" s="33" t="inlineStr">
        <is>
          <t>https://africanmarketingconfederation.org/amc-conference-2026-awards-nominations-thank-you/</t>
        </is>
      </c>
      <c r="B25" s="4" t="n">
        <v>200</v>
      </c>
      <c r="C25" s="6" t="inlineStr">
        <is>
          <t>Indexable</t>
        </is>
      </c>
      <c r="D25" s="6" t="n">
        <v>0.065</v>
      </c>
      <c r="E25" s="6" t="inlineStr">
        <is>
          <t>AMC Conference 2026 Awards Nominations Thank You – African Marketing Confederation</t>
        </is>
      </c>
      <c r="F25" s="6" t="inlineStr">
        <is>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is>
      </c>
      <c r="G25" s="6" t="n">
        <v>233</v>
      </c>
      <c r="H25" s="6" t="n">
        <v>49</v>
      </c>
      <c r="I25" s="25" t="inlineStr">
        <is>
          <t>Warning</t>
        </is>
      </c>
      <c r="J25" s="6" t="n">
        <v>82</v>
      </c>
      <c r="K25" s="6" t="n">
        <v>353</v>
      </c>
      <c r="L25" s="6" t="n"/>
      <c r="M25" s="6" t="b">
        <v>0</v>
      </c>
      <c r="N25" s="6" t="n"/>
      <c r="O25" s="6" t="n">
        <v>0</v>
      </c>
      <c r="P25" s="6" t="n"/>
      <c r="Q25" s="6" t="n">
        <v>0</v>
      </c>
      <c r="R25" s="6" t="n"/>
      <c r="S25" s="6" t="n">
        <v>0</v>
      </c>
      <c r="T25" s="6" t="n"/>
      <c r="U25" s="6" t="n">
        <v>0</v>
      </c>
      <c r="V25" s="6" t="n"/>
      <c r="W25" s="6" t="n">
        <v>0</v>
      </c>
      <c r="X25" s="6" t="n">
        <v>49</v>
      </c>
      <c r="Y25" s="6" t="n">
        <v>0</v>
      </c>
      <c r="Z25" s="6" t="inlineStr">
        <is>
          <t>WARN 🟡</t>
        </is>
      </c>
      <c r="AA25">
        <f>IFERROR(HYPERLINK("#Technical!A"&amp;MATCH(A25,Technical!A:A,0),"Open Technical"),HYPERLINK("#Technical!A1","Open Technical"))</f>
        <v/>
      </c>
    </row>
    <row r="26" ht="30" customHeight="1">
      <c r="A26" s="33" t="inlineStr">
        <is>
          <t>https://africanmarketingconfederation.org/amc-conference-2026-zambia-thank-you/</t>
        </is>
      </c>
      <c r="B26" s="4" t="n">
        <v>200</v>
      </c>
      <c r="C26" s="24" t="inlineStr">
        <is>
          <t>Indexable</t>
        </is>
      </c>
      <c r="D26" s="24" t="n">
        <v>0.2</v>
      </c>
      <c r="E26" s="24" t="inlineStr">
        <is>
          <t>AMC Conference 2026 Zambia Thank You – African Marketing Confederation</t>
        </is>
      </c>
      <c r="F26" s="24" t="inlineStr">
        <is>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is>
      </c>
      <c r="G26" s="24" t="n">
        <v>216</v>
      </c>
      <c r="H26" s="24" t="n">
        <v>49</v>
      </c>
      <c r="I26" s="25" t="inlineStr">
        <is>
          <t>Warning</t>
        </is>
      </c>
      <c r="J26" s="24" t="n">
        <v>70</v>
      </c>
      <c r="K26" s="24" t="n">
        <v>411</v>
      </c>
      <c r="L26" s="24" t="n"/>
      <c r="M26" s="24" t="b">
        <v>0</v>
      </c>
      <c r="N26" s="24" t="n"/>
      <c r="O26" s="24" t="n">
        <v>0</v>
      </c>
      <c r="P26" s="24" t="n"/>
      <c r="Q26" s="24" t="n">
        <v>0</v>
      </c>
      <c r="R26" s="24" t="n"/>
      <c r="S26" s="24" t="n">
        <v>0</v>
      </c>
      <c r="T26" s="24" t="n"/>
      <c r="U26" s="24" t="n">
        <v>0</v>
      </c>
      <c r="V26" s="24" t="n"/>
      <c r="W26" s="24" t="n">
        <v>0</v>
      </c>
      <c r="X26" s="24" t="n">
        <v>49</v>
      </c>
      <c r="Y26" s="24" t="n">
        <v>0</v>
      </c>
      <c r="Z26" s="24" t="inlineStr">
        <is>
          <t>WARN 🟡</t>
        </is>
      </c>
      <c r="AA26">
        <f>IFERROR(HYPERLINK("#Technical!A"&amp;MATCH(A26,Technical!A:A,0),"Open Technical"),HYPERLINK("#Technical!A1","Open Technical"))</f>
        <v/>
      </c>
    </row>
    <row r="27" ht="30" customHeight="1">
      <c r="A27" s="33" t="inlineStr">
        <is>
          <t>https://africanmarketingconfederation.org/amc-conference-2026/</t>
        </is>
      </c>
      <c r="B27" s="4" t="n">
        <v>200</v>
      </c>
      <c r="C27" s="6" t="inlineStr">
        <is>
          <t>Indexable</t>
        </is>
      </c>
      <c r="D27" s="6" t="n">
        <v>0.068</v>
      </c>
      <c r="E27" s="6" t="inlineStr">
        <is>
          <t>AMC Conference 2026 – African Marketing Confederation</t>
        </is>
      </c>
      <c r="F27" s="6" t="inlineStr">
        <is>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is>
      </c>
      <c r="G27" s="6" t="n">
        <v>1196</v>
      </c>
      <c r="H27" s="6" t="n">
        <v>66</v>
      </c>
      <c r="I27" s="25" t="inlineStr">
        <is>
          <t>Warning</t>
        </is>
      </c>
      <c r="J27" s="6" t="n">
        <v>53</v>
      </c>
      <c r="K27" s="6" t="n">
        <v>357</v>
      </c>
      <c r="L27" s="6" t="n"/>
      <c r="M27" s="6" t="b">
        <v>0</v>
      </c>
      <c r="N27" s="6" t="n"/>
      <c r="O27" s="6" t="n">
        <v>0</v>
      </c>
      <c r="P27" s="6" t="n"/>
      <c r="Q27" s="6" t="n">
        <v>0</v>
      </c>
      <c r="R27" s="6" t="n"/>
      <c r="S27" s="6" t="n">
        <v>0</v>
      </c>
      <c r="T27" s="6" t="n"/>
      <c r="U27" s="6" t="n">
        <v>0</v>
      </c>
      <c r="V27" s="6" t="n"/>
      <c r="W27" s="6" t="n">
        <v>0</v>
      </c>
      <c r="X27" s="6" t="n">
        <v>66</v>
      </c>
      <c r="Y27" s="6" t="n">
        <v>0</v>
      </c>
      <c r="Z27" s="6" t="inlineStr">
        <is>
          <t>WARN 🟡</t>
        </is>
      </c>
      <c r="AA27">
        <f>IFERROR(HYPERLINK("#Technical!A"&amp;MATCH(A27,Technical!A:A,0),"Open Technical"),HYPERLINK("#Technical!A1","Open Technical"))</f>
        <v/>
      </c>
    </row>
    <row r="28" ht="30" customHeight="1">
      <c r="A28" s="33" t="inlineStr">
        <is>
          <t>https://africanmarketingconfederation.org/amc-conference-programme/</t>
        </is>
      </c>
      <c r="B28" s="4" t="n">
        <v>200</v>
      </c>
      <c r="C28" s="24" t="inlineStr">
        <is>
          <t>Indexable</t>
        </is>
      </c>
      <c r="D28" s="24" t="n">
        <v>0.044</v>
      </c>
      <c r="E28" s="24" t="inlineStr">
        <is>
          <t>HYBRID PROGRAMME​ – African Marketing Confederation</t>
        </is>
      </c>
      <c r="F28" s="24" t="inlineStr">
        <is>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G28" s="24" t="n">
        <v>2156</v>
      </c>
      <c r="H28" s="24" t="n">
        <v>59</v>
      </c>
      <c r="I28" s="25" t="inlineStr">
        <is>
          <t>Warning</t>
        </is>
      </c>
      <c r="J28" s="24" t="n">
        <v>51</v>
      </c>
      <c r="K28" s="24" t="n">
        <v>347</v>
      </c>
      <c r="L28" s="24" t="n"/>
      <c r="M28" s="24" t="b">
        <v>0</v>
      </c>
      <c r="N28" s="24" t="n"/>
      <c r="O28" s="24" t="n">
        <v>0</v>
      </c>
      <c r="P28" s="24" t="n"/>
      <c r="Q28" s="24" t="n">
        <v>0</v>
      </c>
      <c r="R28" s="24" t="n"/>
      <c r="S28" s="24" t="n">
        <v>0</v>
      </c>
      <c r="T28" s="24" t="n"/>
      <c r="U28" s="24" t="n">
        <v>0</v>
      </c>
      <c r="V28" s="24" t="n"/>
      <c r="W28" s="24" t="n">
        <v>0</v>
      </c>
      <c r="X28" s="24" t="n">
        <v>59</v>
      </c>
      <c r="Y28" s="24" t="n">
        <v>0</v>
      </c>
      <c r="Z28" s="24" t="inlineStr">
        <is>
          <t>WARN 🟡</t>
        </is>
      </c>
      <c r="AA28">
        <f>IFERROR(HYPERLINK("#Technical!A"&amp;MATCH(A28,Technical!A:A,0),"Open Technical"),HYPERLINK("#Technical!A1","Open Technical"))</f>
        <v/>
      </c>
    </row>
    <row r="29" ht="30" customHeight="1">
      <c r="A29" s="33" t="inlineStr">
        <is>
          <t>https://africanmarketingconfederation.org/amc-conference-thank-you/</t>
        </is>
      </c>
      <c r="B29" s="4" t="n">
        <v>200</v>
      </c>
      <c r="C29" s="6" t="inlineStr">
        <is>
          <t>Indexable</t>
        </is>
      </c>
      <c r="D29" s="6" t="n">
        <v>0.056</v>
      </c>
      <c r="E29" s="6" t="inlineStr">
        <is>
          <t>AMC Conference | Thank You – African Marketing Confederation</t>
        </is>
      </c>
      <c r="F29" s="6" t="inlineStr">
        <is>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is>
      </c>
      <c r="G29" s="6" t="n">
        <v>359</v>
      </c>
      <c r="H29" s="6" t="n">
        <v>69</v>
      </c>
      <c r="I29" s="25" t="inlineStr">
        <is>
          <t>Warning</t>
        </is>
      </c>
      <c r="J29" s="6" t="n">
        <v>60</v>
      </c>
      <c r="K29" s="6" t="n">
        <v>379</v>
      </c>
      <c r="L29" s="6" t="n"/>
      <c r="M29" s="6" t="b">
        <v>0</v>
      </c>
      <c r="N29" s="6" t="n"/>
      <c r="O29" s="6" t="n">
        <v>0</v>
      </c>
      <c r="P29" s="6" t="n"/>
      <c r="Q29" s="6" t="n">
        <v>0</v>
      </c>
      <c r="R29" s="6" t="n"/>
      <c r="S29" s="6" t="n">
        <v>0</v>
      </c>
      <c r="T29" s="6" t="n"/>
      <c r="U29" s="6" t="n">
        <v>0</v>
      </c>
      <c r="V29" s="6" t="n"/>
      <c r="W29" s="6" t="n">
        <v>0</v>
      </c>
      <c r="X29" s="6" t="n">
        <v>69</v>
      </c>
      <c r="Y29" s="6" t="n">
        <v>0</v>
      </c>
      <c r="Z29" s="6" t="inlineStr">
        <is>
          <t>WARN 🟡</t>
        </is>
      </c>
      <c r="AA29">
        <f>IFERROR(HYPERLINK("#Technical!A"&amp;MATCH(A29,Technical!A:A,0),"Open Technical"),HYPERLINK("#Technical!A1","Open Technical"))</f>
        <v/>
      </c>
    </row>
    <row r="30" ht="30" customHeight="1">
      <c r="A30" s="33" t="inlineStr">
        <is>
          <t>https://africanmarketingconfederation.org/amc-forum-mombasa/</t>
        </is>
      </c>
      <c r="B30" s="4" t="n">
        <v>200</v>
      </c>
      <c r="C30" s="24" t="inlineStr">
        <is>
          <t>Indexable</t>
        </is>
      </c>
      <c r="D30" s="24" t="n">
        <v>0.066</v>
      </c>
      <c r="E30" s="24" t="inlineStr">
        <is>
          <t>AMC Forum Mombasa – African Marketing Confederation</t>
        </is>
      </c>
      <c r="F30" s="24"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G30" s="24" t="n">
        <v>1400</v>
      </c>
      <c r="H30" s="24" t="n">
        <v>69</v>
      </c>
      <c r="I30" s="25" t="inlineStr">
        <is>
          <t>Warning</t>
        </is>
      </c>
      <c r="J30" s="24" t="n">
        <v>51</v>
      </c>
      <c r="K30" s="24" t="n">
        <v>380</v>
      </c>
      <c r="L30" s="24" t="n"/>
      <c r="M30" s="24" t="b">
        <v>0</v>
      </c>
      <c r="N30" s="24" t="n"/>
      <c r="O30" s="24" t="n">
        <v>0</v>
      </c>
      <c r="P30" s="24" t="n"/>
      <c r="Q30" s="24" t="n">
        <v>0</v>
      </c>
      <c r="R30" s="24" t="n"/>
      <c r="S30" s="24" t="n">
        <v>0</v>
      </c>
      <c r="T30" s="24" t="n"/>
      <c r="U30" s="24" t="n">
        <v>0</v>
      </c>
      <c r="V30" s="24" t="n"/>
      <c r="W30" s="24" t="n">
        <v>0</v>
      </c>
      <c r="X30" s="24" t="n">
        <v>69</v>
      </c>
      <c r="Y30" s="24" t="n">
        <v>0</v>
      </c>
      <c r="Z30" s="24" t="inlineStr">
        <is>
          <t>WARN 🟡</t>
        </is>
      </c>
      <c r="AA30">
        <f>IFERROR(HYPERLINK("#Technical!A"&amp;MATCH(A30,Technical!A:A,0),"Open Technical"),HYPERLINK("#Technical!A1","Open Technical"))</f>
        <v/>
      </c>
    </row>
    <row r="31" ht="30" customHeight="1">
      <c r="A31" s="33" t="inlineStr">
        <is>
          <t>https://africanmarketingconfederation.org/amc-forum-payments/</t>
        </is>
      </c>
      <c r="B31" s="4" t="n">
        <v>200</v>
      </c>
      <c r="C31" s="6" t="inlineStr">
        <is>
          <t>Indexable</t>
        </is>
      </c>
      <c r="D31" s="6" t="n">
        <v>0.063</v>
      </c>
      <c r="E31" s="6" t="inlineStr">
        <is>
          <t>AMC Forum Payments – African Marketing Confederation</t>
        </is>
      </c>
      <c r="F31" s="6" t="inlineStr">
        <is>
          <t>AMC Conference 2025 Thriving in Africa’s Evolving Markets:Trust, Trends &amp; Technology No products found! PUBLICATIONS Strategic Marketing for Africa Magazine CONTACT INFORMATION info@africanmarketingconfederation.org © 2021 by African Marketing Confederation | Privacy Policy</t>
        </is>
      </c>
      <c r="G31" s="6" t="n">
        <v>71</v>
      </c>
      <c r="H31" s="6" t="n">
        <v>49</v>
      </c>
      <c r="I31" s="25" t="inlineStr">
        <is>
          <t>Warning</t>
        </is>
      </c>
      <c r="J31" s="6" t="n">
        <v>52</v>
      </c>
      <c r="K31" s="6" t="n">
        <v>274</v>
      </c>
      <c r="L31" s="6" t="n"/>
      <c r="M31" s="6" t="b">
        <v>0</v>
      </c>
      <c r="N31" s="6" t="n"/>
      <c r="O31" s="6" t="n">
        <v>0</v>
      </c>
      <c r="P31" s="6" t="n"/>
      <c r="Q31" s="6" t="n">
        <v>0</v>
      </c>
      <c r="R31" s="6" t="n"/>
      <c r="S31" s="6" t="n">
        <v>0</v>
      </c>
      <c r="T31" s="6" t="n"/>
      <c r="U31" s="6" t="n">
        <v>0</v>
      </c>
      <c r="V31" s="6" t="n"/>
      <c r="W31" s="6" t="n">
        <v>0</v>
      </c>
      <c r="X31" s="6" t="n">
        <v>49</v>
      </c>
      <c r="Y31" s="6" t="n">
        <v>0</v>
      </c>
      <c r="Z31" s="6" t="inlineStr">
        <is>
          <t>WARN 🟡</t>
        </is>
      </c>
      <c r="AA31">
        <f>IFERROR(HYPERLINK("#Technical!A"&amp;MATCH(A31,Technical!A:A,0),"Open Technical"),HYPERLINK("#Technical!A1","Open Technical"))</f>
        <v/>
      </c>
    </row>
    <row r="32" ht="30" customHeight="1">
      <c r="A32" s="33" t="inlineStr">
        <is>
          <t>https://africanmarketingconfederation.org/amc-launch-event-zambia-thank-you-2026/</t>
        </is>
      </c>
      <c r="B32" s="4" t="n">
        <v>200</v>
      </c>
      <c r="C32" s="24" t="inlineStr">
        <is>
          <t>Indexable</t>
        </is>
      </c>
      <c r="D32" s="24" t="n">
        <v>0.054</v>
      </c>
      <c r="E32" s="24" t="inlineStr">
        <is>
          <t>AMC Launch Event Zambia Thank You 2026 – African Marketing Confederation</t>
        </is>
      </c>
      <c r="F32" s="24" t="inlineStr">
        <is>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is>
      </c>
      <c r="G32" s="24" t="n">
        <v>229</v>
      </c>
      <c r="H32" s="24" t="n">
        <v>49</v>
      </c>
      <c r="I32" s="25" t="inlineStr">
        <is>
          <t>Warning</t>
        </is>
      </c>
      <c r="J32" s="24" t="n">
        <v>72</v>
      </c>
      <c r="K32" s="24" t="n">
        <v>347</v>
      </c>
      <c r="L32" s="24" t="n"/>
      <c r="M32" s="24" t="b">
        <v>0</v>
      </c>
      <c r="N32" s="24" t="n"/>
      <c r="O32" s="24" t="n">
        <v>0</v>
      </c>
      <c r="P32" s="24" t="n"/>
      <c r="Q32" s="24" t="n">
        <v>0</v>
      </c>
      <c r="R32" s="24" t="n"/>
      <c r="S32" s="24" t="n">
        <v>0</v>
      </c>
      <c r="T32" s="24" t="n"/>
      <c r="U32" s="24" t="n">
        <v>0</v>
      </c>
      <c r="V32" s="24" t="n"/>
      <c r="W32" s="24" t="n">
        <v>0</v>
      </c>
      <c r="X32" s="24" t="n">
        <v>49</v>
      </c>
      <c r="Y32" s="24" t="n">
        <v>0</v>
      </c>
      <c r="Z32" s="24" t="inlineStr">
        <is>
          <t>WARN 🟡</t>
        </is>
      </c>
      <c r="AA32">
        <f>IFERROR(HYPERLINK("#Technical!A"&amp;MATCH(A32,Technical!A:A,0),"Open Technical"),HYPERLINK("#Technical!A1","Open Technical"))</f>
        <v/>
      </c>
    </row>
    <row r="33" ht="30" customHeight="1">
      <c r="A33" s="33" t="inlineStr">
        <is>
          <t>https://africanmarketingconfederation.org/amc-marketing-conference-2024/</t>
        </is>
      </c>
      <c r="B33" s="4" t="n">
        <v>200</v>
      </c>
      <c r="C33" s="6" t="inlineStr">
        <is>
          <t>Indexable</t>
        </is>
      </c>
      <c r="D33" s="6" t="n">
        <v>1.595</v>
      </c>
      <c r="E33" s="6" t="inlineStr">
        <is>
          <t>AMC Forum Mombasa – African Marketing Confederation</t>
        </is>
      </c>
      <c r="F33" s="6"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G33" s="6" t="n">
        <v>1400</v>
      </c>
      <c r="H33" s="6" t="n">
        <v>69</v>
      </c>
      <c r="I33" s="25" t="inlineStr">
        <is>
          <t>Warning</t>
        </is>
      </c>
      <c r="J33" s="6" t="n">
        <v>51</v>
      </c>
      <c r="K33" s="6" t="n">
        <v>380</v>
      </c>
      <c r="L33" s="6" t="n"/>
      <c r="M33" s="6" t="b">
        <v>0</v>
      </c>
      <c r="N33" s="6" t="n"/>
      <c r="O33" s="6" t="n">
        <v>0</v>
      </c>
      <c r="P33" s="6" t="n"/>
      <c r="Q33" s="6" t="n">
        <v>0</v>
      </c>
      <c r="R33" s="6" t="n"/>
      <c r="S33" s="6" t="n">
        <v>0</v>
      </c>
      <c r="T33" s="6" t="n"/>
      <c r="U33" s="6" t="n">
        <v>0</v>
      </c>
      <c r="V33" s="6" t="n"/>
      <c r="W33" s="6" t="n">
        <v>0</v>
      </c>
      <c r="X33" s="6" t="n">
        <v>69</v>
      </c>
      <c r="Y33" s="6" t="n">
        <v>0</v>
      </c>
      <c r="Z33" s="6" t="inlineStr">
        <is>
          <t>WARN 🟡</t>
        </is>
      </c>
      <c r="AA33">
        <f>IFERROR(HYPERLINK("#Technical!A"&amp;MATCH(A33,Technical!A:A,0),"Open Technical"),HYPERLINK("#Technical!A1","Open Technical"))</f>
        <v/>
      </c>
    </row>
    <row r="34" ht="45" customHeight="1">
      <c r="A34" s="33" t="inlineStr">
        <is>
          <t>https://africanmarketingconfederation.org/amc-marketing-conference-2024/amc-conference-2025-ghana-sponsors/</t>
        </is>
      </c>
      <c r="B34" s="4" t="n">
        <v>200</v>
      </c>
      <c r="C34" s="24" t="inlineStr">
        <is>
          <t>Indexable</t>
        </is>
      </c>
      <c r="D34" s="24" t="n">
        <v>0.053</v>
      </c>
      <c r="E34" s="24" t="inlineStr">
        <is>
          <t>AMC Conference 2025 Ghana Sponsors – African Marketing Confederation</t>
        </is>
      </c>
      <c r="F34" s="24" t="inlineStr">
        <is>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is>
      </c>
      <c r="G34" s="24" t="n">
        <v>106</v>
      </c>
      <c r="H34" s="24" t="n">
        <v>59</v>
      </c>
      <c r="I34" s="25" t="inlineStr">
        <is>
          <t>Warning</t>
        </is>
      </c>
      <c r="J34" s="24" t="n">
        <v>68</v>
      </c>
      <c r="K34" s="24" t="n">
        <v>346</v>
      </c>
      <c r="L34" s="24" t="n"/>
      <c r="M34" s="24" t="b">
        <v>0</v>
      </c>
      <c r="N34" s="24" t="n"/>
      <c r="O34" s="24" t="n">
        <v>0</v>
      </c>
      <c r="P34" s="24" t="n"/>
      <c r="Q34" s="24" t="n">
        <v>0</v>
      </c>
      <c r="R34" s="24" t="n"/>
      <c r="S34" s="24" t="n">
        <v>0</v>
      </c>
      <c r="T34" s="24" t="n"/>
      <c r="U34" s="24" t="n">
        <v>0</v>
      </c>
      <c r="V34" s="24" t="n"/>
      <c r="W34" s="24" t="n">
        <v>0</v>
      </c>
      <c r="X34" s="24" t="n">
        <v>59</v>
      </c>
      <c r="Y34" s="24" t="n">
        <v>0</v>
      </c>
      <c r="Z34" s="24" t="inlineStr">
        <is>
          <t>WARN 🟡</t>
        </is>
      </c>
      <c r="AA34">
        <f>IFERROR(HYPERLINK("#Technical!A"&amp;MATCH(A34,Technical!A:A,0),"Open Technical"),HYPERLINK("#Technical!A1","Open Technical"))</f>
        <v/>
      </c>
    </row>
    <row r="35" ht="30" customHeight="1">
      <c r="A35" s="33" t="inlineStr">
        <is>
          <t>https://africanmarketingconfederation.org/amc-marketing-conference-2024/amc-launch-event-2025/</t>
        </is>
      </c>
      <c r="B35" s="4" t="n">
        <v>200</v>
      </c>
      <c r="C35" s="6" t="inlineStr">
        <is>
          <t>Indexable</t>
        </is>
      </c>
      <c r="D35" s="6" t="n">
        <v>0.044</v>
      </c>
      <c r="E35" s="6" t="inlineStr">
        <is>
          <t>AMC Launch Event 2025 – African Marketing Confederation</t>
        </is>
      </c>
      <c r="F35" s="6" t="inlineStr">
        <is>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is>
      </c>
      <c r="G35" s="6" t="n">
        <v>630</v>
      </c>
      <c r="H35" s="6" t="n">
        <v>69</v>
      </c>
      <c r="I35" s="25" t="inlineStr">
        <is>
          <t>Warning</t>
        </is>
      </c>
      <c r="J35" s="6" t="n">
        <v>55</v>
      </c>
      <c r="K35" s="6" t="n">
        <v>702</v>
      </c>
      <c r="L35" s="6" t="n"/>
      <c r="M35" s="6" t="b">
        <v>0</v>
      </c>
      <c r="N35" s="6" t="n"/>
      <c r="O35" s="6" t="n">
        <v>0</v>
      </c>
      <c r="P35" s="6" t="n"/>
      <c r="Q35" s="6" t="n">
        <v>0</v>
      </c>
      <c r="R35" s="6" t="n"/>
      <c r="S35" s="6" t="n">
        <v>0</v>
      </c>
      <c r="T35" s="6" t="n"/>
      <c r="U35" s="6" t="n">
        <v>0</v>
      </c>
      <c r="V35" s="6" t="n"/>
      <c r="W35" s="6" t="n">
        <v>0</v>
      </c>
      <c r="X35" s="6" t="n">
        <v>69</v>
      </c>
      <c r="Y35" s="6" t="n">
        <v>0</v>
      </c>
      <c r="Z35" s="6" t="inlineStr">
        <is>
          <t>WARN 🟡</t>
        </is>
      </c>
      <c r="AA35">
        <f>IFERROR(HYPERLINK("#Technical!A"&amp;MATCH(A35,Technical!A:A,0),"Open Technical"),HYPERLINK("#Technical!A1","Open Technical"))</f>
        <v/>
      </c>
    </row>
    <row r="36" ht="30" customHeight="1">
      <c r="A36" s="33" t="inlineStr">
        <is>
          <t>https://africanmarketingconfederation.org/amc-marketing-conference-2024/amc-preregister-2025/</t>
        </is>
      </c>
      <c r="B36" s="4" t="n">
        <v>200</v>
      </c>
      <c r="C36" s="24" t="inlineStr">
        <is>
          <t>Indexable</t>
        </is>
      </c>
      <c r="D36" s="24" t="n">
        <v>0.054</v>
      </c>
      <c r="E36" s="24" t="inlineStr">
        <is>
          <t>AMC Preregister 2025 – African Marketing Confederation</t>
        </is>
      </c>
      <c r="F36" s="24" t="inlineStr">
        <is>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is>
      </c>
      <c r="G36" s="24" t="n">
        <v>679</v>
      </c>
      <c r="H36" s="24" t="n">
        <v>69</v>
      </c>
      <c r="I36" s="25" t="inlineStr">
        <is>
          <t>Warning</t>
        </is>
      </c>
      <c r="J36" s="24" t="n">
        <v>54</v>
      </c>
      <c r="K36" s="24" t="n">
        <v>576</v>
      </c>
      <c r="L36" s="24" t="n"/>
      <c r="M36" s="24" t="b">
        <v>0</v>
      </c>
      <c r="N36" s="24" t="n"/>
      <c r="O36" s="24" t="n">
        <v>0</v>
      </c>
      <c r="P36" s="24" t="n"/>
      <c r="Q36" s="24" t="n">
        <v>0</v>
      </c>
      <c r="R36" s="24" t="n"/>
      <c r="S36" s="24" t="n">
        <v>0</v>
      </c>
      <c r="T36" s="24" t="n"/>
      <c r="U36" s="24" t="n">
        <v>0</v>
      </c>
      <c r="V36" s="24" t="n"/>
      <c r="W36" s="24" t="n">
        <v>0</v>
      </c>
      <c r="X36" s="24" t="n">
        <v>69</v>
      </c>
      <c r="Y36" s="24" t="n">
        <v>0</v>
      </c>
      <c r="Z36" s="24" t="inlineStr">
        <is>
          <t>WARN 🟡</t>
        </is>
      </c>
      <c r="AA36">
        <f>IFERROR(HYPERLINK("#Technical!A"&amp;MATCH(A36,Technical!A:A,0),"Open Technical"),HYPERLINK("#Technical!A1","Open Technical"))</f>
        <v/>
      </c>
    </row>
    <row r="37" ht="30" customHeight="1">
      <c r="A37" s="33" t="inlineStr">
        <is>
          <t>https://africanmarketingconfederation.org/amc-marketing-conference-2024/amc-programme-2025/</t>
        </is>
      </c>
      <c r="B37" s="4" t="n">
        <v>200</v>
      </c>
      <c r="C37" s="6" t="inlineStr">
        <is>
          <t>Indexable</t>
        </is>
      </c>
      <c r="D37" s="6" t="n">
        <v>0.07000000000000001</v>
      </c>
      <c r="E37" s="6" t="inlineStr">
        <is>
          <t>2025 AMC Conference Awards</t>
        </is>
      </c>
      <c r="F37" s="6" t="inlineStr">
        <is>
          <t>Celebrate excellence at the 2025 AMC Conference Awards as we honour outstanding achievements, innovation and leadership in Africa’s marketing industry.</t>
        </is>
      </c>
      <c r="G37" s="6" t="n">
        <v>126</v>
      </c>
      <c r="H37" s="6" t="n">
        <v>49</v>
      </c>
      <c r="I37" s="25" t="inlineStr">
        <is>
          <t>Warning</t>
        </is>
      </c>
      <c r="J37" s="6" t="n">
        <v>26</v>
      </c>
      <c r="K37" s="6" t="n">
        <v>151</v>
      </c>
      <c r="L37" s="6" t="n"/>
      <c r="M37" s="6" t="b">
        <v>0</v>
      </c>
      <c r="N37" s="6" t="n"/>
      <c r="O37" s="6" t="n">
        <v>0</v>
      </c>
      <c r="P37" s="6" t="n"/>
      <c r="Q37" s="6" t="n">
        <v>0</v>
      </c>
      <c r="R37" s="6" t="n"/>
      <c r="S37" s="6" t="n">
        <v>0</v>
      </c>
      <c r="T37" s="6" t="n"/>
      <c r="U37" s="6" t="n">
        <v>0</v>
      </c>
      <c r="V37" s="6" t="n"/>
      <c r="W37" s="6" t="n">
        <v>0</v>
      </c>
      <c r="X37" s="6" t="n">
        <v>49</v>
      </c>
      <c r="Y37" s="6" t="n">
        <v>0</v>
      </c>
      <c r="Z37" s="6" t="inlineStr">
        <is>
          <t>WARN 🟡</t>
        </is>
      </c>
      <c r="AA37">
        <f>IFERROR(HYPERLINK("#Technical!A"&amp;MATCH(A37,Technical!A:A,0),"Open Technical"),HYPERLINK("#Technical!A1","Open Technical"))</f>
        <v/>
      </c>
    </row>
    <row r="38" ht="45" customHeight="1">
      <c r="A38" s="33" t="inlineStr">
        <is>
          <t>https://africanmarketingconfederation.org/amc-marketing-conference-2024/amc-speakers-presentations-2024/</t>
        </is>
      </c>
      <c r="B38" s="4" t="n">
        <v>200</v>
      </c>
      <c r="C38" s="24" t="inlineStr">
        <is>
          <t>Indexable</t>
        </is>
      </c>
      <c r="D38" s="24" t="n">
        <v>0.038</v>
      </c>
      <c r="E38" s="24" t="inlineStr">
        <is>
          <t>AMC speakers presentations 2024 – African Marketing Confederation</t>
        </is>
      </c>
      <c r="F38" s="24" t="inlineStr">
        <is>
          <t>AMC speakers presentations 2024 Day 1 https://youtu.be/daWjshF4Bdc Day 2 https://youtu.be/7Qf2P8YLD7I Day 3 PUBLICATIONS Strategic Marketing for Africa Magazine CONTACT INFORMATION info@africanmarketingconfederation.org © 2021 by African Marketing Confederation | Privacy Policy</t>
        </is>
      </c>
      <c r="G38" s="24" t="n">
        <v>66</v>
      </c>
      <c r="H38" s="24" t="n">
        <v>49</v>
      </c>
      <c r="I38" s="25" t="inlineStr">
        <is>
          <t>Warning</t>
        </is>
      </c>
      <c r="J38" s="24" t="n">
        <v>65</v>
      </c>
      <c r="K38" s="24" t="n">
        <v>278</v>
      </c>
      <c r="L38" s="24" t="n"/>
      <c r="M38" s="24" t="b">
        <v>0</v>
      </c>
      <c r="N38" s="24" t="n"/>
      <c r="O38" s="24" t="n">
        <v>0</v>
      </c>
      <c r="P38" s="24" t="n"/>
      <c r="Q38" s="24" t="n">
        <v>0</v>
      </c>
      <c r="R38" s="24" t="n"/>
      <c r="S38" s="24" t="n">
        <v>0</v>
      </c>
      <c r="T38" s="24" t="n"/>
      <c r="U38" s="24" t="n">
        <v>0</v>
      </c>
      <c r="V38" s="24" t="n"/>
      <c r="W38" s="24" t="n">
        <v>0</v>
      </c>
      <c r="X38" s="24" t="n">
        <v>49</v>
      </c>
      <c r="Y38" s="24" t="n">
        <v>0</v>
      </c>
      <c r="Z38" s="24" t="inlineStr">
        <is>
          <t>WARN 🟡</t>
        </is>
      </c>
      <c r="AA38">
        <f>IFERROR(HYPERLINK("#Technical!A"&amp;MATCH(A38,Technical!A:A,0),"Open Technical"),HYPERLINK("#Technical!A1","Open Technical"))</f>
        <v/>
      </c>
    </row>
    <row r="39" ht="30" customHeight="1">
      <c r="A39" s="33" t="inlineStr">
        <is>
          <t>https://africanmarketingconfederation.org/amc-marketing-conference-2024/awards-2025/</t>
        </is>
      </c>
      <c r="B39" s="4" t="n">
        <v>200</v>
      </c>
      <c r="C39" s="6" t="inlineStr">
        <is>
          <t>Indexable</t>
        </is>
      </c>
      <c r="D39" s="6" t="n">
        <v>0.064</v>
      </c>
      <c r="E39" s="6" t="inlineStr">
        <is>
          <t>Awards 2025 – African Marketing Confederation</t>
        </is>
      </c>
      <c r="F39" s="6" t="inlineStr">
        <is>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is>
      </c>
      <c r="G39" s="6" t="n">
        <v>1288</v>
      </c>
      <c r="H39" s="6" t="n">
        <v>69</v>
      </c>
      <c r="I39" s="25" t="inlineStr">
        <is>
          <t>Warning</t>
        </is>
      </c>
      <c r="J39" s="6" t="n">
        <v>45</v>
      </c>
      <c r="K39" s="6" t="n">
        <v>372</v>
      </c>
      <c r="L39" s="6" t="n"/>
      <c r="M39" s="6" t="b">
        <v>0</v>
      </c>
      <c r="N39" s="6" t="n"/>
      <c r="O39" s="6" t="n">
        <v>0</v>
      </c>
      <c r="P39" s="6" t="n"/>
      <c r="Q39" s="6" t="n">
        <v>0</v>
      </c>
      <c r="R39" s="6" t="n"/>
      <c r="S39" s="6" t="n">
        <v>0</v>
      </c>
      <c r="T39" s="6" t="n"/>
      <c r="U39" s="6" t="n">
        <v>0</v>
      </c>
      <c r="V39" s="6" t="n"/>
      <c r="W39" s="6" t="n">
        <v>0</v>
      </c>
      <c r="X39" s="6" t="n">
        <v>69</v>
      </c>
      <c r="Y39" s="6" t="n">
        <v>0</v>
      </c>
      <c r="Z39" s="6" t="inlineStr">
        <is>
          <t>WARN 🟡</t>
        </is>
      </c>
      <c r="AA39">
        <f>IFERROR(HYPERLINK("#Technical!A"&amp;MATCH(A39,Technical!A:A,0),"Open Technical"),HYPERLINK("#Technical!A1","Open Technical"))</f>
        <v/>
      </c>
    </row>
    <row r="40" ht="30" customHeight="1">
      <c r="A40" s="33" t="inlineStr">
        <is>
          <t>https://africanmarketingconfederation.org/amc-marketing-conference-2024/programme-2024/</t>
        </is>
      </c>
      <c r="B40" s="4" t="n">
        <v>200</v>
      </c>
      <c r="C40" s="24" t="inlineStr">
        <is>
          <t>Indexable</t>
        </is>
      </c>
      <c r="D40" s="24" t="n">
        <v>0.068</v>
      </c>
      <c r="E40" s="24" t="inlineStr">
        <is>
          <t>Programme 2024 – African Marketing Confederation</t>
        </is>
      </c>
      <c r="F40" s="24" t="inlineStr">
        <is>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is>
      </c>
      <c r="G40" s="24" t="n">
        <v>1335</v>
      </c>
      <c r="H40" s="24" t="n">
        <v>69</v>
      </c>
      <c r="I40" s="25" t="inlineStr">
        <is>
          <t>Warning</t>
        </is>
      </c>
      <c r="J40" s="24" t="n">
        <v>48</v>
      </c>
      <c r="K40" s="24" t="n">
        <v>384</v>
      </c>
      <c r="L40" s="24" t="n"/>
      <c r="M40" s="24" t="b">
        <v>0</v>
      </c>
      <c r="N40" s="24" t="n"/>
      <c r="O40" s="24" t="n">
        <v>0</v>
      </c>
      <c r="P40" s="24" t="n"/>
      <c r="Q40" s="24" t="n">
        <v>0</v>
      </c>
      <c r="R40" s="24" t="n"/>
      <c r="S40" s="24" t="n">
        <v>0</v>
      </c>
      <c r="T40" s="24" t="n"/>
      <c r="U40" s="24" t="n">
        <v>0</v>
      </c>
      <c r="V40" s="24" t="n"/>
      <c r="W40" s="24" t="n">
        <v>0</v>
      </c>
      <c r="X40" s="24" t="n">
        <v>69</v>
      </c>
      <c r="Y40" s="24" t="n">
        <v>0</v>
      </c>
      <c r="Z40" s="24" t="inlineStr">
        <is>
          <t>WARN 🟡</t>
        </is>
      </c>
      <c r="AA40">
        <f>IFERROR(HYPERLINK("#Technical!A"&amp;MATCH(A40,Technical!A:A,0),"Open Technical"),HYPERLINK("#Technical!A1","Open Technical"))</f>
        <v/>
      </c>
    </row>
    <row r="41" ht="30" customHeight="1">
      <c r="A41" s="33" t="inlineStr">
        <is>
          <t>https://africanmarketingconfederation.org/amc-marketing-conference-2024/testimony-thank-you-page/</t>
        </is>
      </c>
      <c r="B41" s="4" t="n">
        <v>200</v>
      </c>
      <c r="C41" s="6" t="inlineStr">
        <is>
          <t>Indexable</t>
        </is>
      </c>
      <c r="D41" s="6" t="n">
        <v>0.178</v>
      </c>
      <c r="E41" s="6" t="inlineStr">
        <is>
          <t>Testimony Thank you Page – African Marketing Confederation</t>
        </is>
      </c>
      <c r="F41" s="6" t="inlineStr">
        <is>
          <t>Thank you For your Feedback Thank you For the Feedback PUBLICATIONS Strategic Marketing for Africa Magazine CONTACT INFORMATION info@africanmarketingconfederation.org © 2021 by African Marketing Confederation | Privacy Policy</t>
        </is>
      </c>
      <c r="G41" s="6" t="n">
        <v>66</v>
      </c>
      <c r="H41" s="6" t="n">
        <v>49</v>
      </c>
      <c r="I41" s="25" t="inlineStr">
        <is>
          <t>Warning</t>
        </is>
      </c>
      <c r="J41" s="6" t="n">
        <v>58</v>
      </c>
      <c r="K41" s="6" t="n">
        <v>225</v>
      </c>
      <c r="L41" s="6" t="n"/>
      <c r="M41" s="6" t="b">
        <v>0</v>
      </c>
      <c r="N41" s="6" t="n"/>
      <c r="O41" s="6" t="n">
        <v>0</v>
      </c>
      <c r="P41" s="6" t="n"/>
      <c r="Q41" s="6" t="n">
        <v>0</v>
      </c>
      <c r="R41" s="6" t="n"/>
      <c r="S41" s="6" t="n">
        <v>0</v>
      </c>
      <c r="T41" s="6" t="n"/>
      <c r="U41" s="6" t="n">
        <v>0</v>
      </c>
      <c r="V41" s="6" t="n"/>
      <c r="W41" s="6" t="n">
        <v>0</v>
      </c>
      <c r="X41" s="6" t="n">
        <v>49</v>
      </c>
      <c r="Y41" s="6" t="n">
        <v>0</v>
      </c>
      <c r="Z41" s="6" t="inlineStr">
        <is>
          <t>WARN 🟡</t>
        </is>
      </c>
      <c r="AA41">
        <f>IFERROR(HYPERLINK("#Technical!A"&amp;MATCH(A41,Technical!A:A,0),"Open Technical"),HYPERLINK("#Technical!A1","Open Technical"))</f>
        <v/>
      </c>
    </row>
    <row r="42" ht="30" customHeight="1">
      <c r="A42" s="33" t="inlineStr">
        <is>
          <t>https://africanmarketingconfederation.org/amc-masterclass-bookings/</t>
        </is>
      </c>
      <c r="B42" s="4" t="n">
        <v>200</v>
      </c>
      <c r="C42" s="24" t="inlineStr">
        <is>
          <t>Indexable</t>
        </is>
      </c>
      <c r="D42" s="24" t="n">
        <v>0.099</v>
      </c>
      <c r="E42" s="24" t="inlineStr">
        <is>
          <t>AMC Masterclass | Bookings – African Marketing Confederation</t>
        </is>
      </c>
      <c r="F42" s="24" t="n">
        <v>60</v>
      </c>
      <c r="G42" s="24" t="n">
        <v>79</v>
      </c>
      <c r="H42" s="24" t="n">
        <v>39</v>
      </c>
      <c r="I42" s="25" t="inlineStr">
        <is>
          <t>Warning</t>
        </is>
      </c>
      <c r="J42" s="24" t="n">
        <v>60</v>
      </c>
      <c r="K42" s="24" t="n">
        <v>0</v>
      </c>
      <c r="L42" s="24" t="n"/>
      <c r="M42" s="24" t="b">
        <v>0</v>
      </c>
      <c r="N42" s="24" t="n"/>
      <c r="O42" s="24" t="n">
        <v>0</v>
      </c>
      <c r="P42" s="24" t="n"/>
      <c r="Q42" s="24" t="n">
        <v>0</v>
      </c>
      <c r="R42" s="24" t="n"/>
      <c r="S42" s="24" t="n">
        <v>0</v>
      </c>
      <c r="T42" s="24" t="n"/>
      <c r="U42" s="24" t="n">
        <v>0</v>
      </c>
      <c r="V42" s="24" t="n"/>
      <c r="W42" s="24" t="n">
        <v>0</v>
      </c>
      <c r="X42" s="24" t="n">
        <v>39</v>
      </c>
      <c r="Y42" s="24" t="n">
        <v>0</v>
      </c>
      <c r="Z42" s="24" t="inlineStr">
        <is>
          <t>WARN 🟡</t>
        </is>
      </c>
      <c r="AA42">
        <f>IFERROR(HYPERLINK("#Technical!A"&amp;MATCH(A42,Technical!A:A,0),"Open Technical"),HYPERLINK("#Technical!A1","Open Technical"))</f>
        <v/>
      </c>
    </row>
    <row r="43" ht="30" customHeight="1">
      <c r="A43" s="33" t="inlineStr">
        <is>
          <t>https://africanmarketingconfederation.org/amc-masterclass-thank-you/</t>
        </is>
      </c>
      <c r="B43" s="4" t="n">
        <v>200</v>
      </c>
      <c r="C43" s="6" t="inlineStr">
        <is>
          <t>Indexable</t>
        </is>
      </c>
      <c r="D43" s="6" t="n">
        <v>0.053</v>
      </c>
      <c r="E43" s="6" t="inlineStr">
        <is>
          <t>AMC Masterclass | Thank you – African Marketing Confederation</t>
        </is>
      </c>
      <c r="F43" s="6" t="inlineStr">
        <is>
          <t>AMC VIRTUAL MASTERCLASS 31 May 2022 Thank you for your Booking We received your booking and will contact you shortly!</t>
        </is>
      </c>
      <c r="G43" s="6" t="n">
        <v>32</v>
      </c>
      <c r="H43" s="6" t="n">
        <v>49</v>
      </c>
      <c r="I43" s="25" t="inlineStr">
        <is>
          <t>Warning</t>
        </is>
      </c>
      <c r="J43" s="6" t="n">
        <v>61</v>
      </c>
      <c r="K43" s="6" t="n">
        <v>117</v>
      </c>
      <c r="L43" s="6" t="n"/>
      <c r="M43" s="6" t="b">
        <v>0</v>
      </c>
      <c r="N43" s="6" t="n"/>
      <c r="O43" s="6" t="n">
        <v>0</v>
      </c>
      <c r="P43" s="6" t="n"/>
      <c r="Q43" s="6" t="n">
        <v>0</v>
      </c>
      <c r="R43" s="6" t="n"/>
      <c r="S43" s="6" t="n">
        <v>0</v>
      </c>
      <c r="T43" s="6" t="n"/>
      <c r="U43" s="6" t="n">
        <v>0</v>
      </c>
      <c r="V43" s="6" t="n"/>
      <c r="W43" s="6" t="n">
        <v>0</v>
      </c>
      <c r="X43" s="6" t="n">
        <v>49</v>
      </c>
      <c r="Y43" s="6" t="n">
        <v>0</v>
      </c>
      <c r="Z43" s="6" t="inlineStr">
        <is>
          <t>WARN 🟡</t>
        </is>
      </c>
      <c r="AA43">
        <f>IFERROR(HYPERLINK("#Technical!A"&amp;MATCH(A43,Technical!A:A,0),"Open Technical"),HYPERLINK("#Technical!A1","Open Technical"))</f>
        <v/>
      </c>
    </row>
    <row r="44" ht="30" customHeight="1">
      <c r="A44" s="33" t="inlineStr">
        <is>
          <t>https://africanmarketingconfederation.org/amc-masterclass/</t>
        </is>
      </c>
      <c r="B44" s="4" t="n">
        <v>200</v>
      </c>
      <c r="C44" s="24" t="inlineStr">
        <is>
          <t>Indexable</t>
        </is>
      </c>
      <c r="D44" s="24" t="n">
        <v>0.115</v>
      </c>
      <c r="E44" s="24" t="inlineStr">
        <is>
          <t>AMC Masterclass – African Marketing Confederation</t>
        </is>
      </c>
      <c r="F44" s="24" t="inlineStr">
        <is>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is>
      </c>
      <c r="G44" s="24" t="n">
        <v>278</v>
      </c>
      <c r="H44" s="24" t="n">
        <v>49</v>
      </c>
      <c r="I44" s="25" t="inlineStr">
        <is>
          <t>Warning</t>
        </is>
      </c>
      <c r="J44" s="24" t="n">
        <v>49</v>
      </c>
      <c r="K44" s="24" t="n">
        <v>357</v>
      </c>
      <c r="L44" s="24" t="n"/>
      <c r="M44" s="24" t="b">
        <v>0</v>
      </c>
      <c r="N44" s="24" t="n"/>
      <c r="O44" s="24" t="n">
        <v>0</v>
      </c>
      <c r="P44" s="24" t="n"/>
      <c r="Q44" s="24" t="n">
        <v>0</v>
      </c>
      <c r="R44" s="24" t="n"/>
      <c r="S44" s="24" t="n">
        <v>0</v>
      </c>
      <c r="T44" s="24" t="n"/>
      <c r="U44" s="24" t="n">
        <v>0</v>
      </c>
      <c r="V44" s="24" t="n"/>
      <c r="W44" s="24" t="n">
        <v>0</v>
      </c>
      <c r="X44" s="24" t="n">
        <v>49</v>
      </c>
      <c r="Y44" s="24" t="n">
        <v>0</v>
      </c>
      <c r="Z44" s="24" t="inlineStr">
        <is>
          <t>WARN 🟡</t>
        </is>
      </c>
      <c r="AA44">
        <f>IFERROR(HYPERLINK("#Technical!A"&amp;MATCH(A44,Technical!A:A,0),"Open Technical"),HYPERLINK("#Technical!A1","Open Technical"))</f>
        <v/>
      </c>
    </row>
    <row r="45" ht="30" customHeight="1">
      <c r="A45" s="33" t="inlineStr">
        <is>
          <t>https://africanmarketingconfederation.org/amc-relaunch-programme/</t>
        </is>
      </c>
      <c r="B45" s="4" t="n">
        <v>200</v>
      </c>
      <c r="C45" s="6" t="inlineStr">
        <is>
          <t>Indexable</t>
        </is>
      </c>
      <c r="D45" s="6" t="n">
        <v>0.048</v>
      </c>
      <c r="E45" s="6" t="inlineStr">
        <is>
          <t>AMC RELAUNCH – PROGRAMME – African Marketing Confederation</t>
        </is>
      </c>
      <c r="F45" s="6" t="inlineStr">
        <is>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is>
      </c>
      <c r="G45" s="6" t="n">
        <v>516</v>
      </c>
      <c r="H45" s="6" t="n">
        <v>59</v>
      </c>
      <c r="I45" s="25" t="inlineStr">
        <is>
          <t>Warning</t>
        </is>
      </c>
      <c r="J45" s="6" t="n">
        <v>58</v>
      </c>
      <c r="K45" s="6" t="n">
        <v>356</v>
      </c>
      <c r="L45" s="6" t="n"/>
      <c r="M45" s="6" t="b">
        <v>0</v>
      </c>
      <c r="N45" s="6" t="n"/>
      <c r="O45" s="6" t="n">
        <v>0</v>
      </c>
      <c r="P45" s="6" t="n"/>
      <c r="Q45" s="6" t="n">
        <v>0</v>
      </c>
      <c r="R45" s="6" t="n"/>
      <c r="S45" s="6" t="n">
        <v>0</v>
      </c>
      <c r="T45" s="6" t="n"/>
      <c r="U45" s="6" t="n">
        <v>0</v>
      </c>
      <c r="V45" s="6" t="n"/>
      <c r="W45" s="6" t="n">
        <v>0</v>
      </c>
      <c r="X45" s="6" t="n">
        <v>59</v>
      </c>
      <c r="Y45" s="6" t="n">
        <v>0</v>
      </c>
      <c r="Z45" s="6" t="inlineStr">
        <is>
          <t>WARN 🟡</t>
        </is>
      </c>
      <c r="AA45">
        <f>IFERROR(HYPERLINK("#Technical!A"&amp;MATCH(A45,Technical!A:A,0),"Open Technical"),HYPERLINK("#Technical!A1","Open Technical"))</f>
        <v/>
      </c>
    </row>
    <row r="46" ht="30" customHeight="1">
      <c r="A46" s="33" t="inlineStr">
        <is>
          <t>https://africanmarketingconfederation.org/amc-sign-up-now-form-2025/</t>
        </is>
      </c>
      <c r="B46" s="4" t="n">
        <v>200</v>
      </c>
      <c r="C46" s="24" t="inlineStr">
        <is>
          <t>Indexable</t>
        </is>
      </c>
      <c r="D46" s="24" t="n">
        <v>0.053</v>
      </c>
      <c r="E46" s="24" t="inlineStr">
        <is>
          <t>AMC Sign up now Form 2025 – African Marketing Confederation</t>
        </is>
      </c>
      <c r="F46" s="24" t="inlineStr">
        <is>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is>
      </c>
      <c r="G46" s="24" t="n">
        <v>608</v>
      </c>
      <c r="H46" s="24" t="n">
        <v>69</v>
      </c>
      <c r="I46" s="25" t="inlineStr">
        <is>
          <t>Warning</t>
        </is>
      </c>
      <c r="J46" s="24" t="n">
        <v>59</v>
      </c>
      <c r="K46" s="24" t="n">
        <v>1077</v>
      </c>
      <c r="L46" s="24" t="n"/>
      <c r="M46" s="24" t="b">
        <v>0</v>
      </c>
      <c r="N46" s="24" t="n"/>
      <c r="O46" s="24" t="n">
        <v>0</v>
      </c>
      <c r="P46" s="24" t="n"/>
      <c r="Q46" s="24" t="n">
        <v>0</v>
      </c>
      <c r="R46" s="24" t="n"/>
      <c r="S46" s="24" t="n">
        <v>0</v>
      </c>
      <c r="T46" s="24" t="n"/>
      <c r="U46" s="24" t="n">
        <v>0</v>
      </c>
      <c r="V46" s="24" t="n"/>
      <c r="W46" s="24" t="n">
        <v>0</v>
      </c>
      <c r="X46" s="24" t="n">
        <v>69</v>
      </c>
      <c r="Y46" s="24" t="n">
        <v>0</v>
      </c>
      <c r="Z46" s="24" t="inlineStr">
        <is>
          <t>WARN 🟡</t>
        </is>
      </c>
      <c r="AA46">
        <f>IFERROR(HYPERLINK("#Technical!A"&amp;MATCH(A46,Technical!A:A,0),"Open Technical"),HYPERLINK("#Technical!A1","Open Technical"))</f>
        <v/>
      </c>
    </row>
    <row r="47" ht="30" customHeight="1">
      <c r="A47" s="33" t="inlineStr">
        <is>
          <t>https://africanmarketingconfederation.org/amc-sponsors-2025/</t>
        </is>
      </c>
      <c r="B47" s="4" t="n">
        <v>200</v>
      </c>
      <c r="C47" s="6" t="inlineStr">
        <is>
          <t>Indexable</t>
        </is>
      </c>
      <c r="D47" s="6" t="n">
        <v>0.065</v>
      </c>
      <c r="E47" s="6" t="inlineStr">
        <is>
          <t>Sponsorship Opportunities – 2025 AMC Conference</t>
        </is>
      </c>
      <c r="F47" s="6" t="inlineStr">
        <is>
          <t>Explore sponsorship opportunities for AMC Conference 2025 and position your brand alongside Africa’s leading marketers, innovators, and industry decision-makers.</t>
        </is>
      </c>
      <c r="G47" s="6" t="n">
        <v>1213</v>
      </c>
      <c r="H47" s="6" t="n">
        <v>69</v>
      </c>
      <c r="I47" s="25" t="inlineStr">
        <is>
          <t>Warning</t>
        </is>
      </c>
      <c r="J47" s="6" t="n">
        <v>47</v>
      </c>
      <c r="K47" s="6" t="n">
        <v>161</v>
      </c>
      <c r="L47" s="6" t="n"/>
      <c r="M47" s="6" t="b">
        <v>0</v>
      </c>
      <c r="N47" s="6" t="n"/>
      <c r="O47" s="6" t="n">
        <v>0</v>
      </c>
      <c r="P47" s="6" t="n"/>
      <c r="Q47" s="6" t="n">
        <v>0</v>
      </c>
      <c r="R47" s="6" t="n"/>
      <c r="S47" s="6" t="n">
        <v>0</v>
      </c>
      <c r="T47" s="6" t="n"/>
      <c r="U47" s="6" t="n">
        <v>0</v>
      </c>
      <c r="V47" s="6" t="n"/>
      <c r="W47" s="6" t="n">
        <v>0</v>
      </c>
      <c r="X47" s="6" t="n">
        <v>69</v>
      </c>
      <c r="Y47" s="6" t="n">
        <v>0</v>
      </c>
      <c r="Z47" s="6" t="inlineStr">
        <is>
          <t>WARN 🟡</t>
        </is>
      </c>
      <c r="AA47">
        <f>IFERROR(HYPERLINK("#Technical!A"&amp;MATCH(A47,Technical!A:A,0),"Open Technical"),HYPERLINK("#Technical!A1","Open Technical"))</f>
        <v/>
      </c>
    </row>
    <row r="48" ht="30" customHeight="1">
      <c r="A48" s="33" t="inlineStr">
        <is>
          <t>https://africanmarketingconfederation.org/amc-testimony-page-2024/</t>
        </is>
      </c>
      <c r="B48" s="4" t="n">
        <v>200</v>
      </c>
      <c r="C48" s="24" t="inlineStr">
        <is>
          <t>Indexable</t>
        </is>
      </c>
      <c r="D48" s="24" t="n">
        <v>0.062</v>
      </c>
      <c r="E48" s="24" t="inlineStr">
        <is>
          <t>AMC Testimony page 2024 – African Marketing Confederation</t>
        </is>
      </c>
      <c r="F48" s="24" t="inlineStr">
        <is>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is>
      </c>
      <c r="G48" s="24" t="n">
        <v>622</v>
      </c>
      <c r="H48" s="24" t="n">
        <v>69</v>
      </c>
      <c r="I48" s="25" t="inlineStr">
        <is>
          <t>Warning</t>
        </is>
      </c>
      <c r="J48" s="24" t="n">
        <v>57</v>
      </c>
      <c r="K48" s="24" t="n">
        <v>376</v>
      </c>
      <c r="L48" s="24" t="n"/>
      <c r="M48" s="24" t="b">
        <v>0</v>
      </c>
      <c r="N48" s="24" t="n"/>
      <c r="O48" s="24" t="n">
        <v>0</v>
      </c>
      <c r="P48" s="24" t="n"/>
      <c r="Q48" s="24" t="n">
        <v>0</v>
      </c>
      <c r="R48" s="24" t="n"/>
      <c r="S48" s="24" t="n">
        <v>0</v>
      </c>
      <c r="T48" s="24" t="n"/>
      <c r="U48" s="24" t="n">
        <v>0</v>
      </c>
      <c r="V48" s="24" t="n"/>
      <c r="W48" s="24" t="n">
        <v>0</v>
      </c>
      <c r="X48" s="24" t="n">
        <v>69</v>
      </c>
      <c r="Y48" s="24" t="n">
        <v>0</v>
      </c>
      <c r="Z48" s="24" t="inlineStr">
        <is>
          <t>WARN 🟡</t>
        </is>
      </c>
      <c r="AA48">
        <f>IFERROR(HYPERLINK("#Technical!A"&amp;MATCH(A48,Technical!A:A,0),"Open Technical"),HYPERLINK("#Technical!A1","Open Technical"))</f>
        <v/>
      </c>
    </row>
    <row r="49" ht="30" customHeight="1">
      <c r="A49" s="33" t="inlineStr">
        <is>
          <t>https://africanmarketingconfederation.org/awards-2026-1/</t>
        </is>
      </c>
      <c r="B49" s="4" t="n">
        <v>200</v>
      </c>
      <c r="C49" s="6" t="inlineStr">
        <is>
          <t>Indexable</t>
        </is>
      </c>
      <c r="D49" s="6" t="n">
        <v>0.051</v>
      </c>
      <c r="E49" s="6" t="inlineStr">
        <is>
          <t>2026 AMC Awards-1 – African Marketing Confederation</t>
        </is>
      </c>
      <c r="F49" s="6" t="inlineStr">
        <is>
          <t>The African Marketing Confederation presents the 2026 AMC Awards. Submit your nominations to recognise innovative strategies, impact, and marketing results.</t>
        </is>
      </c>
      <c r="G49" s="6" t="n">
        <v>1108</v>
      </c>
      <c r="H49" s="6" t="n">
        <v>59</v>
      </c>
      <c r="I49" s="25" t="inlineStr">
        <is>
          <t>Warning</t>
        </is>
      </c>
      <c r="J49" s="6" t="n">
        <v>51</v>
      </c>
      <c r="K49" s="6" t="n">
        <v>156</v>
      </c>
      <c r="L49" s="6" t="n"/>
      <c r="M49" s="6" t="b">
        <v>0</v>
      </c>
      <c r="N49" s="6" t="n"/>
      <c r="O49" s="6" t="n">
        <v>0</v>
      </c>
      <c r="P49" s="6" t="n"/>
      <c r="Q49" s="6" t="n">
        <v>0</v>
      </c>
      <c r="R49" s="6" t="n"/>
      <c r="S49" s="6" t="n">
        <v>0</v>
      </c>
      <c r="T49" s="6" t="n"/>
      <c r="U49" s="6" t="n">
        <v>0</v>
      </c>
      <c r="V49" s="6" t="n"/>
      <c r="W49" s="6" t="n">
        <v>0</v>
      </c>
      <c r="X49" s="6" t="n">
        <v>59</v>
      </c>
      <c r="Y49" s="6" t="n">
        <v>0</v>
      </c>
      <c r="Z49" s="6" t="inlineStr">
        <is>
          <t>WARN 🟡</t>
        </is>
      </c>
      <c r="AA49">
        <f>IFERROR(HYPERLINK("#Technical!A"&amp;MATCH(A49,Technical!A:A,0),"Open Technical"),HYPERLINK("#Technical!A1","Open Technical"))</f>
        <v/>
      </c>
    </row>
    <row r="50" ht="30" customHeight="1">
      <c r="A50" s="33" t="inlineStr">
        <is>
          <t>https://africanmarketingconfederation.org/awards-2026-test/</t>
        </is>
      </c>
      <c r="B50" s="4" t="n">
        <v>200</v>
      </c>
      <c r="C50" s="24" t="inlineStr">
        <is>
          <t>Indexable</t>
        </is>
      </c>
      <c r="D50" s="24" t="n">
        <v>0.068</v>
      </c>
      <c r="E50" s="24" t="inlineStr">
        <is>
          <t>Awards 2026 test – African Marketing Confederation</t>
        </is>
      </c>
      <c r="F50" s="24" t="inlineStr">
        <is>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is>
      </c>
      <c r="G50" s="24" t="n">
        <v>1180</v>
      </c>
      <c r="H50" s="24" t="n">
        <v>59</v>
      </c>
      <c r="I50" s="25" t="inlineStr">
        <is>
          <t>Warning</t>
        </is>
      </c>
      <c r="J50" s="24" t="n">
        <v>50</v>
      </c>
      <c r="K50" s="24" t="n">
        <v>526</v>
      </c>
      <c r="L50" s="24" t="n"/>
      <c r="M50" s="24" t="b">
        <v>0</v>
      </c>
      <c r="N50" s="24" t="n"/>
      <c r="O50" s="24" t="n">
        <v>0</v>
      </c>
      <c r="P50" s="24" t="n"/>
      <c r="Q50" s="24" t="n">
        <v>0</v>
      </c>
      <c r="R50" s="24" t="n"/>
      <c r="S50" s="24" t="n">
        <v>0</v>
      </c>
      <c r="T50" s="24" t="n"/>
      <c r="U50" s="24" t="n">
        <v>0</v>
      </c>
      <c r="V50" s="24" t="n"/>
      <c r="W50" s="24" t="n">
        <v>0</v>
      </c>
      <c r="X50" s="24" t="n">
        <v>59</v>
      </c>
      <c r="Y50" s="24" t="n">
        <v>0</v>
      </c>
      <c r="Z50" s="24" t="inlineStr">
        <is>
          <t>WARN 🟡</t>
        </is>
      </c>
      <c r="AA50">
        <f>IFERROR(HYPERLINK("#Technical!A"&amp;MATCH(A50,Technical!A:A,0),"Open Technical"),HYPERLINK("#Technical!A1","Open Technical"))</f>
        <v/>
      </c>
    </row>
    <row r="51" ht="30" customHeight="1">
      <c r="A51" s="33" t="inlineStr">
        <is>
          <t>https://africanmarketingconfederation.org/awards-2026/</t>
        </is>
      </c>
      <c r="B51" s="4" t="n">
        <v>200</v>
      </c>
      <c r="C51" s="6" t="inlineStr">
        <is>
          <t>Indexable</t>
        </is>
      </c>
      <c r="D51" s="6" t="n">
        <v>0.061</v>
      </c>
      <c r="E51" s="6" t="inlineStr">
        <is>
          <t>2026 AMC Awards – African Marketing Confederation</t>
        </is>
      </c>
      <c r="F51" s="6" t="inlineStr">
        <is>
          <t>The African Marketing Confederation presents the 2026 AMC Awards. Submit your nominations to recognise innovative strategies, impact, and marketing results.</t>
        </is>
      </c>
      <c r="G51" s="6" t="n">
        <v>1132</v>
      </c>
      <c r="H51" s="6" t="n">
        <v>59</v>
      </c>
      <c r="I51" s="25" t="inlineStr">
        <is>
          <t>Warning</t>
        </is>
      </c>
      <c r="J51" s="6" t="n">
        <v>49</v>
      </c>
      <c r="K51" s="6" t="n">
        <v>156</v>
      </c>
      <c r="L51" s="6" t="n"/>
      <c r="M51" s="6" t="b">
        <v>0</v>
      </c>
      <c r="N51" s="6" t="n"/>
      <c r="O51" s="6" t="n">
        <v>0</v>
      </c>
      <c r="P51" s="6" t="n"/>
      <c r="Q51" s="6" t="n">
        <v>0</v>
      </c>
      <c r="R51" s="6" t="n"/>
      <c r="S51" s="6" t="n">
        <v>0</v>
      </c>
      <c r="T51" s="6" t="n"/>
      <c r="U51" s="6" t="n">
        <v>0</v>
      </c>
      <c r="V51" s="6" t="n"/>
      <c r="W51" s="6" t="n">
        <v>0</v>
      </c>
      <c r="X51" s="6" t="n">
        <v>59</v>
      </c>
      <c r="Y51" s="6" t="n">
        <v>0</v>
      </c>
      <c r="Z51" s="6" t="inlineStr">
        <is>
          <t>WARN 🟡</t>
        </is>
      </c>
      <c r="AA51">
        <f>IFERROR(HYPERLINK("#Technical!A"&amp;MATCH(A51,Technical!A:A,0),"Open Technical"),HYPERLINK("#Technical!A1","Open Technical"))</f>
        <v/>
      </c>
    </row>
    <row r="52" ht="30" customHeight="1">
      <c r="A52" s="33" t="inlineStr">
        <is>
          <t>https://africanmarketingconfederation.org/certified-professional-marketer-africa/</t>
        </is>
      </c>
      <c r="B52" s="4" t="n">
        <v>200</v>
      </c>
      <c r="C52" s="24" t="inlineStr">
        <is>
          <t>Indexable</t>
        </is>
      </c>
      <c r="D52" s="24" t="n">
        <v>0.06900000000000001</v>
      </c>
      <c r="E52" s="24" t="inlineStr">
        <is>
          <t>Certified Professional Marketer (Africa) – African Marketing Confederation</t>
        </is>
      </c>
      <c r="F52" s="24" t="inlineStr">
        <is>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is>
      </c>
      <c r="G52" s="24" t="n">
        <v>949</v>
      </c>
      <c r="H52" s="24" t="n">
        <v>59</v>
      </c>
      <c r="I52" s="25" t="inlineStr">
        <is>
          <t>Warning</t>
        </is>
      </c>
      <c r="J52" s="24" t="n">
        <v>74</v>
      </c>
      <c r="K52" s="24" t="n">
        <v>400</v>
      </c>
      <c r="L52" s="24" t="n"/>
      <c r="M52" s="24" t="b">
        <v>0</v>
      </c>
      <c r="N52" s="24" t="n"/>
      <c r="O52" s="24" t="n">
        <v>0</v>
      </c>
      <c r="P52" s="24" t="n"/>
      <c r="Q52" s="24" t="n">
        <v>0</v>
      </c>
      <c r="R52" s="24" t="n"/>
      <c r="S52" s="24" t="n">
        <v>0</v>
      </c>
      <c r="T52" s="24" t="n"/>
      <c r="U52" s="24" t="n">
        <v>0</v>
      </c>
      <c r="V52" s="24" t="n"/>
      <c r="W52" s="24" t="n">
        <v>0</v>
      </c>
      <c r="X52" s="24" t="n">
        <v>59</v>
      </c>
      <c r="Y52" s="24" t="n">
        <v>0</v>
      </c>
      <c r="Z52" s="24" t="inlineStr">
        <is>
          <t>WARN 🟡</t>
        </is>
      </c>
      <c r="AA52">
        <f>IFERROR(HYPERLINK("#Technical!A"&amp;MATCH(A52,Technical!A:A,0),"Open Technical"),HYPERLINK("#Technical!A1","Open Technical"))</f>
        <v/>
      </c>
    </row>
    <row r="53" ht="30" customHeight="1">
      <c r="A53" s="33" t="inlineStr">
        <is>
          <t>https://africanmarketingconfederation.org/chartered-marketer-africa-final-submission-fee/</t>
        </is>
      </c>
      <c r="B53" s="4" t="n">
        <v>200</v>
      </c>
      <c r="C53" s="6" t="inlineStr">
        <is>
          <t>Indexable</t>
        </is>
      </c>
      <c r="D53" s="6" t="n">
        <v>0.183</v>
      </c>
      <c r="E53" s="6" t="inlineStr">
        <is>
          <t>Chartered Marketer (Africa) Final submission fee – African Marketing Confederation</t>
        </is>
      </c>
      <c r="F53" s="6" t="inlineStr">
        <is>
          <t>Final Submission Fee Receive a 15% discount on your final submission feeby making payment before 31 August 2024. Add to cart $2190,00 Original price was: $2190,00.$1862,00Current price is: $1862,00. Add to cart</t>
        </is>
      </c>
      <c r="G53" s="6" t="n">
        <v>147</v>
      </c>
      <c r="H53" s="6" t="n">
        <v>59</v>
      </c>
      <c r="I53" s="25" t="inlineStr">
        <is>
          <t>Warning</t>
        </is>
      </c>
      <c r="J53" s="6" t="n">
        <v>82</v>
      </c>
      <c r="K53" s="6" t="n">
        <v>210</v>
      </c>
      <c r="L53" s="6" t="n"/>
      <c r="M53" s="6" t="b">
        <v>0</v>
      </c>
      <c r="N53" s="6" t="n"/>
      <c r="O53" s="6" t="n">
        <v>0</v>
      </c>
      <c r="P53" s="6" t="n"/>
      <c r="Q53" s="6" t="n">
        <v>0</v>
      </c>
      <c r="R53" s="6" t="n"/>
      <c r="S53" s="6" t="n">
        <v>0</v>
      </c>
      <c r="T53" s="6" t="n"/>
      <c r="U53" s="6" t="n">
        <v>0</v>
      </c>
      <c r="V53" s="6" t="n"/>
      <c r="W53" s="6" t="n">
        <v>0</v>
      </c>
      <c r="X53" s="6" t="n">
        <v>59</v>
      </c>
      <c r="Y53" s="6" t="n">
        <v>0</v>
      </c>
      <c r="Z53" s="6" t="inlineStr">
        <is>
          <t>WARN 🟡</t>
        </is>
      </c>
      <c r="AA53">
        <f>IFERROR(HYPERLINK("#Technical!A"&amp;MATCH(A53,Technical!A:A,0),"Open Technical"),HYPERLINK("#Technical!A1","Open Technical"))</f>
        <v/>
      </c>
    </row>
    <row r="54" ht="30" customHeight="1">
      <c r="A54" s="33" t="inlineStr">
        <is>
          <t>https://africanmarketingconfederation.org/chartered-marketer-africa-programme-fee/</t>
        </is>
      </c>
      <c r="B54" s="4" t="n">
        <v>200</v>
      </c>
      <c r="C54" s="24" t="inlineStr">
        <is>
          <t>Indexable</t>
        </is>
      </c>
      <c r="D54" s="24" t="n">
        <v>0.068</v>
      </c>
      <c r="E54" s="24" t="inlineStr">
        <is>
          <t>Chartered Marketer (Africa) Programme fee – African Marketing Confederation</t>
        </is>
      </c>
      <c r="F54" s="24" t="inlineStr">
        <is>
          <t>Programme Fee Receive a 15% discount on your programme fee by making payment before 31 August 2024. Add to cart $810,00 Original price was: $810,00.$689,00Current price is: $689,00. Add to cart</t>
        </is>
      </c>
      <c r="G54" s="24" t="n">
        <v>145</v>
      </c>
      <c r="H54" s="24" t="n">
        <v>59</v>
      </c>
      <c r="I54" s="25" t="inlineStr">
        <is>
          <t>Warning</t>
        </is>
      </c>
      <c r="J54" s="24" t="n">
        <v>75</v>
      </c>
      <c r="K54" s="24" t="n">
        <v>193</v>
      </c>
      <c r="L54" s="24" t="n"/>
      <c r="M54" s="24" t="b">
        <v>0</v>
      </c>
      <c r="N54" s="24" t="n"/>
      <c r="O54" s="24" t="n">
        <v>0</v>
      </c>
      <c r="P54" s="24" t="n"/>
      <c r="Q54" s="24" t="n">
        <v>0</v>
      </c>
      <c r="R54" s="24" t="n"/>
      <c r="S54" s="24" t="n">
        <v>0</v>
      </c>
      <c r="T54" s="24" t="n"/>
      <c r="U54" s="24" t="n">
        <v>0</v>
      </c>
      <c r="V54" s="24" t="n"/>
      <c r="W54" s="24" t="n">
        <v>0</v>
      </c>
      <c r="X54" s="24" t="n">
        <v>59</v>
      </c>
      <c r="Y54" s="24" t="n">
        <v>0</v>
      </c>
      <c r="Z54" s="24" t="inlineStr">
        <is>
          <t>WARN 🟡</t>
        </is>
      </c>
      <c r="AA54">
        <f>IFERROR(HYPERLINK("#Technical!A"&amp;MATCH(A54,Technical!A:A,0),"Open Technical"),HYPERLINK("#Technical!A1","Open Technical"))</f>
        <v/>
      </c>
    </row>
    <row r="55" ht="30" customHeight="1">
      <c r="A55" s="33" t="inlineStr">
        <is>
          <t>https://africanmarketingconfederation.org/chartered-marketer-africa-thank-you/</t>
        </is>
      </c>
      <c r="B55" s="4" t="n">
        <v>200</v>
      </c>
      <c r="C55" s="6" t="inlineStr">
        <is>
          <t>Indexable</t>
        </is>
      </c>
      <c r="D55" s="6" t="n">
        <v>0.042</v>
      </c>
      <c r="E55" s="6" t="inlineStr">
        <is>
          <t>Chartered Marketer (Africa) | Thank You – African Marketing Confederation</t>
        </is>
      </c>
      <c r="F55" s="6" t="inlineStr">
        <is>
          <t>Thank You! Thank you for your enquiry - you can now download the brochure. Download Brochure</t>
        </is>
      </c>
      <c r="G55" s="6" t="n">
        <v>95</v>
      </c>
      <c r="H55" s="6" t="n">
        <v>49</v>
      </c>
      <c r="I55" s="25" t="inlineStr">
        <is>
          <t>Warning</t>
        </is>
      </c>
      <c r="J55" s="6" t="n">
        <v>73</v>
      </c>
      <c r="K55" s="6" t="n">
        <v>92</v>
      </c>
      <c r="L55" s="6" t="n"/>
      <c r="M55" s="6" t="b">
        <v>0</v>
      </c>
      <c r="N55" s="6" t="n"/>
      <c r="O55" s="6" t="n">
        <v>0</v>
      </c>
      <c r="P55" s="6" t="n"/>
      <c r="Q55" s="6" t="n">
        <v>0</v>
      </c>
      <c r="R55" s="6" t="n"/>
      <c r="S55" s="6" t="n">
        <v>0</v>
      </c>
      <c r="T55" s="6" t="n"/>
      <c r="U55" s="6" t="n">
        <v>0</v>
      </c>
      <c r="V55" s="6" t="n"/>
      <c r="W55" s="6" t="n">
        <v>0</v>
      </c>
      <c r="X55" s="6" t="n">
        <v>49</v>
      </c>
      <c r="Y55" s="6" t="n">
        <v>0</v>
      </c>
      <c r="Z55" s="6" t="inlineStr">
        <is>
          <t>WARN 🟡</t>
        </is>
      </c>
      <c r="AA55">
        <f>IFERROR(HYPERLINK("#Technical!A"&amp;MATCH(A55,Technical!A:A,0),"Open Technical"),HYPERLINK("#Technical!A1","Open Technical"))</f>
        <v/>
      </c>
    </row>
    <row r="56" ht="30" customHeight="1">
      <c r="A56" s="33" t="inlineStr">
        <is>
          <t>https://africanmarketingconfederation.org/chartered-marketer-africa/</t>
        </is>
      </c>
      <c r="B56" s="4" t="n">
        <v>200</v>
      </c>
      <c r="C56" s="24" t="inlineStr">
        <is>
          <t>Indexable</t>
        </is>
      </c>
      <c r="D56" s="24" t="n">
        <v>0.218</v>
      </c>
      <c r="E56" s="24" t="inlineStr">
        <is>
          <t>The Chartered Marketer Africa – African Marketing Confederation</t>
        </is>
      </c>
      <c r="F56" s="24" t="inlineStr">
        <is>
          <t>Become one of Africa’s marketing titans. The Chartered Marketer Africa is awarded to the top marketing professionals on the continent.</t>
        </is>
      </c>
      <c r="G56" s="24" t="n">
        <v>375</v>
      </c>
      <c r="H56" s="24" t="n">
        <v>69</v>
      </c>
      <c r="I56" s="25" t="inlineStr">
        <is>
          <t>Warning</t>
        </is>
      </c>
      <c r="J56" s="24" t="n">
        <v>63</v>
      </c>
      <c r="K56" s="24" t="n">
        <v>134</v>
      </c>
      <c r="L56" s="24" t="n"/>
      <c r="M56" s="24" t="b">
        <v>0</v>
      </c>
      <c r="N56" s="24" t="n"/>
      <c r="O56" s="24" t="n">
        <v>0</v>
      </c>
      <c r="P56" s="24" t="n"/>
      <c r="Q56" s="24" t="n">
        <v>0</v>
      </c>
      <c r="R56" s="24" t="n"/>
      <c r="S56" s="24" t="n">
        <v>0</v>
      </c>
      <c r="T56" s="24" t="n"/>
      <c r="U56" s="24" t="n">
        <v>0</v>
      </c>
      <c r="V56" s="24" t="n"/>
      <c r="W56" s="24" t="n">
        <v>0</v>
      </c>
      <c r="X56" s="24" t="n">
        <v>69</v>
      </c>
      <c r="Y56" s="24" t="n">
        <v>0</v>
      </c>
      <c r="Z56" s="24" t="inlineStr">
        <is>
          <t>WARN 🟡</t>
        </is>
      </c>
      <c r="AA56">
        <f>IFERROR(HYPERLINK("#Technical!A"&amp;MATCH(A56,Technical!A:A,0),"Open Technical"),HYPERLINK("#Technical!A1","Open Technical"))</f>
        <v/>
      </c>
    </row>
    <row r="57" ht="30" customHeight="1">
      <c r="A57" s="33" t="inlineStr">
        <is>
          <t>https://africanmarketingconfederation.org/checkout/</t>
        </is>
      </c>
      <c r="B57" s="4" t="n">
        <v>200</v>
      </c>
      <c r="C57" s="6" t="inlineStr">
        <is>
          <t>Indexable</t>
        </is>
      </c>
      <c r="D57" s="6" t="n">
        <v>4.191</v>
      </c>
      <c r="E57" s="6" t="inlineStr">
        <is>
          <t>Cart – African Marketing Confederation</t>
        </is>
      </c>
      <c r="F57" s="6" t="inlineStr">
        <is>
          <t>Your cart is currently empty. Return to shop</t>
        </is>
      </c>
      <c r="G57" s="6" t="n">
        <v>133</v>
      </c>
      <c r="H57" s="6" t="n">
        <v>49</v>
      </c>
      <c r="I57" s="25" t="inlineStr">
        <is>
          <t>Warning</t>
        </is>
      </c>
      <c r="J57" s="6" t="n">
        <v>38</v>
      </c>
      <c r="K57" s="6" t="n">
        <v>44</v>
      </c>
      <c r="L57" s="6" t="n"/>
      <c r="M57" s="6" t="b">
        <v>0</v>
      </c>
      <c r="N57" s="6" t="n"/>
      <c r="O57" s="6" t="n">
        <v>0</v>
      </c>
      <c r="P57" s="6" t="n"/>
      <c r="Q57" s="6" t="n">
        <v>0</v>
      </c>
      <c r="R57" s="6" t="n"/>
      <c r="S57" s="6" t="n">
        <v>0</v>
      </c>
      <c r="T57" s="6" t="n"/>
      <c r="U57" s="6" t="n">
        <v>0</v>
      </c>
      <c r="V57" s="6" t="n"/>
      <c r="W57" s="6" t="n">
        <v>0</v>
      </c>
      <c r="X57" s="6" t="n">
        <v>49</v>
      </c>
      <c r="Y57" s="6" t="n">
        <v>0</v>
      </c>
      <c r="Z57" s="6" t="inlineStr">
        <is>
          <t>WARN 🟡</t>
        </is>
      </c>
      <c r="AA57">
        <f>IFERROR(HYPERLINK("#Technical!A"&amp;MATCH(A57,Technical!A:A,0),"Open Technical"),HYPERLINK("#Technical!A1","Open Technical"))</f>
        <v/>
      </c>
    </row>
    <row r="58" ht="30" customHeight="1">
      <c r="A58" s="33" t="inlineStr">
        <is>
          <t>https://africanmarketingconfederation.org/conference-faq-2025/</t>
        </is>
      </c>
      <c r="B58" s="4" t="n">
        <v>200</v>
      </c>
      <c r="C58" s="24" t="inlineStr">
        <is>
          <t>Indexable</t>
        </is>
      </c>
      <c r="D58" s="24" t="n">
        <v>0.051</v>
      </c>
      <c r="E58" s="24" t="inlineStr">
        <is>
          <t>2025 AMC Conference – FAQs Page</t>
        </is>
      </c>
      <c r="F58" s="24" t="inlineStr">
        <is>
          <t>Find answers to all your questions about the AMC Conference 2025 - venue, registration, speakers, agenda, sponsorship, and more information in our FAQs section.</t>
        </is>
      </c>
      <c r="G58" s="24" t="n">
        <v>2280</v>
      </c>
      <c r="H58" s="24" t="n">
        <v>69</v>
      </c>
      <c r="I58" s="25" t="inlineStr">
        <is>
          <t>Warning</t>
        </is>
      </c>
      <c r="J58" s="24" t="n">
        <v>31</v>
      </c>
      <c r="K58" s="24" t="n">
        <v>160</v>
      </c>
      <c r="L58" s="24" t="n"/>
      <c r="M58" s="24" t="b">
        <v>0</v>
      </c>
      <c r="N58" s="24" t="n"/>
      <c r="O58" s="24" t="n">
        <v>0</v>
      </c>
      <c r="P58" s="24" t="n"/>
      <c r="Q58" s="24" t="n">
        <v>0</v>
      </c>
      <c r="R58" s="24" t="n"/>
      <c r="S58" s="24" t="n">
        <v>0</v>
      </c>
      <c r="T58" s="24" t="n"/>
      <c r="U58" s="24" t="n">
        <v>0</v>
      </c>
      <c r="V58" s="24" t="n"/>
      <c r="W58" s="24" t="n">
        <v>0</v>
      </c>
      <c r="X58" s="24" t="n">
        <v>69</v>
      </c>
      <c r="Y58" s="24" t="n">
        <v>0</v>
      </c>
      <c r="Z58" s="24" t="inlineStr">
        <is>
          <t>WARN 🟡</t>
        </is>
      </c>
      <c r="AA58">
        <f>IFERROR(HYPERLINK("#Technical!A"&amp;MATCH(A58,Technical!A:A,0),"Open Technical"),HYPERLINK("#Technical!A1","Open Technical"))</f>
        <v/>
      </c>
    </row>
    <row r="59" ht="30" customHeight="1">
      <c r="A59" s="33" t="inlineStr">
        <is>
          <t>https://africanmarketingconfederation.org/conference-registrations-2024/</t>
        </is>
      </c>
      <c r="B59" s="4" t="n">
        <v>200</v>
      </c>
      <c r="C59" s="6" t="inlineStr">
        <is>
          <t>Indexable</t>
        </is>
      </c>
      <c r="D59" s="6" t="n">
        <v>0.064</v>
      </c>
      <c r="E59" s="6" t="inlineStr">
        <is>
          <t>Conference Registrations 2024 – African Marketing Confederation</t>
        </is>
      </c>
      <c r="F59" s="6" t="inlineStr">
        <is>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is>
      </c>
      <c r="G59" s="6" t="n">
        <v>914</v>
      </c>
      <c r="H59" s="6" t="n">
        <v>69</v>
      </c>
      <c r="I59" s="25" t="inlineStr">
        <is>
          <t>Warning</t>
        </is>
      </c>
      <c r="J59" s="6" t="n">
        <v>63</v>
      </c>
      <c r="K59" s="6" t="n">
        <v>800</v>
      </c>
      <c r="L59" s="6" t="n"/>
      <c r="M59" s="6" t="b">
        <v>0</v>
      </c>
      <c r="N59" s="6" t="n"/>
      <c r="O59" s="6" t="n">
        <v>0</v>
      </c>
      <c r="P59" s="6" t="n"/>
      <c r="Q59" s="6" t="n">
        <v>0</v>
      </c>
      <c r="R59" s="6" t="n"/>
      <c r="S59" s="6" t="n">
        <v>0</v>
      </c>
      <c r="T59" s="6" t="n"/>
      <c r="U59" s="6" t="n">
        <v>0</v>
      </c>
      <c r="V59" s="6" t="n"/>
      <c r="W59" s="6" t="n">
        <v>0</v>
      </c>
      <c r="X59" s="6" t="n">
        <v>69</v>
      </c>
      <c r="Y59" s="6" t="n">
        <v>0</v>
      </c>
      <c r="Z59" s="6" t="inlineStr">
        <is>
          <t>WARN 🟡</t>
        </is>
      </c>
      <c r="AA59">
        <f>IFERROR(HYPERLINK("#Technical!A"&amp;MATCH(A59,Technical!A:A,0),"Open Technical"),HYPERLINK("#Technical!A1","Open Technical"))</f>
        <v/>
      </c>
    </row>
    <row r="60" ht="30" customHeight="1">
      <c r="A60" s="33" t="inlineStr">
        <is>
          <t>https://africanmarketingconfederation.org/contact-us/</t>
        </is>
      </c>
      <c r="B60" s="4" t="n">
        <v>200</v>
      </c>
      <c r="C60" s="24" t="inlineStr">
        <is>
          <t>Indexable</t>
        </is>
      </c>
      <c r="D60" s="24" t="n">
        <v>0.05</v>
      </c>
      <c r="E60" s="24" t="inlineStr">
        <is>
          <t>Contact Us – African Marketing Confederation</t>
        </is>
      </c>
      <c r="F60" s="24" t="inlineStr">
        <is>
          <t>Contact us to know more about membership, courses, and our upcoming conference.</t>
        </is>
      </c>
      <c r="G60" s="24" t="n">
        <v>500</v>
      </c>
      <c r="H60" s="24" t="n">
        <v>59</v>
      </c>
      <c r="I60" s="25" t="inlineStr">
        <is>
          <t>Warning</t>
        </is>
      </c>
      <c r="J60" s="24" t="n">
        <v>44</v>
      </c>
      <c r="K60" s="24" t="n">
        <v>79</v>
      </c>
      <c r="L60" s="24" t="n"/>
      <c r="M60" s="24" t="b">
        <v>0</v>
      </c>
      <c r="N60" s="24" t="n"/>
      <c r="O60" s="24" t="n">
        <v>0</v>
      </c>
      <c r="P60" s="24" t="n"/>
      <c r="Q60" s="24" t="n">
        <v>0</v>
      </c>
      <c r="R60" s="24" t="n"/>
      <c r="S60" s="24" t="n">
        <v>0</v>
      </c>
      <c r="T60" s="24" t="n"/>
      <c r="U60" s="24" t="n">
        <v>0</v>
      </c>
      <c r="V60" s="24" t="n"/>
      <c r="W60" s="24" t="n">
        <v>0</v>
      </c>
      <c r="X60" s="24" t="n">
        <v>59</v>
      </c>
      <c r="Y60" s="24" t="n">
        <v>0</v>
      </c>
      <c r="Z60" s="24" t="inlineStr">
        <is>
          <t>WARN 🟡</t>
        </is>
      </c>
      <c r="AA60">
        <f>IFERROR(HYPERLINK("#Technical!A"&amp;MATCH(A60,Technical!A:A,0),"Open Technical"),HYPERLINK("#Technical!A1","Open Technical"))</f>
        <v/>
      </c>
    </row>
    <row r="61" ht="30" customHeight="1">
      <c r="A61" s="33" t="inlineStr">
        <is>
          <t>https://africanmarketingconfederation.org/download-brochure/</t>
        </is>
      </c>
      <c r="B61" s="4" t="n">
        <v>200</v>
      </c>
      <c r="C61" s="6" t="inlineStr">
        <is>
          <t>Indexable</t>
        </is>
      </c>
      <c r="D61" s="6" t="n">
        <v>0.284</v>
      </c>
      <c r="E61" s="6" t="inlineStr">
        <is>
          <t>Download Brochure – African Marketing Confederation</t>
        </is>
      </c>
      <c r="F61" s="6" t="inlineStr">
        <is>
          <t>Download Brochure Download Brochure Download Form Download Code of Conduct Submit relevant Documents</t>
        </is>
      </c>
      <c r="G61" s="6" t="n">
        <v>92</v>
      </c>
      <c r="H61" s="6" t="n">
        <v>49</v>
      </c>
      <c r="I61" s="25" t="inlineStr">
        <is>
          <t>Warning</t>
        </is>
      </c>
      <c r="J61" s="6" t="n">
        <v>51</v>
      </c>
      <c r="K61" s="6" t="n">
        <v>100</v>
      </c>
      <c r="L61" s="6" t="n"/>
      <c r="M61" s="6" t="b">
        <v>0</v>
      </c>
      <c r="N61" s="6" t="n"/>
      <c r="O61" s="6" t="n">
        <v>0</v>
      </c>
      <c r="P61" s="6" t="n"/>
      <c r="Q61" s="6" t="n">
        <v>0</v>
      </c>
      <c r="R61" s="6" t="n"/>
      <c r="S61" s="6" t="n">
        <v>0</v>
      </c>
      <c r="T61" s="6" t="n"/>
      <c r="U61" s="6" t="n">
        <v>0</v>
      </c>
      <c r="V61" s="6" t="n"/>
      <c r="W61" s="6" t="n">
        <v>0</v>
      </c>
      <c r="X61" s="6" t="n">
        <v>49</v>
      </c>
      <c r="Y61" s="6" t="n">
        <v>0</v>
      </c>
      <c r="Z61" s="6" t="inlineStr">
        <is>
          <t>WARN 🟡</t>
        </is>
      </c>
      <c r="AA61">
        <f>IFERROR(HYPERLINK("#Technical!A"&amp;MATCH(A61,Technical!A:A,0),"Open Technical"),HYPERLINK("#Technical!A1","Open Technical"))</f>
        <v/>
      </c>
    </row>
    <row r="62" ht="30" customHeight="1">
      <c r="A62" s="33" t="inlineStr">
        <is>
          <t>https://africanmarketingconfederation.org/download-prospectus-2024/</t>
        </is>
      </c>
      <c r="B62" s="4" t="n">
        <v>200</v>
      </c>
      <c r="C62" s="24" t="inlineStr">
        <is>
          <t>Indexable</t>
        </is>
      </c>
      <c r="D62" s="24" t="n">
        <v>0.053</v>
      </c>
      <c r="E62" s="24" t="inlineStr">
        <is>
          <t>Download Prospectus 2024 – African Marketing Confederation</t>
        </is>
      </c>
      <c r="F62" s="24" t="inlineStr">
        <is>
          <t>Download Prospectus Thank you for your interest. Download Prospectus</t>
        </is>
      </c>
      <c r="G62" s="24" t="n">
        <v>88</v>
      </c>
      <c r="H62" s="24" t="n">
        <v>49</v>
      </c>
      <c r="I62" s="25" t="inlineStr">
        <is>
          <t>Warning</t>
        </is>
      </c>
      <c r="J62" s="24" t="n">
        <v>58</v>
      </c>
      <c r="K62" s="24" t="n">
        <v>68</v>
      </c>
      <c r="L62" s="24" t="n"/>
      <c r="M62" s="24" t="b">
        <v>0</v>
      </c>
      <c r="N62" s="24" t="n"/>
      <c r="O62" s="24" t="n">
        <v>0</v>
      </c>
      <c r="P62" s="24" t="n"/>
      <c r="Q62" s="24" t="n">
        <v>0</v>
      </c>
      <c r="R62" s="24" t="n"/>
      <c r="S62" s="24" t="n">
        <v>0</v>
      </c>
      <c r="T62" s="24" t="n"/>
      <c r="U62" s="24" t="n">
        <v>0</v>
      </c>
      <c r="V62" s="24" t="n"/>
      <c r="W62" s="24" t="n">
        <v>0</v>
      </c>
      <c r="X62" s="24" t="n">
        <v>49</v>
      </c>
      <c r="Y62" s="24" t="n">
        <v>0</v>
      </c>
      <c r="Z62" s="24" t="inlineStr">
        <is>
          <t>WARN 🟡</t>
        </is>
      </c>
      <c r="AA62">
        <f>IFERROR(HYPERLINK("#Technical!A"&amp;MATCH(A62,Technical!A:A,0),"Open Technical"),HYPERLINK("#Technical!A1","Open Technical"))</f>
        <v/>
      </c>
    </row>
    <row r="63" ht="30" customHeight="1">
      <c r="A63" s="33" t="inlineStr">
        <is>
          <t>https://africanmarketingconfederation.org/education/</t>
        </is>
      </c>
      <c r="B63" s="4" t="n">
        <v>200</v>
      </c>
      <c r="C63" s="6" t="inlineStr">
        <is>
          <t>Indexable</t>
        </is>
      </c>
      <c r="D63" s="6" t="n">
        <v>0.061</v>
      </c>
      <c r="E63" s="6" t="inlineStr">
        <is>
          <t>Education – African Marketing Confederation</t>
        </is>
      </c>
      <c r="F63" s="6" t="inlineStr">
        <is>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is>
      </c>
      <c r="G63" s="6" t="n">
        <v>718</v>
      </c>
      <c r="H63" s="6" t="n">
        <v>59</v>
      </c>
      <c r="I63" s="25" t="inlineStr">
        <is>
          <t>Warning</t>
        </is>
      </c>
      <c r="J63" s="6" t="n">
        <v>43</v>
      </c>
      <c r="K63" s="6" t="n">
        <v>344</v>
      </c>
      <c r="L63" s="6" t="n"/>
      <c r="M63" s="6" t="b">
        <v>0</v>
      </c>
      <c r="N63" s="6" t="n"/>
      <c r="O63" s="6" t="n">
        <v>0</v>
      </c>
      <c r="P63" s="6" t="n"/>
      <c r="Q63" s="6" t="n">
        <v>0</v>
      </c>
      <c r="R63" s="6" t="n"/>
      <c r="S63" s="6" t="n">
        <v>0</v>
      </c>
      <c r="T63" s="6" t="n"/>
      <c r="U63" s="6" t="n">
        <v>0</v>
      </c>
      <c r="V63" s="6" t="n"/>
      <c r="W63" s="6" t="n">
        <v>0</v>
      </c>
      <c r="X63" s="6" t="n">
        <v>59</v>
      </c>
      <c r="Y63" s="6" t="n">
        <v>0</v>
      </c>
      <c r="Z63" s="6" t="inlineStr">
        <is>
          <t>WARN 🟡</t>
        </is>
      </c>
      <c r="AA63">
        <f>IFERROR(HYPERLINK("#Technical!A"&amp;MATCH(A63,Technical!A:A,0),"Open Technical"),HYPERLINK("#Technical!A1","Open Technical"))</f>
        <v/>
      </c>
    </row>
    <row r="64" ht="30" customHeight="1">
      <c r="A64" s="33" t="inlineStr">
        <is>
          <t>https://africanmarketingconfederation.org/elementor-16548/</t>
        </is>
      </c>
      <c r="B64" s="4" t="n">
        <v>200</v>
      </c>
      <c r="C64" s="24" t="inlineStr">
        <is>
          <t>Indexable</t>
        </is>
      </c>
      <c r="D64" s="24" t="n">
        <v>0.061</v>
      </c>
      <c r="E64" s="24" t="inlineStr">
        <is>
          <t>Thank you for registering – African Marketing Confederation</t>
        </is>
      </c>
      <c r="F64" s="24" t="inlineStr">
        <is>
          <t>SUBMISSION RECEIVED Thank you for submitting your information! We appreciate your interest in the 2024 AMC Conference and will keep you updated with all the details about the upcoming event. Speakers Programme Awards</t>
        </is>
      </c>
      <c r="G64" s="24" t="n">
        <v>113</v>
      </c>
      <c r="H64" s="24" t="n">
        <v>49</v>
      </c>
      <c r="I64" s="25" t="inlineStr">
        <is>
          <t>Warning</t>
        </is>
      </c>
      <c r="J64" s="24" t="n">
        <v>59</v>
      </c>
      <c r="K64" s="24" t="n">
        <v>216</v>
      </c>
      <c r="L64" s="24" t="n"/>
      <c r="M64" s="24" t="b">
        <v>0</v>
      </c>
      <c r="N64" s="24" t="n"/>
      <c r="O64" s="24" t="n">
        <v>0</v>
      </c>
      <c r="P64" s="24" t="n"/>
      <c r="Q64" s="24" t="n">
        <v>0</v>
      </c>
      <c r="R64" s="24" t="n"/>
      <c r="S64" s="24" t="n">
        <v>0</v>
      </c>
      <c r="T64" s="24" t="n"/>
      <c r="U64" s="24" t="n">
        <v>0</v>
      </c>
      <c r="V64" s="24" t="n"/>
      <c r="W64" s="24" t="n">
        <v>0</v>
      </c>
      <c r="X64" s="24" t="n">
        <v>49</v>
      </c>
      <c r="Y64" s="24" t="n">
        <v>0</v>
      </c>
      <c r="Z64" s="24" t="inlineStr">
        <is>
          <t>WARN 🟡</t>
        </is>
      </c>
      <c r="AA64">
        <f>IFERROR(HYPERLINK("#Technical!A"&amp;MATCH(A64,Technical!A:A,0),"Open Technical"),HYPERLINK("#Technical!A1","Open Technical"))</f>
        <v/>
      </c>
    </row>
    <row r="65" ht="30" customHeight="1">
      <c r="A65" s="33" t="inlineStr">
        <is>
          <t>https://africanmarketingconfederation.org/elementor-20341/</t>
        </is>
      </c>
      <c r="B65" s="4" t="n">
        <v>200</v>
      </c>
      <c r="C65" s="6" t="inlineStr">
        <is>
          <t>Indexable</t>
        </is>
      </c>
      <c r="D65" s="6" t="n">
        <v>0.067</v>
      </c>
      <c r="E65" s="6" t="inlineStr">
        <is>
          <t>Elementor #20341 – African Marketing Confederation</t>
        </is>
      </c>
      <c r="F65" s="6" t="n">
        <v>50</v>
      </c>
      <c r="G65" s="6" t="n">
        <v>79</v>
      </c>
      <c r="H65" s="6" t="n">
        <v>39</v>
      </c>
      <c r="I65" s="25" t="inlineStr">
        <is>
          <t>Warning</t>
        </is>
      </c>
      <c r="J65" s="6" t="n">
        <v>50</v>
      </c>
      <c r="K65" s="6" t="n">
        <v>0</v>
      </c>
      <c r="L65" s="6" t="n"/>
      <c r="M65" s="6" t="b">
        <v>0</v>
      </c>
      <c r="N65" s="6" t="n"/>
      <c r="O65" s="6" t="n">
        <v>0</v>
      </c>
      <c r="P65" s="6" t="n"/>
      <c r="Q65" s="6" t="n">
        <v>0</v>
      </c>
      <c r="R65" s="6" t="n"/>
      <c r="S65" s="6" t="n">
        <v>0</v>
      </c>
      <c r="T65" s="6" t="n"/>
      <c r="U65" s="6" t="n">
        <v>0</v>
      </c>
      <c r="V65" s="6" t="n"/>
      <c r="W65" s="6" t="n">
        <v>0</v>
      </c>
      <c r="X65" s="6" t="n">
        <v>39</v>
      </c>
      <c r="Y65" s="6" t="n">
        <v>0</v>
      </c>
      <c r="Z65" s="6" t="inlineStr">
        <is>
          <t>WARN 🟡</t>
        </is>
      </c>
      <c r="AA65">
        <f>IFERROR(HYPERLINK("#Technical!A"&amp;MATCH(A65,Technical!A:A,0),"Open Technical"),HYPERLINK("#Technical!A1","Open Technical"))</f>
        <v/>
      </c>
    </row>
    <row r="66" ht="30" customHeight="1">
      <c r="A66" s="33" t="inlineStr">
        <is>
          <t>https://africanmarketingconfederation.org/elementor-31820/</t>
        </is>
      </c>
      <c r="B66" s="4" t="n">
        <v>200</v>
      </c>
      <c r="C66" s="24" t="inlineStr">
        <is>
          <t>Indexable</t>
        </is>
      </c>
      <c r="D66" s="24" t="n">
        <v>0.064</v>
      </c>
      <c r="E66" s="24" t="inlineStr">
        <is>
          <t>Elementor #31820 – African Marketing Confederation</t>
        </is>
      </c>
      <c r="F66" s="24" t="inlineStr">
        <is>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is>
      </c>
      <c r="G66" s="24" t="n">
        <v>1021</v>
      </c>
      <c r="H66" s="24" t="n">
        <v>69</v>
      </c>
      <c r="I66" s="25" t="inlineStr">
        <is>
          <t>Warning</t>
        </is>
      </c>
      <c r="J66" s="24" t="n">
        <v>50</v>
      </c>
      <c r="K66" s="24" t="n">
        <v>368</v>
      </c>
      <c r="L66" s="24" t="n"/>
      <c r="M66" s="24" t="b">
        <v>0</v>
      </c>
      <c r="N66" s="24" t="n"/>
      <c r="O66" s="24" t="n">
        <v>0</v>
      </c>
      <c r="P66" s="24" t="n"/>
      <c r="Q66" s="24" t="n">
        <v>0</v>
      </c>
      <c r="R66" s="24" t="n"/>
      <c r="S66" s="24" t="n">
        <v>0</v>
      </c>
      <c r="T66" s="24" t="n"/>
      <c r="U66" s="24" t="n">
        <v>0</v>
      </c>
      <c r="V66" s="24" t="n"/>
      <c r="W66" s="24" t="n">
        <v>0</v>
      </c>
      <c r="X66" s="24" t="n">
        <v>69</v>
      </c>
      <c r="Y66" s="24" t="n">
        <v>0</v>
      </c>
      <c r="Z66" s="24" t="inlineStr">
        <is>
          <t>WARN 🟡</t>
        </is>
      </c>
      <c r="AA66">
        <f>IFERROR(HYPERLINK("#Technical!A"&amp;MATCH(A66,Technical!A:A,0),"Open Technical"),HYPERLINK("#Technical!A1","Open Technical"))</f>
        <v/>
      </c>
    </row>
    <row r="67" ht="30" customHeight="1">
      <c r="A67" s="33" t="inlineStr">
        <is>
          <t>https://africanmarketingconfederation.org/general-enquiry-form-thank-you/</t>
        </is>
      </c>
      <c r="B67" s="4" t="n">
        <v>200</v>
      </c>
      <c r="C67" s="6" t="inlineStr">
        <is>
          <t>Indexable</t>
        </is>
      </c>
      <c r="D67" s="6" t="n">
        <v>0.042</v>
      </c>
      <c r="E67" s="6" t="inlineStr">
        <is>
          <t>General Enquiry Form – Thank You – African Marketing Confederation</t>
        </is>
      </c>
      <c r="F67" s="6" t="inlineStr">
        <is>
          <t>Thank You! Thank you for getting in touch! We appreciate you contacting us. One of our members will be getting back to you soon.</t>
        </is>
      </c>
      <c r="G67" s="6" t="n">
        <v>103</v>
      </c>
      <c r="H67" s="6" t="n">
        <v>49</v>
      </c>
      <c r="I67" s="25" t="inlineStr">
        <is>
          <t>Warning</t>
        </is>
      </c>
      <c r="J67" s="6" t="n">
        <v>66</v>
      </c>
      <c r="K67" s="6" t="n">
        <v>128</v>
      </c>
      <c r="L67" s="6" t="n"/>
      <c r="M67" s="6" t="b">
        <v>0</v>
      </c>
      <c r="N67" s="6" t="n"/>
      <c r="O67" s="6" t="n">
        <v>0</v>
      </c>
      <c r="P67" s="6" t="n"/>
      <c r="Q67" s="6" t="n">
        <v>0</v>
      </c>
      <c r="R67" s="6" t="n"/>
      <c r="S67" s="6" t="n">
        <v>0</v>
      </c>
      <c r="T67" s="6" t="n"/>
      <c r="U67" s="6" t="n">
        <v>0</v>
      </c>
      <c r="V67" s="6" t="n"/>
      <c r="W67" s="6" t="n">
        <v>0</v>
      </c>
      <c r="X67" s="6" t="n">
        <v>49</v>
      </c>
      <c r="Y67" s="6" t="n">
        <v>0</v>
      </c>
      <c r="Z67" s="6" t="inlineStr">
        <is>
          <t>WARN 🟡</t>
        </is>
      </c>
      <c r="AA67">
        <f>IFERROR(HYPERLINK("#Technical!A"&amp;MATCH(A67,Technical!A:A,0),"Open Technical"),HYPERLINK("#Technical!A1","Open Technical"))</f>
        <v/>
      </c>
    </row>
    <row r="68" ht="30" customHeight="1">
      <c r="A68" s="33" t="inlineStr">
        <is>
          <t>https://africanmarketingconfederation.org/launch-event-2026-amc-conference/</t>
        </is>
      </c>
      <c r="B68" s="4" t="n">
        <v>200</v>
      </c>
      <c r="C68" s="24" t="inlineStr">
        <is>
          <t>Indexable</t>
        </is>
      </c>
      <c r="D68" s="24" t="n">
        <v>0.258</v>
      </c>
      <c r="E68" s="24" t="inlineStr">
        <is>
          <t>Launch Event 2026 AMC Conference – African Marketing Confederation</t>
        </is>
      </c>
      <c r="F68" s="24" t="inlineStr">
        <is>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is>
      </c>
      <c r="G68" s="24" t="n">
        <v>235</v>
      </c>
      <c r="H68" s="24" t="n">
        <v>59</v>
      </c>
      <c r="I68" s="25" t="inlineStr">
        <is>
          <t>Warning</t>
        </is>
      </c>
      <c r="J68" s="24" t="n">
        <v>66</v>
      </c>
      <c r="K68" s="24" t="n">
        <v>306</v>
      </c>
      <c r="L68" s="24" t="n"/>
      <c r="M68" s="24" t="b">
        <v>0</v>
      </c>
      <c r="N68" s="24" t="n"/>
      <c r="O68" s="24" t="n">
        <v>0</v>
      </c>
      <c r="P68" s="24" t="n"/>
      <c r="Q68" s="24" t="n">
        <v>0</v>
      </c>
      <c r="R68" s="24" t="n"/>
      <c r="S68" s="24" t="n">
        <v>0</v>
      </c>
      <c r="T68" s="24" t="n"/>
      <c r="U68" s="24" t="n">
        <v>0</v>
      </c>
      <c r="V68" s="24" t="n"/>
      <c r="W68" s="24" t="n">
        <v>0</v>
      </c>
      <c r="X68" s="24" t="n">
        <v>59</v>
      </c>
      <c r="Y68" s="24" t="n">
        <v>0</v>
      </c>
      <c r="Z68" s="24" t="inlineStr">
        <is>
          <t>WARN 🟡</t>
        </is>
      </c>
      <c r="AA68">
        <f>IFERROR(HYPERLINK("#Technical!A"&amp;MATCH(A68,Technical!A:A,0),"Open Technical"),HYPERLINK("#Technical!A1","Open Technical"))</f>
        <v/>
      </c>
    </row>
    <row r="69" ht="30" customHeight="1">
      <c r="A69" s="33" t="inlineStr">
        <is>
          <t>https://africanmarketingconfederation.org/members/</t>
        </is>
      </c>
      <c r="B69" s="4" t="n">
        <v>200</v>
      </c>
      <c r="C69" s="6" t="inlineStr">
        <is>
          <t>Indexable</t>
        </is>
      </c>
      <c r="D69" s="6" t="n">
        <v>0.07000000000000001</v>
      </c>
      <c r="E69" s="6" t="inlineStr">
        <is>
          <t>Members – African Marketing Confederation</t>
        </is>
      </c>
      <c r="F69" s="6" t="inlineStr">
        <is>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is>
      </c>
      <c r="G69" s="6" t="n">
        <v>1771</v>
      </c>
      <c r="H69" s="6" t="n">
        <v>69</v>
      </c>
      <c r="I69" s="25" t="inlineStr">
        <is>
          <t>Warning</t>
        </is>
      </c>
      <c r="J69" s="6" t="n">
        <v>41</v>
      </c>
      <c r="K69" s="6" t="n">
        <v>370</v>
      </c>
      <c r="L69" s="6" t="n"/>
      <c r="M69" s="6" t="b">
        <v>0</v>
      </c>
      <c r="N69" s="6" t="n"/>
      <c r="O69" s="6" t="n">
        <v>0</v>
      </c>
      <c r="P69" s="6" t="n"/>
      <c r="Q69" s="6" t="n">
        <v>0</v>
      </c>
      <c r="R69" s="6" t="n"/>
      <c r="S69" s="6" t="n">
        <v>0</v>
      </c>
      <c r="T69" s="6" t="n"/>
      <c r="U69" s="6" t="n">
        <v>0</v>
      </c>
      <c r="V69" s="6" t="n"/>
      <c r="W69" s="6" t="n">
        <v>0</v>
      </c>
      <c r="X69" s="6" t="n">
        <v>69</v>
      </c>
      <c r="Y69" s="6" t="n">
        <v>0</v>
      </c>
      <c r="Z69" s="6" t="inlineStr">
        <is>
          <t>WARN 🟡</t>
        </is>
      </c>
      <c r="AA69">
        <f>IFERROR(HYPERLINK("#Technical!A"&amp;MATCH(A69,Technical!A:A,0),"Open Technical"),HYPERLINK("#Technical!A1","Open Technical"))</f>
        <v/>
      </c>
    </row>
    <row r="70" ht="30" customHeight="1">
      <c r="A70" s="33" t="inlineStr">
        <is>
          <t>https://africanmarketingconfederation.org/news-articles/</t>
        </is>
      </c>
      <c r="B70" s="4" t="n">
        <v>200</v>
      </c>
      <c r="C70" s="24" t="inlineStr">
        <is>
          <t>Indexable</t>
        </is>
      </c>
      <c r="D70" s="24" t="n">
        <v>0.05</v>
      </c>
      <c r="E70" s="24" t="inlineStr">
        <is>
          <t>News Articles – African Marketing Confederation</t>
        </is>
      </c>
      <c r="F70" s="24" t="inlineStr">
        <is>
          <t>AMC Conference Featured Marketing News LATEST news Subscribe Now Free monthly marketing news, articles, events and publication release notifications. Subscribe</t>
        </is>
      </c>
      <c r="G70" s="24" t="n">
        <v>608</v>
      </c>
      <c r="H70" s="24" t="n">
        <v>69</v>
      </c>
      <c r="I70" s="25" t="inlineStr">
        <is>
          <t>Warning</t>
        </is>
      </c>
      <c r="J70" s="24" t="n">
        <v>47</v>
      </c>
      <c r="K70" s="24" t="n">
        <v>159</v>
      </c>
      <c r="L70" s="24" t="n"/>
      <c r="M70" s="24" t="b">
        <v>0</v>
      </c>
      <c r="N70" s="24" t="n"/>
      <c r="O70" s="24" t="n">
        <v>0</v>
      </c>
      <c r="P70" s="24" t="n"/>
      <c r="Q70" s="24" t="n">
        <v>0</v>
      </c>
      <c r="R70" s="24" t="n"/>
      <c r="S70" s="24" t="n">
        <v>0</v>
      </c>
      <c r="T70" s="24" t="n"/>
      <c r="U70" s="24" t="n">
        <v>0</v>
      </c>
      <c r="V70" s="24" t="n"/>
      <c r="W70" s="24" t="n">
        <v>0</v>
      </c>
      <c r="X70" s="24" t="n">
        <v>69</v>
      </c>
      <c r="Y70" s="24" t="n">
        <v>0</v>
      </c>
      <c r="Z70" s="24" t="inlineStr">
        <is>
          <t>WARN 🟡</t>
        </is>
      </c>
      <c r="AA70">
        <f>IFERROR(HYPERLINK("#Technical!A"&amp;MATCH(A70,Technical!A:A,0),"Open Technical"),HYPERLINK("#Technical!A1","Open Technical"))</f>
        <v/>
      </c>
    </row>
    <row r="71" ht="30" customHeight="1">
      <c r="A71" s="33" t="inlineStr">
        <is>
          <t>https://africanmarketingconfederation.org/privacy-policy/</t>
        </is>
      </c>
      <c r="B71" s="4" t="n">
        <v>200</v>
      </c>
      <c r="C71" s="6" t="inlineStr">
        <is>
          <t>Indexable</t>
        </is>
      </c>
      <c r="D71" s="6" t="n">
        <v>0.062</v>
      </c>
      <c r="E71" s="6" t="inlineStr">
        <is>
          <t>Privacy Policy – African Marketing Confederation</t>
        </is>
      </c>
      <c r="F71" s="6" t="inlineStr">
        <is>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is>
      </c>
      <c r="G71" s="6" t="n">
        <v>675</v>
      </c>
      <c r="H71" s="6" t="n">
        <v>59</v>
      </c>
      <c r="I71" s="25" t="inlineStr">
        <is>
          <t>Warning</t>
        </is>
      </c>
      <c r="J71" s="6" t="n">
        <v>48</v>
      </c>
      <c r="K71" s="6" t="n">
        <v>379</v>
      </c>
      <c r="L71" s="6" t="n"/>
      <c r="M71" s="6" t="b">
        <v>0</v>
      </c>
      <c r="N71" s="6" t="n"/>
      <c r="O71" s="6" t="n">
        <v>0</v>
      </c>
      <c r="P71" s="6" t="n"/>
      <c r="Q71" s="6" t="n">
        <v>0</v>
      </c>
      <c r="R71" s="6" t="n"/>
      <c r="S71" s="6" t="n">
        <v>0</v>
      </c>
      <c r="T71" s="6" t="n"/>
      <c r="U71" s="6" t="n">
        <v>0</v>
      </c>
      <c r="V71" s="6" t="n"/>
      <c r="W71" s="6" t="n">
        <v>0</v>
      </c>
      <c r="X71" s="6" t="n">
        <v>59</v>
      </c>
      <c r="Y71" s="6" t="n">
        <v>0</v>
      </c>
      <c r="Z71" s="6" t="inlineStr">
        <is>
          <t>WARN 🟡</t>
        </is>
      </c>
      <c r="AA71">
        <f>IFERROR(HYPERLINK("#Technical!A"&amp;MATCH(A71,Technical!A:A,0),"Open Technical"),HYPERLINK("#Technical!A1","Open Technical"))</f>
        <v/>
      </c>
    </row>
    <row r="72" ht="30" customHeight="1">
      <c r="A72" s="33" t="inlineStr">
        <is>
          <t>https://africanmarketingconfederation.org/publication-download-list/</t>
        </is>
      </c>
      <c r="B72" s="4" t="n">
        <v>200</v>
      </c>
      <c r="C72" s="24" t="inlineStr">
        <is>
          <t>Indexable</t>
        </is>
      </c>
      <c r="D72" s="24" t="n">
        <v>0.452</v>
      </c>
      <c r="E72" s="24" t="inlineStr">
        <is>
          <t>Publication Download List – African Marketing Confederation</t>
        </is>
      </c>
      <c r="F72" s="24" t="inlineStr">
        <is>
          <t>Download All Publications now Click on the publication edition below to download! Edition 1 | 2026 Edition 1 | 2026 Edition 4 | 2025 Edition 4 | 2025 Edition 3 | 2025 Edition 3 | 2025 Edition 2 | 2025 Edition 1 | 2025 Edition 4 | 2024 Edition 3 | 2024 Edition 2 |</t>
        </is>
      </c>
      <c r="G72" s="24" t="n">
        <v>179</v>
      </c>
      <c r="H72" s="24" t="n">
        <v>49</v>
      </c>
      <c r="I72" s="25" t="inlineStr">
        <is>
          <t>Warning</t>
        </is>
      </c>
      <c r="J72" s="24" t="n">
        <v>59</v>
      </c>
      <c r="K72" s="24" t="n">
        <v>263</v>
      </c>
      <c r="L72" s="24" t="n"/>
      <c r="M72" s="24" t="b">
        <v>0</v>
      </c>
      <c r="N72" s="24" t="n"/>
      <c r="O72" s="24" t="n">
        <v>0</v>
      </c>
      <c r="P72" s="24" t="n"/>
      <c r="Q72" s="24" t="n">
        <v>0</v>
      </c>
      <c r="R72" s="24" t="n"/>
      <c r="S72" s="24" t="n">
        <v>0</v>
      </c>
      <c r="T72" s="24" t="n"/>
      <c r="U72" s="24" t="n">
        <v>0</v>
      </c>
      <c r="V72" s="24" t="n"/>
      <c r="W72" s="24" t="n">
        <v>0</v>
      </c>
      <c r="X72" s="24" t="n">
        <v>49</v>
      </c>
      <c r="Y72" s="24" t="n">
        <v>0</v>
      </c>
      <c r="Z72" s="24" t="inlineStr">
        <is>
          <t>WARN 🟡</t>
        </is>
      </c>
      <c r="AA72">
        <f>IFERROR(HYPERLINK("#Technical!A"&amp;MATCH(A72,Technical!A:A,0),"Open Technical"),HYPERLINK("#Technical!A1","Open Technical"))</f>
        <v/>
      </c>
    </row>
    <row r="73" ht="30" customHeight="1">
      <c r="A73" s="33" t="inlineStr">
        <is>
          <t>https://africanmarketingconfederation.org/publications-2/</t>
        </is>
      </c>
      <c r="B73" s="4" t="n">
        <v>200</v>
      </c>
      <c r="C73" s="6" t="inlineStr">
        <is>
          <t>Indexable</t>
        </is>
      </c>
      <c r="D73" s="6" t="n">
        <v>0.356</v>
      </c>
      <c r="E73" s="6" t="inlineStr">
        <is>
          <t>Publications – African Marketing Confederation</t>
        </is>
      </c>
      <c r="F73" s="6" t="inlineStr">
        <is>
          <t>Download Strategic Marketing for Africa, the continent's premier marketing publication. Discover the latest industry insights and trends from top experts today.</t>
        </is>
      </c>
      <c r="G73" s="6" t="n">
        <v>161</v>
      </c>
      <c r="H73" s="6" t="n">
        <v>59</v>
      </c>
      <c r="I73" s="25" t="inlineStr">
        <is>
          <t>Warning</t>
        </is>
      </c>
      <c r="J73" s="6" t="n">
        <v>46</v>
      </c>
      <c r="K73" s="6" t="n">
        <v>160</v>
      </c>
      <c r="L73" s="6" t="n"/>
      <c r="M73" s="6" t="b">
        <v>0</v>
      </c>
      <c r="N73" s="6" t="n"/>
      <c r="O73" s="6" t="n">
        <v>0</v>
      </c>
      <c r="P73" s="6" t="n"/>
      <c r="Q73" s="6" t="n">
        <v>0</v>
      </c>
      <c r="R73" s="6" t="n"/>
      <c r="S73" s="6" t="n">
        <v>0</v>
      </c>
      <c r="T73" s="6" t="n"/>
      <c r="U73" s="6" t="n">
        <v>0</v>
      </c>
      <c r="V73" s="6" t="n"/>
      <c r="W73" s="6" t="n">
        <v>0</v>
      </c>
      <c r="X73" s="6" t="n">
        <v>59</v>
      </c>
      <c r="Y73" s="6" t="n">
        <v>0</v>
      </c>
      <c r="Z73" s="6" t="inlineStr">
        <is>
          <t>WARN 🟡</t>
        </is>
      </c>
      <c r="AA73">
        <f>IFERROR(HYPERLINK("#Technical!A"&amp;MATCH(A73,Technical!A:A,0),"Open Technical"),HYPERLINK("#Technical!A1","Open Technical"))</f>
        <v/>
      </c>
    </row>
    <row r="74" ht="30" customHeight="1">
      <c r="A74" s="33" t="inlineStr">
        <is>
          <t>https://africanmarketingconfederation.org/speakers-2025/</t>
        </is>
      </c>
      <c r="B74" s="4" t="n">
        <v>200</v>
      </c>
      <c r="C74" s="24" t="inlineStr">
        <is>
          <t>Indexable</t>
        </is>
      </c>
      <c r="D74" s="24" t="n">
        <v>0.217</v>
      </c>
      <c r="E74" s="24" t="inlineStr">
        <is>
          <t>Our Speakers – 2025 AMC Conference</t>
        </is>
      </c>
      <c r="F74" s="24" t="inlineStr">
        <is>
          <t>Discover what to expect from the AMC Conference 2025 speaker lineup, including insightful sessions led by Africa’s brightest marketing minds and thought leaders</t>
        </is>
      </c>
      <c r="G74" s="24" t="n">
        <v>3219</v>
      </c>
      <c r="H74" s="24" t="n">
        <v>59</v>
      </c>
      <c r="I74" s="25" t="inlineStr">
        <is>
          <t>Warning</t>
        </is>
      </c>
      <c r="J74" s="24" t="n">
        <v>34</v>
      </c>
      <c r="K74" s="24" t="n">
        <v>160</v>
      </c>
      <c r="L74" s="24" t="n"/>
      <c r="M74" s="24" t="b">
        <v>0</v>
      </c>
      <c r="N74" s="24" t="n"/>
      <c r="O74" s="24" t="n">
        <v>0</v>
      </c>
      <c r="P74" s="24" t="n"/>
      <c r="Q74" s="24" t="n">
        <v>0</v>
      </c>
      <c r="R74" s="24" t="n"/>
      <c r="S74" s="24" t="n">
        <v>0</v>
      </c>
      <c r="T74" s="24" t="n"/>
      <c r="U74" s="24" t="n">
        <v>0</v>
      </c>
      <c r="V74" s="24" t="n"/>
      <c r="W74" s="24" t="n">
        <v>0</v>
      </c>
      <c r="X74" s="24" t="n">
        <v>59</v>
      </c>
      <c r="Y74" s="24" t="n">
        <v>0</v>
      </c>
      <c r="Z74" s="24" t="inlineStr">
        <is>
          <t>WARN 🟡</t>
        </is>
      </c>
      <c r="AA74">
        <f>IFERROR(HYPERLINK("#Technical!A"&amp;MATCH(A74,Technical!A:A,0),"Open Technical"),HYPERLINK("#Technical!A1","Open Technical"))</f>
        <v/>
      </c>
    </row>
    <row r="75" ht="30" customHeight="1">
      <c r="A75" s="33" t="inlineStr">
        <is>
          <t>https://africanmarketingconfederation.org/speakers/</t>
        </is>
      </c>
      <c r="B75" s="4" t="n">
        <v>200</v>
      </c>
      <c r="C75" s="6" t="inlineStr">
        <is>
          <t>Indexable</t>
        </is>
      </c>
      <c r="D75" s="6" t="n">
        <v>0.045</v>
      </c>
      <c r="E75" s="6" t="inlineStr">
        <is>
          <t>Speakers – African Marketing Confederation</t>
        </is>
      </c>
      <c r="F75" s="6" t="inlineStr">
        <is>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is>
      </c>
      <c r="G75" s="6" t="n">
        <v>239</v>
      </c>
      <c r="H75" s="6" t="n">
        <v>49</v>
      </c>
      <c r="I75" s="25" t="inlineStr">
        <is>
          <t>Warning</t>
        </is>
      </c>
      <c r="J75" s="6" t="n">
        <v>42</v>
      </c>
      <c r="K75" s="6" t="n">
        <v>417</v>
      </c>
      <c r="L75" s="6" t="n"/>
      <c r="M75" s="6" t="b">
        <v>0</v>
      </c>
      <c r="N75" s="6" t="n"/>
      <c r="O75" s="6" t="n">
        <v>0</v>
      </c>
      <c r="P75" s="6" t="n"/>
      <c r="Q75" s="6" t="n">
        <v>0</v>
      </c>
      <c r="R75" s="6" t="n"/>
      <c r="S75" s="6" t="n">
        <v>0</v>
      </c>
      <c r="T75" s="6" t="n"/>
      <c r="U75" s="6" t="n">
        <v>0</v>
      </c>
      <c r="V75" s="6" t="n"/>
      <c r="W75" s="6" t="n">
        <v>0</v>
      </c>
      <c r="X75" s="6" t="n">
        <v>49</v>
      </c>
      <c r="Y75" s="6" t="n">
        <v>0</v>
      </c>
      <c r="Z75" s="6" t="inlineStr">
        <is>
          <t>WARN 🟡</t>
        </is>
      </c>
      <c r="AA75">
        <f>IFERROR(HYPERLINK("#Technical!A"&amp;MATCH(A75,Technical!A:A,0),"Open Technical"),HYPERLINK("#Technical!A1","Open Technical"))</f>
        <v/>
      </c>
    </row>
    <row r="76" ht="30" customHeight="1">
      <c r="A76" s="33" t="inlineStr">
        <is>
          <t>https://africanmarketingconfederation.org/sub-committees/</t>
        </is>
      </c>
      <c r="B76" s="4" t="n">
        <v>200</v>
      </c>
      <c r="C76" s="24" t="inlineStr">
        <is>
          <t>Indexable</t>
        </is>
      </c>
      <c r="D76" s="24" t="n">
        <v>0.042</v>
      </c>
      <c r="E76" s="24" t="inlineStr">
        <is>
          <t>Sub Committees – African Marketing Confederation</t>
        </is>
      </c>
      <c r="F76" s="24" t="inlineStr">
        <is>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is>
      </c>
      <c r="G76" s="24" t="n">
        <v>476</v>
      </c>
      <c r="H76" s="24" t="n">
        <v>69</v>
      </c>
      <c r="I76" s="25" t="inlineStr">
        <is>
          <t>Warning</t>
        </is>
      </c>
      <c r="J76" s="24" t="n">
        <v>48</v>
      </c>
      <c r="K76" s="24" t="n">
        <v>392</v>
      </c>
      <c r="L76" s="24" t="n"/>
      <c r="M76" s="24" t="b">
        <v>0</v>
      </c>
      <c r="N76" s="24" t="n"/>
      <c r="O76" s="24" t="n">
        <v>0</v>
      </c>
      <c r="P76" s="24" t="n"/>
      <c r="Q76" s="24" t="n">
        <v>0</v>
      </c>
      <c r="R76" s="24" t="n"/>
      <c r="S76" s="24" t="n">
        <v>0</v>
      </c>
      <c r="T76" s="24" t="n"/>
      <c r="U76" s="24" t="n">
        <v>0</v>
      </c>
      <c r="V76" s="24" t="n"/>
      <c r="W76" s="24" t="n">
        <v>0</v>
      </c>
      <c r="X76" s="24" t="n">
        <v>69</v>
      </c>
      <c r="Y76" s="24" t="n">
        <v>0</v>
      </c>
      <c r="Z76" s="24" t="inlineStr">
        <is>
          <t>WARN 🟡</t>
        </is>
      </c>
      <c r="AA76">
        <f>IFERROR(HYPERLINK("#Technical!A"&amp;MATCH(A76,Technical!A:A,0),"Open Technical"),HYPERLINK("#Technical!A1","Open Technical"))</f>
        <v/>
      </c>
    </row>
    <row r="77" ht="30" customHeight="1">
      <c r="A77" s="33" t="inlineStr">
        <is>
          <t>https://africanmarketingconfederation.org/subscribe/</t>
        </is>
      </c>
      <c r="B77" s="4" t="n">
        <v>200</v>
      </c>
      <c r="C77" s="6" t="inlineStr">
        <is>
          <t>Indexable</t>
        </is>
      </c>
      <c r="D77" s="6" t="n">
        <v>0.057</v>
      </c>
      <c r="E77" s="6" t="inlineStr">
        <is>
          <t>Subscribe – African Marketing Confederation</t>
        </is>
      </c>
      <c r="F77" s="6" t="inlineStr">
        <is>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is>
      </c>
      <c r="G77" s="6" t="n">
        <v>502</v>
      </c>
      <c r="H77" s="6" t="n">
        <v>59</v>
      </c>
      <c r="I77" s="25" t="inlineStr">
        <is>
          <t>Warning</t>
        </is>
      </c>
      <c r="J77" s="6" t="n">
        <v>43</v>
      </c>
      <c r="K77" s="6" t="n">
        <v>1176</v>
      </c>
      <c r="L77" s="6" t="n"/>
      <c r="M77" s="6" t="b">
        <v>0</v>
      </c>
      <c r="N77" s="6" t="n"/>
      <c r="O77" s="6" t="n">
        <v>0</v>
      </c>
      <c r="P77" s="6" t="n"/>
      <c r="Q77" s="6" t="n">
        <v>0</v>
      </c>
      <c r="R77" s="6" t="n"/>
      <c r="S77" s="6" t="n">
        <v>0</v>
      </c>
      <c r="T77" s="6" t="n"/>
      <c r="U77" s="6" t="n">
        <v>0</v>
      </c>
      <c r="V77" s="6" t="n"/>
      <c r="W77" s="6" t="n">
        <v>0</v>
      </c>
      <c r="X77" s="6" t="n">
        <v>59</v>
      </c>
      <c r="Y77" s="6" t="n">
        <v>0</v>
      </c>
      <c r="Z77" s="6" t="inlineStr">
        <is>
          <t>WARN 🟡</t>
        </is>
      </c>
      <c r="AA77">
        <f>IFERROR(HYPERLINK("#Technical!A"&amp;MATCH(A77,Technical!A:A,0),"Open Technical"),HYPERLINK("#Technical!A1","Open Technical"))</f>
        <v/>
      </c>
    </row>
    <row r="78" ht="30" customHeight="1">
      <c r="A78" s="33" t="inlineStr">
        <is>
          <t>https://africanmarketingconfederation.org/test-homeslider/</t>
        </is>
      </c>
      <c r="B78" s="4" t="n">
        <v>200</v>
      </c>
      <c r="C78" s="24" t="inlineStr">
        <is>
          <t>Indexable</t>
        </is>
      </c>
      <c r="D78" s="24" t="n">
        <v>0.051</v>
      </c>
      <c r="E78" s="24" t="inlineStr">
        <is>
          <t>Test HomeSlider – African Marketing Confederation</t>
        </is>
      </c>
      <c r="F78" s="24" t="inlineStr">
        <is>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is>
      </c>
      <c r="G78" s="24" t="n">
        <v>133</v>
      </c>
      <c r="H78" s="24" t="n">
        <v>49</v>
      </c>
      <c r="I78" s="25" t="inlineStr">
        <is>
          <t>Warning</t>
        </is>
      </c>
      <c r="J78" s="24" t="n">
        <v>49</v>
      </c>
      <c r="K78" s="24" t="n">
        <v>371</v>
      </c>
      <c r="L78" s="24" t="n"/>
      <c r="M78" s="24" t="b">
        <v>0</v>
      </c>
      <c r="N78" s="24" t="n"/>
      <c r="O78" s="24" t="n">
        <v>0</v>
      </c>
      <c r="P78" s="24" t="n"/>
      <c r="Q78" s="24" t="n">
        <v>0</v>
      </c>
      <c r="R78" s="24" t="n"/>
      <c r="S78" s="24" t="n">
        <v>0</v>
      </c>
      <c r="T78" s="24" t="n"/>
      <c r="U78" s="24" t="n">
        <v>0</v>
      </c>
      <c r="V78" s="24" t="n"/>
      <c r="W78" s="24" t="n">
        <v>0</v>
      </c>
      <c r="X78" s="24" t="n">
        <v>49</v>
      </c>
      <c r="Y78" s="24" t="n">
        <v>0</v>
      </c>
      <c r="Z78" s="24" t="inlineStr">
        <is>
          <t>WARN 🟡</t>
        </is>
      </c>
      <c r="AA78">
        <f>IFERROR(HYPERLINK("#Technical!A"&amp;MATCH(A78,Technical!A:A,0),"Open Technical"),HYPERLINK("#Technical!A1","Open Technical"))</f>
        <v/>
      </c>
    </row>
    <row r="79" ht="30" customHeight="1">
      <c r="A79" s="33" t="inlineStr">
        <is>
          <t>https://africanmarketingconfederation.org/test-payment-gate/</t>
        </is>
      </c>
      <c r="B79" s="4" t="n">
        <v>200</v>
      </c>
      <c r="C79" s="6" t="inlineStr">
        <is>
          <t>Indexable</t>
        </is>
      </c>
      <c r="D79" s="6" t="n">
        <v>0.062</v>
      </c>
      <c r="E79" s="6" t="inlineStr">
        <is>
          <t>Test payment gate – African Marketing Confederation</t>
        </is>
      </c>
      <c r="F79" s="6" t="inlineStr">
        <is>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is>
      </c>
      <c r="G79" s="6" t="n">
        <v>214</v>
      </c>
      <c r="H79" s="6" t="n">
        <v>49</v>
      </c>
      <c r="I79" s="25" t="inlineStr">
        <is>
          <t>Warning</t>
        </is>
      </c>
      <c r="J79" s="6" t="n">
        <v>51</v>
      </c>
      <c r="K79" s="6" t="n">
        <v>306</v>
      </c>
      <c r="L79" s="6" t="n"/>
      <c r="M79" s="6" t="b">
        <v>0</v>
      </c>
      <c r="N79" s="6" t="n"/>
      <c r="O79" s="6" t="n">
        <v>0</v>
      </c>
      <c r="P79" s="6" t="n"/>
      <c r="Q79" s="6" t="n">
        <v>0</v>
      </c>
      <c r="R79" s="6" t="n"/>
      <c r="S79" s="6" t="n">
        <v>0</v>
      </c>
      <c r="T79" s="6" t="n"/>
      <c r="U79" s="6" t="n">
        <v>0</v>
      </c>
      <c r="V79" s="6" t="n"/>
      <c r="W79" s="6" t="n">
        <v>0</v>
      </c>
      <c r="X79" s="6" t="n">
        <v>49</v>
      </c>
      <c r="Y79" s="6" t="n">
        <v>0</v>
      </c>
      <c r="Z79" s="6" t="inlineStr">
        <is>
          <t>WARN 🟡</t>
        </is>
      </c>
      <c r="AA79">
        <f>IFERROR(HYPERLINK("#Technical!A"&amp;MATCH(A79,Technical!A:A,0),"Open Technical"),HYPERLINK("#Technical!A1","Open Technical"))</f>
        <v/>
      </c>
    </row>
    <row r="80" ht="30" customHeight="1">
      <c r="A80" s="33" t="inlineStr">
        <is>
          <t>https://africanmarketingconfederation.org/thank-you-for-registering-2024-registrations-kenya/</t>
        </is>
      </c>
      <c r="B80" s="4" t="n">
        <v>200</v>
      </c>
      <c r="C80" s="24" t="inlineStr">
        <is>
          <t>Indexable</t>
        </is>
      </c>
      <c r="D80" s="24" t="n">
        <v>0.046</v>
      </c>
      <c r="E80" s="24" t="inlineStr">
        <is>
          <t>Thank you for registering 2024 Registrations KENYA – African Marketing Confederation</t>
        </is>
      </c>
      <c r="F80" s="24" t="inlineStr">
        <is>
          <t>Thank You FOr Registering Kenyan delegates, don’t miss your chance to grab discounted tickets! Buy Tickets</t>
        </is>
      </c>
      <c r="G80" s="24" t="n">
        <v>141</v>
      </c>
      <c r="H80" s="24" t="n">
        <v>49</v>
      </c>
      <c r="I80" s="25" t="inlineStr">
        <is>
          <t>Warning</t>
        </is>
      </c>
      <c r="J80" s="24" t="n">
        <v>84</v>
      </c>
      <c r="K80" s="24" t="n">
        <v>106</v>
      </c>
      <c r="L80" s="24" t="n"/>
      <c r="M80" s="24" t="b">
        <v>0</v>
      </c>
      <c r="N80" s="24" t="n"/>
      <c r="O80" s="24" t="n">
        <v>0</v>
      </c>
      <c r="P80" s="24" t="n"/>
      <c r="Q80" s="24" t="n">
        <v>0</v>
      </c>
      <c r="R80" s="24" t="n"/>
      <c r="S80" s="24" t="n">
        <v>0</v>
      </c>
      <c r="T80" s="24" t="n"/>
      <c r="U80" s="24" t="n">
        <v>0</v>
      </c>
      <c r="V80" s="24" t="n"/>
      <c r="W80" s="24" t="n">
        <v>0</v>
      </c>
      <c r="X80" s="24" t="n">
        <v>49</v>
      </c>
      <c r="Y80" s="24" t="n">
        <v>0</v>
      </c>
      <c r="Z80" s="24" t="inlineStr">
        <is>
          <t>WARN 🟡</t>
        </is>
      </c>
      <c r="AA80">
        <f>IFERROR(HYPERLINK("#Technical!A"&amp;MATCH(A80,Technical!A:A,0),"Open Technical"),HYPERLINK("#Technical!A1","Open Technical"))</f>
        <v/>
      </c>
    </row>
    <row r="81" ht="30" customHeight="1">
      <c r="A81" s="33" t="inlineStr">
        <is>
          <t>https://africanmarketingconfederation.org/thank-you-for-registering-2024-registrations/</t>
        </is>
      </c>
      <c r="B81" s="4" t="n">
        <v>200</v>
      </c>
      <c r="C81" s="6" t="inlineStr">
        <is>
          <t>Indexable</t>
        </is>
      </c>
      <c r="D81" s="6" t="n">
        <v>0.048</v>
      </c>
      <c r="E81" s="6" t="inlineStr">
        <is>
          <t>Thank you for registering 2024 Registrations – African Marketing Confederation</t>
        </is>
      </c>
      <c r="F81" s="6" t="inlineStr">
        <is>
          <t>Thank You FOr Registering Please finalise your booking by selecting one of our tailored packages and completing payment via our secure online payment gateway. View Packages Download Prospectus</t>
        </is>
      </c>
      <c r="G81" s="6" t="n">
        <v>153</v>
      </c>
      <c r="H81" s="6" t="n">
        <v>49</v>
      </c>
      <c r="I81" s="25" t="inlineStr">
        <is>
          <t>Warning</t>
        </is>
      </c>
      <c r="J81" s="6" t="n">
        <v>78</v>
      </c>
      <c r="K81" s="6" t="n">
        <v>192</v>
      </c>
      <c r="L81" s="6" t="n"/>
      <c r="M81" s="6" t="b">
        <v>0</v>
      </c>
      <c r="N81" s="6" t="n"/>
      <c r="O81" s="6" t="n">
        <v>0</v>
      </c>
      <c r="P81" s="6" t="n"/>
      <c r="Q81" s="6" t="n">
        <v>0</v>
      </c>
      <c r="R81" s="6" t="n"/>
      <c r="S81" s="6" t="n">
        <v>0</v>
      </c>
      <c r="T81" s="6" t="n"/>
      <c r="U81" s="6" t="n">
        <v>0</v>
      </c>
      <c r="V81" s="6" t="n"/>
      <c r="W81" s="6" t="n">
        <v>0</v>
      </c>
      <c r="X81" s="6" t="n">
        <v>49</v>
      </c>
      <c r="Y81" s="6" t="n">
        <v>0</v>
      </c>
      <c r="Z81" s="6" t="inlineStr">
        <is>
          <t>WARN 🟡</t>
        </is>
      </c>
      <c r="AA81">
        <f>IFERROR(HYPERLINK("#Technical!A"&amp;MATCH(A81,Technical!A:A,0),"Open Technical"),HYPERLINK("#Technical!A1","Open Technical"))</f>
        <v/>
      </c>
    </row>
    <row r="82" ht="30" customHeight="1">
      <c r="A82" s="33" t="inlineStr">
        <is>
          <t>https://africanmarketingconfederation.org/thank-you-for-subscribing/</t>
        </is>
      </c>
      <c r="B82" s="4" t="n">
        <v>200</v>
      </c>
      <c r="C82" s="24" t="inlineStr">
        <is>
          <t>Indexable</t>
        </is>
      </c>
      <c r="D82" s="24" t="n">
        <v>0.066</v>
      </c>
      <c r="E82" s="24" t="inlineStr">
        <is>
          <t>Thank You for Subscribing – African Marketing Confederation</t>
        </is>
      </c>
      <c r="F82" s="24" t="inlineStr">
        <is>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is>
      </c>
      <c r="G82" s="24" t="n">
        <v>219</v>
      </c>
      <c r="H82" s="24" t="n">
        <v>49</v>
      </c>
      <c r="I82" s="25" t="inlineStr">
        <is>
          <t>Warning</t>
        </is>
      </c>
      <c r="J82" s="24" t="n">
        <v>59</v>
      </c>
      <c r="K82" s="24" t="n">
        <v>345</v>
      </c>
      <c r="L82" s="24" t="n"/>
      <c r="M82" s="24" t="b">
        <v>0</v>
      </c>
      <c r="N82" s="24" t="n"/>
      <c r="O82" s="24" t="n">
        <v>0</v>
      </c>
      <c r="P82" s="24" t="n"/>
      <c r="Q82" s="24" t="n">
        <v>0</v>
      </c>
      <c r="R82" s="24" t="n"/>
      <c r="S82" s="24" t="n">
        <v>0</v>
      </c>
      <c r="T82" s="24" t="n"/>
      <c r="U82" s="24" t="n">
        <v>0</v>
      </c>
      <c r="V82" s="24" t="n"/>
      <c r="W82" s="24" t="n">
        <v>0</v>
      </c>
      <c r="X82" s="24" t="n">
        <v>49</v>
      </c>
      <c r="Y82" s="24" t="n">
        <v>0</v>
      </c>
      <c r="Z82" s="24" t="inlineStr">
        <is>
          <t>WARN 🟡</t>
        </is>
      </c>
      <c r="AA82">
        <f>IFERROR(HYPERLINK("#Technical!A"&amp;MATCH(A82,Technical!A:A,0),"Open Technical"),HYPERLINK("#Technical!A1","Open Technical"))</f>
        <v/>
      </c>
    </row>
    <row r="83" ht="30" customHeight="1">
      <c r="A83" s="33" t="inlineStr">
        <is>
          <t>https://africanmarketingconfederation.org/thank-you-for-the-nomination-2024/</t>
        </is>
      </c>
      <c r="B83" s="4" t="n">
        <v>200</v>
      </c>
      <c r="C83" s="6" t="inlineStr">
        <is>
          <t>Indexable</t>
        </is>
      </c>
      <c r="D83" s="6" t="n">
        <v>0.064</v>
      </c>
      <c r="E83" s="6" t="inlineStr">
        <is>
          <t>Thank you for the nomination 2024 – African Marketing Confederation</t>
        </is>
      </c>
      <c r="F83" s="6" t="inlineStr">
        <is>
          <t>Thank You for your nomination! Speakers Programme Awards</t>
        </is>
      </c>
      <c r="G83" s="6" t="n">
        <v>133</v>
      </c>
      <c r="H83" s="6" t="n">
        <v>49</v>
      </c>
      <c r="I83" s="25" t="inlineStr">
        <is>
          <t>Warning</t>
        </is>
      </c>
      <c r="J83" s="6" t="n">
        <v>67</v>
      </c>
      <c r="K83" s="6" t="n">
        <v>56</v>
      </c>
      <c r="L83" s="6" t="n"/>
      <c r="M83" s="6" t="b">
        <v>0</v>
      </c>
      <c r="N83" s="6" t="n"/>
      <c r="O83" s="6" t="n">
        <v>0</v>
      </c>
      <c r="P83" s="6" t="n"/>
      <c r="Q83" s="6" t="n">
        <v>0</v>
      </c>
      <c r="R83" s="6" t="n"/>
      <c r="S83" s="6" t="n">
        <v>0</v>
      </c>
      <c r="T83" s="6" t="n"/>
      <c r="U83" s="6" t="n">
        <v>0</v>
      </c>
      <c r="V83" s="6" t="n"/>
      <c r="W83" s="6" t="n">
        <v>0</v>
      </c>
      <c r="X83" s="6" t="n">
        <v>49</v>
      </c>
      <c r="Y83" s="6" t="n">
        <v>0</v>
      </c>
      <c r="Z83" s="6" t="inlineStr">
        <is>
          <t>WARN 🟡</t>
        </is>
      </c>
      <c r="AA83">
        <f>IFERROR(HYPERLINK("#Technical!A"&amp;MATCH(A83,Technical!A:A,0),"Open Technical"),HYPERLINK("#Technical!A1","Open Technical"))</f>
        <v/>
      </c>
    </row>
    <row r="84" ht="30" customHeight="1">
      <c r="A84" s="33" t="inlineStr">
        <is>
          <t>https://africanmarketingconfederation.org/thank-you-for-the-submission-2024/</t>
        </is>
      </c>
      <c r="B84" s="4" t="n">
        <v>200</v>
      </c>
      <c r="C84" s="24" t="inlineStr">
        <is>
          <t>Indexable</t>
        </is>
      </c>
      <c r="D84" s="24" t="n">
        <v>0.671</v>
      </c>
      <c r="E84" s="24" t="inlineStr">
        <is>
          <t>Thank you for the Submission 2024 – African Marketing Confederation</t>
        </is>
      </c>
      <c r="F84" s="24" t="inlineStr">
        <is>
          <t>Thank You for your Submission! Speakers Programme Awards</t>
        </is>
      </c>
      <c r="G84" s="24" t="n">
        <v>87</v>
      </c>
      <c r="H84" s="24" t="n">
        <v>49</v>
      </c>
      <c r="I84" s="25" t="inlineStr">
        <is>
          <t>Warning</t>
        </is>
      </c>
      <c r="J84" s="24" t="n">
        <v>67</v>
      </c>
      <c r="K84" s="24" t="n">
        <v>56</v>
      </c>
      <c r="L84" s="24" t="n"/>
      <c r="M84" s="24" t="b">
        <v>0</v>
      </c>
      <c r="N84" s="24" t="n"/>
      <c r="O84" s="24" t="n">
        <v>0</v>
      </c>
      <c r="P84" s="24" t="n"/>
      <c r="Q84" s="24" t="n">
        <v>0</v>
      </c>
      <c r="R84" s="24" t="n"/>
      <c r="S84" s="24" t="n">
        <v>0</v>
      </c>
      <c r="T84" s="24" t="n"/>
      <c r="U84" s="24" t="n">
        <v>0</v>
      </c>
      <c r="V84" s="24" t="n"/>
      <c r="W84" s="24" t="n">
        <v>0</v>
      </c>
      <c r="X84" s="24" t="n">
        <v>49</v>
      </c>
      <c r="Y84" s="24" t="n">
        <v>0</v>
      </c>
      <c r="Z84" s="24" t="inlineStr">
        <is>
          <t>WARN 🟡</t>
        </is>
      </c>
      <c r="AA84">
        <f>IFERROR(HYPERLINK("#Technical!A"&amp;MATCH(A84,Technical!A:A,0),"Open Technical"),HYPERLINK("#Technical!A1","Open Technical"))</f>
        <v/>
      </c>
    </row>
    <row r="85" ht="30" customHeight="1">
      <c r="A85" s="33" t="inlineStr">
        <is>
          <t>https://africanmarketingconfederation.org/upcoming-events/</t>
        </is>
      </c>
      <c r="B85" s="4" t="n">
        <v>200</v>
      </c>
      <c r="C85" s="6" t="inlineStr">
        <is>
          <t>Indexable</t>
        </is>
      </c>
      <c r="D85" s="6" t="n">
        <v>0.068</v>
      </c>
      <c r="E85" s="6" t="inlineStr">
        <is>
          <t>Upcoming Events – African Marketing Confederation</t>
        </is>
      </c>
      <c r="F85" s="6" t="inlineStr">
        <is>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is>
      </c>
      <c r="G85" s="6" t="n">
        <v>142</v>
      </c>
      <c r="H85" s="6" t="n">
        <v>49</v>
      </c>
      <c r="I85" s="25" t="inlineStr">
        <is>
          <t>Warning</t>
        </is>
      </c>
      <c r="J85" s="6" t="n">
        <v>49</v>
      </c>
      <c r="K85" s="6" t="n">
        <v>352</v>
      </c>
      <c r="L85" s="6" t="n"/>
      <c r="M85" s="6" t="b">
        <v>0</v>
      </c>
      <c r="N85" s="6" t="n"/>
      <c r="O85" s="6" t="n">
        <v>0</v>
      </c>
      <c r="P85" s="6" t="n"/>
      <c r="Q85" s="6" t="n">
        <v>0</v>
      </c>
      <c r="R85" s="6" t="n"/>
      <c r="S85" s="6" t="n">
        <v>0</v>
      </c>
      <c r="T85" s="6" t="n"/>
      <c r="U85" s="6" t="n">
        <v>0</v>
      </c>
      <c r="V85" s="6" t="n"/>
      <c r="W85" s="6" t="n">
        <v>0</v>
      </c>
      <c r="X85" s="6" t="n">
        <v>49</v>
      </c>
      <c r="Y85" s="6" t="n">
        <v>0</v>
      </c>
      <c r="Z85" s="6" t="inlineStr">
        <is>
          <t>WARN 🟡</t>
        </is>
      </c>
      <c r="AA85">
        <f>IFERROR(HYPERLINK("#Technical!A"&amp;MATCH(A85,Technical!A:A,0),"Open Technical"),HYPERLINK("#Technical!A1","Open Technical"))</f>
        <v/>
      </c>
    </row>
    <row r="86" ht="30" customHeight="1">
      <c r="A86" s="33" t="inlineStr">
        <is>
          <t>https://africanmarketingconfederation.org/virtual-programme/</t>
        </is>
      </c>
      <c r="B86" s="4" t="n">
        <v>200</v>
      </c>
      <c r="C86" s="24" t="inlineStr">
        <is>
          <t>Indexable</t>
        </is>
      </c>
      <c r="D86" s="24" t="n">
        <v>0.051</v>
      </c>
      <c r="E86" s="24" t="inlineStr">
        <is>
          <t>VIRTUAL PROGRAMME – African Marketing Confederation</t>
        </is>
      </c>
      <c r="F86" s="24" t="inlineStr">
        <is>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G86" s="24" t="n">
        <v>1789</v>
      </c>
      <c r="H86" s="24" t="n">
        <v>59</v>
      </c>
      <c r="I86" s="25" t="inlineStr">
        <is>
          <t>Warning</t>
        </is>
      </c>
      <c r="J86" s="24" t="n">
        <v>51</v>
      </c>
      <c r="K86" s="24" t="n">
        <v>347</v>
      </c>
      <c r="L86" s="24" t="n"/>
      <c r="M86" s="24" t="b">
        <v>0</v>
      </c>
      <c r="N86" s="24" t="n"/>
      <c r="O86" s="24" t="n">
        <v>0</v>
      </c>
      <c r="P86" s="24" t="n"/>
      <c r="Q86" s="24" t="n">
        <v>0</v>
      </c>
      <c r="R86" s="24" t="n"/>
      <c r="S86" s="24" t="n">
        <v>0</v>
      </c>
      <c r="T86" s="24" t="n"/>
      <c r="U86" s="24" t="n">
        <v>0</v>
      </c>
      <c r="V86" s="24" t="n"/>
      <c r="W86" s="24" t="n">
        <v>0</v>
      </c>
      <c r="X86" s="24" t="n">
        <v>59</v>
      </c>
      <c r="Y86" s="24" t="n">
        <v>0</v>
      </c>
      <c r="Z86" s="24" t="inlineStr">
        <is>
          <t>WARN 🟡</t>
        </is>
      </c>
      <c r="AA86">
        <f>IFERROR(HYPERLINK("#Technical!A"&amp;MATCH(A86,Technical!A:A,0),"Open Technical"),HYPERLINK("#Technical!A1","Open Technical"))</f>
        <v/>
      </c>
    </row>
  </sheetData>
  <autoFilter ref="A1:Z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D2:D86">
    <cfRule type="colorScale" priority="4">
      <colorScale>
        <cfvo type="min"/>
        <cfvo type="percentile" val="50"/>
        <cfvo type="max"/>
        <color rgb="0063BE7B"/>
        <color rgb="00FFEB84"/>
        <color rgb="00F8696B"/>
      </colorScale>
    </cfRule>
  </conditionalFormatting>
  <conditionalFormatting sqref="G2:G86">
    <cfRule type="colorScale" priority="5">
      <colorScale>
        <cfvo type="min"/>
        <cfvo type="percentile" val="50"/>
        <cfvo type="max"/>
        <color rgb="00F8696B"/>
        <color rgb="00FFEB84"/>
        <color rgb="0063BE7B"/>
      </colorScale>
    </cfRule>
  </conditionalFormatting>
  <conditionalFormatting sqref="H2:H86">
    <cfRule type="colorScale" priority="6">
      <colorScale>
        <cfvo type="min"/>
        <cfvo type="percentile" val="50"/>
        <cfvo type="max"/>
        <color rgb="00F8696B"/>
        <color rgb="00FFEB84"/>
        <color rgb="0063BE7B"/>
      </colorScale>
    </cfRule>
  </conditionalFormatting>
  <conditionalFormatting sqref="I2:I86">
    <cfRule type="expression" priority="7" dxfId="2" stopIfTrue="1">
      <formula>LOWER(I2)="critical"</formula>
    </cfRule>
    <cfRule type="expression" priority="8" dxfId="3" stopIfTrue="1">
      <formula>LOWER(I2)="warning"</formula>
    </cfRule>
    <cfRule type="expression" priority="9" dxfId="0" stopIfTrue="1">
      <formula>LOWER(I2)="pass"</formula>
    </cfRule>
  </conditionalFormatting>
  <dataValidations count="3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Indexability" prompt="Indexing/canonicalization signal. Fix: ensure indexable pages use correct canonicals and non-conflicting directives." type="custom">
      <formula1>TRUE</formula1>
    </dataValidation>
    <dataValidation sqref="D1" showDropDown="0" showInputMessage="1" showErrorMessage="0" allowBlank="1" promptTitle="Load Time (s)" prompt="Page/request speed metric. Fix: optimize assets, server response time, and blocking resources." type="custom">
      <formula1>TRUE</formula1>
    </dataValidation>
    <dataValidation sqref="E1" showDropDown="0" showInputMessage="1" showErrorMessage="0" allowBlank="1" promptTitle="Title" prompt="Title. Review this metric to identify risk, then use linked tabs for details and remediation." type="custom">
      <formula1>TRUE</formula1>
    </dataValidation>
    <dataValidation sqref="F1" showDropDown="0" showInputMessage="1" showErrorMessage="0" allowBlank="1" promptTitle="Meta Description" prompt="Meta Description. Review this metric to identify risk, then use linked tabs for details and remediation." type="custom">
      <formula1>TRUE</formula1>
    </dataValidation>
    <dataValidation sqref="G1" showDropDown="0" showInputMessage="1" showErrorMessage="0" allowBlank="1" promptTitle="Word Count (Body)" prompt="Content quality depth metric. Fix: expand thin content and improve clarity for search intent." type="custom">
      <formula1>TRUE</formula1>
    </dataValidation>
    <dataValidation sqref="H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I1" showDropDown="0" showInputMessage="1" showErrorMessage="0" allowBlank="1" promptTitle="Severity Badge" prompt="Issue impact level. Fix: Resolve Critical first, then Warning, then improvement opportunities." type="custom">
      <formula1>TRUE</formula1>
    </dataValidation>
    <dataValidation sqref="J1" showDropDown="0" showInputMessage="1" showErrorMessage="0" allowBlank="1" promptTitle="Title Length" prompt="Title Length. Review this metric to identify risk, then use linked tabs for details and remediation." type="custom">
      <formula1>TRUE</formula1>
    </dataValidation>
    <dataValidation sqref="K1" showDropDown="0" showInputMessage="1" showErrorMessage="0" allowBlank="1" promptTitle="Meta Desc Length" prompt="Meta Desc Length. Review this metric to identify risk, then use linked tabs for details and remediation." type="custom">
      <formula1>TRUE</formula1>
    </dataValidation>
    <dataValidation sqref="L1" showDropDown="0" showInputMessage="1" showErrorMessage="0" allowBlank="1" promptTitle="OG-Image" prompt="OG-Image. Review this metric to identify risk, then use linked tabs for details and remediation." type="custom">
      <formula1>TRUE</formula1>
    </dataValidation>
    <dataValidation sqref="M1" showDropDown="0" showInputMessage="1" showErrorMessage="0" allowBlank="1" promptTitle="Has Valid JSON-LD" prompt="Structured data signal. Fix: add valid schema types and correct parsing/validation errors." type="custom">
      <formula1>TRUE</formula1>
    </dataValidation>
    <dataValidation sqref="N1" showDropDown="0" showInputMessage="1" showErrorMessage="0" allowBlank="1" promptTitle="H1 Content" prompt="H1 Content. Review this metric to identify risk, then use linked tabs for details and remediation." type="custom">
      <formula1>TRUE</formula1>
    </dataValidation>
    <dataValidation sqref="O1" showDropDown="0" showInputMessage="1" showErrorMessage="0" allowBlank="1" promptTitle="H1 Length" prompt="H1 Length. Review this metric to identify risk, then use linked tabs for details and remediation." type="custom">
      <formula1>TRUE</formula1>
    </dataValidation>
    <dataValidation sqref="P1" showDropDown="0" showInputMessage="1" showErrorMessage="0" allowBlank="1" promptTitle="H2 Content" prompt="H2 Content. Review this metric to identify risk, then use linked tabs for details and remediation." type="custom">
      <formula1>TRUE</formula1>
    </dataValidation>
    <dataValidation sqref="Q1" showDropDown="0" showInputMessage="1" showErrorMessage="0" allowBlank="1" promptTitle="H2 Length" prompt="H2 Length. Review this metric to identify risk, then use linked tabs for details and remediation." type="custom">
      <formula1>TRUE</formula1>
    </dataValidation>
    <dataValidation sqref="R1" showDropDown="0" showInputMessage="1" showErrorMessage="0" allowBlank="1" promptTitle="H3 Content" prompt="H3 Content. Review this metric to identify risk, then use linked tabs for details and remediation." type="custom">
      <formula1>TRUE</formula1>
    </dataValidation>
    <dataValidation sqref="S1" showDropDown="0" showInputMessage="1" showErrorMessage="0" allowBlank="1" promptTitle="H3 Length" prompt="H3 Length. Review this metric to identify risk, then use linked tabs for details and remediation." type="custom">
      <formula1>TRUE</formula1>
    </dataValidation>
    <dataValidation sqref="T1" showDropDown="0" showInputMessage="1" showErrorMessage="0" allowBlank="1" promptTitle="H4 Content" prompt="H4 Content. Review this metric to identify risk, then use linked tabs for details and remediation." type="custom">
      <formula1>TRUE</formula1>
    </dataValidation>
    <dataValidation sqref="U1" showDropDown="0" showInputMessage="1" showErrorMessage="0" allowBlank="1" promptTitle="H4 Length" prompt="H4 Length. Review this metric to identify risk, then use linked tabs for details and remediation." type="custom">
      <formula1>TRUE</formula1>
    </dataValidation>
    <dataValidation sqref="V1" showDropDown="0" showInputMessage="1" showErrorMessage="0" allowBlank="1" promptTitle="H5 Content" prompt="H5 Content. Review this metric to identify risk, then use linked tabs for details and remediation." type="custom">
      <formula1>TRUE</formula1>
    </dataValidation>
    <dataValidation sqref="W1" showDropDown="0" showInputMessage="1" showErrorMessage="0" allowBlank="1" promptTitle="H5 Length" prompt="H5 Length. Review this metric to identify risk, then use linked tabs for details and remediation." type="custom">
      <formula1>TRUE</formula1>
    </dataValidation>
    <dataValidation sqref="X1" showDropDown="0" showInputMessage="1" showErrorMessage="0" allowBlank="1" promptTitle="H6 Content" prompt="H6 Content. Review this metric to identify risk, then use linked tabs for details and remediation." type="custom">
      <formula1>TRUE</formula1>
    </dataValidation>
    <dataValidation sqref="Y1" showDropDown="0" showInputMessage="1" showErrorMessage="0" allowBlank="1" promptTitle="H6 Length" prompt="H6 Length. Review this metric to identify risk, then use linked tabs for details and remediation." type="custom">
      <formula1>TRUE</formula1>
    </dataValidation>
    <dataValidation sqref="Z1" showDropDown="0" showInputMessage="1" showErrorMessage="0" allowBlank="1" promptTitle="Health Icon" prompt="Health Icon. Review this metric to identify risk, then use linked tabs for details and remediation." type="custom">
      <formula1>TRUE</formula1>
    </dataValidation>
    <dataValidation sqref="AA1" showDropDown="0" showInputMessage="1" showErrorMessage="0" allowBlank="1" promptTitle="Technical View" prompt="Navigation helper. Click to jump directly to the related record in another tab." type="custom">
      <formula1>TRUE</formula1>
    </dataValidation>
    <dataValidation sqref="AB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H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AB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45" customWidth="1" min="10" max="10"/>
    <col width="15" customWidth="1" min="11" max="11"/>
    <col width="16" customWidth="1" min="12" max="12"/>
    <col width="13" customWidth="1" min="13" max="13"/>
    <col width="8" customWidth="1" min="14" max="14"/>
    <col width="8" customWidth="1" min="15" max="15"/>
    <col width="13" customWidth="1" min="16" max="16"/>
    <col width="10" customWidth="1" min="17" max="17"/>
    <col width="23" customWidth="1" min="18" max="18"/>
    <col width="26" customWidth="1" min="19" max="19"/>
    <col width="15" customWidth="1" min="20" max="20"/>
    <col width="22" customWidth="1" min="21" max="21"/>
    <col width="26" customWidth="1" min="22" max="22"/>
    <col width="14" customWidth="1" min="23" max="23"/>
    <col hidden="1" width="16" customWidth="1" min="24" max="24"/>
    <col width="21" customWidth="1" min="25" max="25"/>
    <col width="15" customWidth="1" min="26" max="26"/>
    <col width="6" customWidth="1" min="27" max="27"/>
    <col width="14" customWidth="1" min="28" max="28"/>
    <col hidden="1" width="17" customWidth="1" min="29" max="29"/>
    <col width="29" customWidth="1" min="30" max="30"/>
    <col width="24" customWidth="1" min="31" max="31"/>
    <col width="28" customWidth="1" min="32" max="32"/>
    <col width="18" customWidth="1" min="33" max="33"/>
    <col width="16" customWidth="1" min="34" max="34"/>
    <col width="25" customWidth="1" min="35" max="35"/>
    <col width="27" customWidth="1" min="36" max="36"/>
    <col width="32" customWidth="1" min="37" max="37"/>
    <col width="19" customWidth="1" min="38" max="38"/>
    <col width="21" customWidth="1" min="39" max="39"/>
    <col width="21" customWidth="1" min="40" max="40"/>
    <col width="15" customWidth="1" min="41" max="41"/>
    <col width="16" customWidth="1" min="42" max="42"/>
    <col width="27" customWidth="1" min="43" max="43"/>
    <col width="27" customWidth="1" min="44" max="44"/>
    <col width="18" customWidth="1" min="45" max="45"/>
    <col width="10" customWidth="1" min="46" max="46"/>
    <col width="23" customWidth="1" min="47" max="47"/>
    <col width="22" customWidth="1" min="48" max="48"/>
    <col width="19" customWidth="1" min="49" max="49"/>
    <col width="16" customWidth="1" min="50" max="50"/>
    <col width="27" customWidth="1" min="51" max="51"/>
    <col width="28" customWidth="1" min="52" max="52"/>
    <col width="27" customWidth="1" min="53" max="53"/>
    <col width="25" customWidth="1" min="54" max="54"/>
    <col width="24" customWidth="1" min="55" max="55"/>
    <col width="60" customWidth="1" min="56" max="56"/>
    <col width="60" customWidth="1" min="57" max="57"/>
    <col width="11" customWidth="1" min="58" max="58"/>
    <col width="16" customWidth="1" min="59" max="59"/>
  </cols>
  <sheetData>
    <row r="1">
      <c r="A1" s="3" t="inlineStr">
        <is>
          <t>URL</t>
        </is>
      </c>
      <c r="B1" s="3" t="inlineStr">
        <is>
          <t>Status Code</t>
        </is>
      </c>
      <c r="C1" s="3" t="inlineStr">
        <is>
          <t>Status Class</t>
        </is>
      </c>
      <c r="D1" s="3" t="inlineStr">
        <is>
          <t>SEO Health Score</t>
        </is>
      </c>
      <c r="E1" s="3" t="inlineStr">
        <is>
          <t>Severity Badge</t>
        </is>
      </c>
      <c r="F1" s="3" t="inlineStr">
        <is>
          <t>Action Needed</t>
        </is>
      </c>
      <c r="G1" s="3" t="inlineStr">
        <is>
          <t>Indexability Reason</t>
        </is>
      </c>
      <c r="H1" s="3" t="inlineStr">
        <is>
          <t>TTFB (ms)</t>
        </is>
      </c>
      <c r="I1" s="3" t="inlineStr">
        <is>
          <t>Total Request Time (ms)</t>
        </is>
      </c>
      <c r="J1" s="3" t="inlineStr">
        <is>
          <t>Final URL</t>
        </is>
      </c>
      <c r="K1" s="3" t="inlineStr">
        <is>
          <t>Canonical URL</t>
        </is>
      </c>
      <c r="L1" s="3" t="inlineStr">
        <is>
          <t>Canonical Type</t>
        </is>
      </c>
      <c r="M1" s="3" t="inlineStr">
        <is>
          <t>Owner</t>
        </is>
      </c>
      <c r="N1" s="3" t="inlineStr">
        <is>
          <t>Status</t>
        </is>
      </c>
      <c r="O1" s="3" t="inlineStr">
        <is>
          <t>Sprint</t>
        </is>
      </c>
      <c r="P1" s="3" t="inlineStr">
        <is>
          <t>Health Icon</t>
        </is>
      </c>
      <c r="Q1" s="3" t="inlineStr">
        <is>
          <t>Protocol</t>
        </is>
      </c>
      <c r="R1" s="3" t="inlineStr">
        <is>
          <t>Redirect Chain Length</t>
        </is>
      </c>
      <c r="S1" s="3" t="inlineStr">
        <is>
          <t>Redirect Target</t>
        </is>
      </c>
      <c r="T1" s="3" t="inlineStr">
        <is>
          <t>Redirect Hops</t>
        </is>
      </c>
      <c r="U1" s="3" t="inlineStr">
        <is>
          <t>HTTP-&gt;HTTPS Redirect</t>
        </is>
      </c>
      <c r="V1" s="3" t="inlineStr">
        <is>
          <t>Content-Type</t>
        </is>
      </c>
      <c r="W1" s="3" t="inlineStr">
        <is>
          <t>HTTP Version</t>
        </is>
      </c>
      <c r="X1" s="3" t="inlineStr">
        <is>
          <t>HTML Size (KB)</t>
        </is>
      </c>
      <c r="Y1" s="3" t="inlineStr">
        <is>
          <t>Compression Enabled</t>
        </is>
      </c>
      <c r="Z1" s="3" t="inlineStr">
        <is>
          <t>Cache-Control</t>
        </is>
      </c>
      <c r="AA1" s="3" t="inlineStr">
        <is>
          <t>ETag</t>
        </is>
      </c>
      <c r="AB1" s="3" t="inlineStr">
        <is>
          <t>X-Robots-Tag</t>
        </is>
      </c>
      <c r="AC1" s="3" t="inlineStr">
        <is>
          <t>Meta Robots Raw</t>
        </is>
      </c>
      <c r="AD1" s="3" t="inlineStr">
        <is>
          <t>Canonical Matches Final URL</t>
        </is>
      </c>
      <c r="AE1" s="3" t="inlineStr">
        <is>
          <t>Canonical Absolute URL</t>
        </is>
      </c>
      <c r="AF1" s="3" t="inlineStr">
        <is>
          <t>Canonical in Sitemap Match</t>
        </is>
      </c>
      <c r="AG1" s="3" t="inlineStr">
        <is>
          <t>Hreflang Present</t>
        </is>
      </c>
      <c r="AH1" s="3" t="inlineStr">
        <is>
          <t>Hreflang Count</t>
        </is>
      </c>
      <c r="AI1" s="3" t="inlineStr">
        <is>
          <t>Hreflang Self Reference</t>
        </is>
      </c>
      <c r="AJ1" s="3" t="inlineStr">
        <is>
          <t>Hreflang Reciprocal Check</t>
        </is>
      </c>
      <c r="AK1" s="3" t="inlineStr">
        <is>
          <t>Hreflang Canonical Consistency</t>
        </is>
      </c>
      <c r="AL1" s="3" t="inlineStr">
        <is>
          <t>x-default Present</t>
        </is>
      </c>
      <c r="AM1" s="3" t="inlineStr">
        <is>
          <t>Pagination rel=next</t>
        </is>
      </c>
      <c r="AN1" s="3" t="inlineStr">
        <is>
          <t>Pagination rel=prev</t>
        </is>
      </c>
      <c r="AO1" s="3" t="inlineStr">
        <is>
          <t>Last-Modified</t>
        </is>
      </c>
      <c r="AP1" s="3" t="inlineStr">
        <is>
          <t>Published Date</t>
        </is>
      </c>
      <c r="AQ1" s="3" t="inlineStr">
        <is>
          <t>Modified Date</t>
        </is>
      </c>
      <c r="AR1" s="3" t="inlineStr">
        <is>
          <t>Last Updated</t>
        </is>
      </c>
      <c r="AS1" s="3" t="inlineStr">
        <is>
          <t>Change Frequency</t>
        </is>
      </c>
      <c r="AT1" s="3" t="inlineStr">
        <is>
          <t>Priority</t>
        </is>
      </c>
      <c r="AU1" s="3" t="inlineStr">
        <is>
          <t>Critical Issues Count</t>
        </is>
      </c>
      <c r="AV1" s="3" t="inlineStr">
        <is>
          <t>Warning Issues Count</t>
        </is>
      </c>
      <c r="AW1" s="3" t="inlineStr">
        <is>
          <t>Info Issues Count</t>
        </is>
      </c>
      <c r="AX1" s="3" t="inlineStr">
        <is>
          <t>Inlinks Bucket</t>
        </is>
      </c>
      <c r="AY1" s="3" t="inlineStr">
        <is>
          <t>Important But Underlinked</t>
        </is>
      </c>
      <c r="AZ1" s="3" t="inlineStr">
        <is>
          <t>SERP Title Truncation Risk</t>
        </is>
      </c>
      <c r="BA1" s="3" t="inlineStr">
        <is>
          <t>SERP Meta Truncation Risk</t>
        </is>
      </c>
      <c r="BB1" s="3" t="inlineStr">
        <is>
          <t>SERP Title Pixel Approx</t>
        </is>
      </c>
      <c r="BC1" s="3" t="inlineStr">
        <is>
          <t>SERP Meta Pixel Approx</t>
        </is>
      </c>
      <c r="BD1" s="3" t="inlineStr">
        <is>
          <t>Cannibalization Hint</t>
        </is>
      </c>
      <c r="BE1" s="3" t="inlineStr">
        <is>
          <t>Stable Issue IDs</t>
        </is>
      </c>
      <c r="BF1" s="3" t="inlineStr">
        <is>
          <t>URL Depth</t>
        </is>
      </c>
      <c r="BG1" s="3" t="inlineStr">
        <is>
          <t>Param URL Flag</t>
        </is>
      </c>
      <c r="BH1" t="inlineStr">
        <is>
          <t>Open in Main</t>
        </is>
      </c>
      <c r="BI1" s="23" t="inlineStr">
        <is>
          <t>BACK TO DASHBOARD</t>
        </is>
      </c>
    </row>
    <row r="2" ht="30" customHeight="1">
      <c r="A2" s="33" t="inlineStr">
        <is>
          <t>https://africanmarketingconfederation.org/amc-conference-sponsors/</t>
        </is>
      </c>
      <c r="B2" s="32" t="n">
        <v>404</v>
      </c>
      <c r="C2" s="24" t="inlineStr">
        <is>
          <t>4xx</t>
        </is>
      </c>
      <c r="D2" s="24" t="n">
        <v>24</v>
      </c>
      <c r="E2" s="32" t="inlineStr">
        <is>
          <t>Critical</t>
        </is>
      </c>
      <c r="F2" s="24" t="inlineStr">
        <is>
          <t>Yes</t>
        </is>
      </c>
      <c r="G2" s="32" t="inlineStr">
        <is>
          <t>HTTP 404</t>
        </is>
      </c>
      <c r="H2" s="24" t="n">
        <v>3974.15</v>
      </c>
      <c r="I2" s="24" t="n">
        <v>404</v>
      </c>
      <c r="J2" s="27" t="inlineStr">
        <is>
          <t>https://africanmarketingconfederation.org/amc-forum-sponsors/</t>
        </is>
      </c>
      <c r="K2" s="27" t="inlineStr">
        <is>
          <t>https</t>
        </is>
      </c>
      <c r="L2" s="24" t="n">
        <v>1</v>
      </c>
      <c r="M2" s="24" t="inlineStr">
        <is>
          <t>Server/Host</t>
        </is>
      </c>
      <c r="N2" s="25" t="inlineStr">
        <is>
          <t>Open</t>
        </is>
      </c>
      <c r="O2" s="24" t="inlineStr"/>
      <c r="P2" s="24" t="inlineStr">
        <is>
          <t>FAIL 🔴</t>
        </is>
      </c>
      <c r="Q2" s="24" t="inlineStr">
        <is>
          <t>https</t>
        </is>
      </c>
      <c r="R2" s="24" t="n">
        <v>1</v>
      </c>
      <c r="S2" s="24" t="inlineStr">
        <is>
          <t>text/html; charset=UTF-8</t>
        </is>
      </c>
      <c r="T2" s="27" t="inlineStr">
        <is>
          <t>HTTP/1.1</t>
        </is>
      </c>
      <c r="U2" s="24" t="b">
        <v>0</v>
      </c>
      <c r="V2" s="24" t="inlineStr">
        <is>
          <t>text/html; charset=UTF-8</t>
        </is>
      </c>
      <c r="W2" s="24" t="inlineStr">
        <is>
          <t>HTTP/1.1</t>
        </is>
      </c>
      <c r="X2" s="24" t="n">
        <v>530.71</v>
      </c>
      <c r="Y2" s="25" t="b">
        <v>0</v>
      </c>
      <c r="Z2" s="24" t="n"/>
      <c r="AA2" s="24" t="n"/>
      <c r="AB2" s="24" t="n"/>
      <c r="AC2" s="24" t="n"/>
      <c r="AD2" s="27" t="n"/>
      <c r="AE2" s="27" t="n"/>
      <c r="AF2" s="25" t="b">
        <v>0</v>
      </c>
      <c r="AG2" s="25" t="b">
        <v>0</v>
      </c>
      <c r="AH2" s="24" t="n">
        <v>0</v>
      </c>
      <c r="AI2" s="24" t="b">
        <v>0</v>
      </c>
      <c r="AJ2" s="24" t="n"/>
      <c r="AK2" s="24" t="b">
        <v>0</v>
      </c>
      <c r="AL2" s="25" t="b">
        <v>0</v>
      </c>
      <c r="AM2" s="24" t="b">
        <v>0</v>
      </c>
      <c r="AN2" s="24" t="b">
        <v>0</v>
      </c>
      <c r="AO2" s="24" t="n"/>
      <c r="AP2" s="24" t="n"/>
      <c r="AQ2" s="24" t="inlineStr">
        <is>
          <t>2024-09-18T12:27:33+00:00</t>
        </is>
      </c>
      <c r="AR2" s="24" t="inlineStr">
        <is>
          <t>2024-09-18T12:27:33+00:00</t>
        </is>
      </c>
      <c r="AS2" s="24" t="inlineStr">
        <is>
          <t>weekly</t>
        </is>
      </c>
      <c r="AT2" s="24" t="inlineStr">
        <is>
          <t>0.7</t>
        </is>
      </c>
      <c r="AU2" s="24" t="n">
        <v>1</v>
      </c>
      <c r="AV2" s="24" t="n">
        <v>3</v>
      </c>
      <c r="AW2" s="24" t="n">
        <v>7</v>
      </c>
      <c r="AX2" s="24" t="inlineStr">
        <is>
          <t>0</t>
        </is>
      </c>
      <c r="AY2" s="24" t="b">
        <v>1</v>
      </c>
      <c r="AZ2" s="24" t="b">
        <v>0</v>
      </c>
      <c r="BA2" s="24" t="b">
        <v>0</v>
      </c>
      <c r="BB2" s="24" t="n">
        <v>0</v>
      </c>
      <c r="BC2" s="24" t="n">
        <v>0</v>
      </c>
      <c r="BD2" s="24" t="n"/>
      <c r="BE2" s="24" t="inlineStr">
        <is>
          <t>https://africanmarketingconfederation.org/amc-conference-sponsors/::non-200_status | https://africanmarketingconfederation.org/amc-conference-sponsors/::missing_title | https://africanmarketingconfederation.org/amc-conference-sponsors/::missing_meta_description | https://africanmarketingconfederation.org/amc-conference-sponsors/::low_aeo_readiness_score | https://africanmarketingconfederation.org/amc-conference-sponsors/::no_compression_header | https://africanmarketingconfederation.org/amc-conference-sponsors/::no_cache-control_header | https://africanmarketingconfederation.org/amc-conference-sponsors/::no_etag_header | https://africanmarketingconfederation.org/amc-conference-sponsors/::no_faq_qa_schema | https://africanmarketingconfederation.org/amc-conference-sponsors/::no_question_headings | https://africanmarketingconfederation.org/amc-conference-sponsors/::no_answer-friendly_structure | https://africanmarketingconfederation.org/amc-conference-sponsors/::no_40-60_word_answer_paragraphs</t>
        </is>
      </c>
      <c r="BF2" s="27" t="n">
        <v>1</v>
      </c>
      <c r="BG2" s="27" t="b">
        <v>0</v>
      </c>
      <c r="BH2">
        <f>IFERROR(HYPERLINK("#Main!A"&amp;MATCH(A2,Main!A:A,0),"Open"),HYPERLINK("#Main!A1","Open"))</f>
        <v/>
      </c>
    </row>
    <row r="3" ht="30" customHeight="1">
      <c r="A3" s="33" t="inlineStr">
        <is>
          <t>https://africanmarketingconfederation.org/amc-marketing-conference-2024/speakers-2024/</t>
        </is>
      </c>
      <c r="B3" s="32" t="n">
        <v>404</v>
      </c>
      <c r="C3" s="6" t="inlineStr">
        <is>
          <t>4xx</t>
        </is>
      </c>
      <c r="D3" s="6" t="n">
        <v>24</v>
      </c>
      <c r="E3" s="32" t="inlineStr">
        <is>
          <t>Critical</t>
        </is>
      </c>
      <c r="F3" s="6" t="inlineStr">
        <is>
          <t>Yes</t>
        </is>
      </c>
      <c r="G3" s="32" t="inlineStr">
        <is>
          <t>HTTP 404</t>
        </is>
      </c>
      <c r="H3" s="6" t="n">
        <v>3906.02</v>
      </c>
      <c r="I3" s="6" t="n">
        <v>404</v>
      </c>
      <c r="J3" s="30" t="inlineStr">
        <is>
          <t>https://africanmarketingconfederation.org/amc-forum-speakers/</t>
        </is>
      </c>
      <c r="K3" s="30" t="inlineStr">
        <is>
          <t>https</t>
        </is>
      </c>
      <c r="L3" s="6" t="n">
        <v>1</v>
      </c>
      <c r="M3" s="6" t="inlineStr">
        <is>
          <t>Server/Host</t>
        </is>
      </c>
      <c r="N3" s="25" t="inlineStr">
        <is>
          <t>Open</t>
        </is>
      </c>
      <c r="O3" s="6" t="inlineStr"/>
      <c r="P3" s="6" t="inlineStr">
        <is>
          <t>FAIL 🔴</t>
        </is>
      </c>
      <c r="Q3" s="6" t="inlineStr">
        <is>
          <t>https</t>
        </is>
      </c>
      <c r="R3" s="6" t="n">
        <v>1</v>
      </c>
      <c r="S3" s="6" t="inlineStr">
        <is>
          <t>text/html; charset=UTF-8</t>
        </is>
      </c>
      <c r="T3" s="30" t="inlineStr">
        <is>
          <t>HTTP/1.1</t>
        </is>
      </c>
      <c r="U3" s="6" t="b">
        <v>0</v>
      </c>
      <c r="V3" s="6" t="inlineStr">
        <is>
          <t>text/html; charset=UTF-8</t>
        </is>
      </c>
      <c r="W3" s="6" t="inlineStr">
        <is>
          <t>HTTP/1.1</t>
        </is>
      </c>
      <c r="X3" s="6" t="n">
        <v>287.36</v>
      </c>
      <c r="Y3" s="25" t="b">
        <v>0</v>
      </c>
      <c r="Z3" s="6" t="n"/>
      <c r="AA3" s="6" t="n"/>
      <c r="AB3" s="6" t="n"/>
      <c r="AC3" s="6" t="n"/>
      <c r="AD3" s="30" t="n"/>
      <c r="AE3" s="30" t="n"/>
      <c r="AF3" s="25" t="b">
        <v>0</v>
      </c>
      <c r="AG3" s="25" t="b">
        <v>0</v>
      </c>
      <c r="AH3" s="6" t="n">
        <v>0</v>
      </c>
      <c r="AI3" s="6" t="b">
        <v>0</v>
      </c>
      <c r="AJ3" s="6" t="n"/>
      <c r="AK3" s="6" t="b">
        <v>0</v>
      </c>
      <c r="AL3" s="25" t="b">
        <v>0</v>
      </c>
      <c r="AM3" s="6" t="b">
        <v>0</v>
      </c>
      <c r="AN3" s="6" t="b">
        <v>0</v>
      </c>
      <c r="AO3" s="6" t="n"/>
      <c r="AP3" s="6" t="n"/>
      <c r="AQ3" s="6" t="inlineStr">
        <is>
          <t>2024-09-18T12:11:23+00:00</t>
        </is>
      </c>
      <c r="AR3" s="6" t="inlineStr">
        <is>
          <t>2024-09-18T12:11:23+00:00</t>
        </is>
      </c>
      <c r="AS3" s="6" t="inlineStr">
        <is>
          <t>weekly</t>
        </is>
      </c>
      <c r="AT3" s="6" t="inlineStr">
        <is>
          <t>0.7</t>
        </is>
      </c>
      <c r="AU3" s="6" t="n">
        <v>1</v>
      </c>
      <c r="AV3" s="6" t="n">
        <v>3</v>
      </c>
      <c r="AW3" s="6" t="n">
        <v>7</v>
      </c>
      <c r="AX3" s="6" t="inlineStr">
        <is>
          <t>0</t>
        </is>
      </c>
      <c r="AY3" s="6" t="b">
        <v>1</v>
      </c>
      <c r="AZ3" s="6" t="b">
        <v>0</v>
      </c>
      <c r="BA3" s="6" t="b">
        <v>0</v>
      </c>
      <c r="BB3" s="6" t="n">
        <v>0</v>
      </c>
      <c r="BC3" s="6" t="n">
        <v>0</v>
      </c>
      <c r="BD3" s="6" t="n"/>
      <c r="BE3" s="6" t="inlineStr">
        <is>
          <t>https://africanmarketingconfederation.org/amc-marketing-conference-2024/speakers-2024/::non-200_status | https://africanmarketingconfederation.org/amc-marketing-conference-2024/speakers-2024/::missing_title | https://africanmarketingconfederation.org/amc-marketing-conference-2024/speakers-2024/::missing_meta_description | https://africanmarketingconfederation.org/amc-marketing-conference-2024/speakers-2024/::low_aeo_readiness_score | https://africanmarketingconfederation.org/amc-marketing-conference-2024/speakers-2024/::no_compression_header | https://africanmarketingconfederation.org/amc-marketing-conference-2024/speakers-2024/::no_cache-control_header | https://africanmarketingconfederation.org/amc-marketing-conference-2024/speakers-2024/::no_etag_header | https://africanmarketingconfederation.org/amc-marketing-conference-2024/speakers-2024/::no_faq_qa_schema | https://africanmarketingconfederation.org/amc-marketing-conference-2024/speakers-2024/::no_question_headings | https://africanmarketingconfederation.org/amc-marketing-conference-2024/speakers-2024/::no_answer-friendly_structure | https://africanmarketingconfederation.org/amc-marketing-conference-2024/speakers-2024/::no_40-60_word_answer_paragraphs</t>
        </is>
      </c>
      <c r="BF3" s="30" t="n">
        <v>2</v>
      </c>
      <c r="BG3" s="30" t="b">
        <v>0</v>
      </c>
      <c r="BH3">
        <f>IFERROR(HYPERLINK("#Main!A"&amp;MATCH(A3,Main!A:A,0),"Open"),HYPERLINK("#Main!A1","Open"))</f>
        <v/>
      </c>
    </row>
    <row r="4">
      <c r="A4" s="33" t="inlineStr">
        <is>
          <t>https://africanmarketingconfederation.org/</t>
        </is>
      </c>
      <c r="B4" s="4" t="n">
        <v>200</v>
      </c>
      <c r="C4" s="24" t="inlineStr">
        <is>
          <t>2xx</t>
        </is>
      </c>
      <c r="D4" s="24" t="n">
        <v>59</v>
      </c>
      <c r="E4" s="25" t="inlineStr">
        <is>
          <t>Warning</t>
        </is>
      </c>
      <c r="F4" s="24" t="inlineStr">
        <is>
          <t>Yes</t>
        </is>
      </c>
      <c r="G4" s="4" t="inlineStr">
        <is>
          <t>Indexable</t>
        </is>
      </c>
      <c r="H4" s="24" t="n">
        <v>65.53</v>
      </c>
      <c r="I4" s="24" t="n">
        <v>101.54</v>
      </c>
      <c r="J4" s="27" t="inlineStr">
        <is>
          <t>https://africanmarketingconfederation.org/</t>
        </is>
      </c>
      <c r="K4" s="27" t="inlineStr">
        <is>
          <t>https</t>
        </is>
      </c>
      <c r="L4" s="24" t="n">
        <v>0</v>
      </c>
      <c r="M4" s="24" t="inlineStr">
        <is>
          <t>Copy Writer</t>
        </is>
      </c>
      <c r="N4" s="25" t="inlineStr">
        <is>
          <t>Open</t>
        </is>
      </c>
      <c r="O4" s="24" t="inlineStr"/>
      <c r="P4" s="24" t="inlineStr">
        <is>
          <t>WARN 🟡</t>
        </is>
      </c>
      <c r="Q4" s="24" t="inlineStr">
        <is>
          <t>https</t>
        </is>
      </c>
      <c r="R4" s="24" t="n">
        <v>0</v>
      </c>
      <c r="S4" s="24" t="inlineStr">
        <is>
          <t>text/html; charset=UTF-8</t>
        </is>
      </c>
      <c r="T4" s="27" t="inlineStr">
        <is>
          <t>HTTP/1.1</t>
        </is>
      </c>
      <c r="U4" s="24" t="b">
        <v>0</v>
      </c>
      <c r="V4" s="24" t="inlineStr">
        <is>
          <t>text/html; charset=UTF-8</t>
        </is>
      </c>
      <c r="W4" s="24" t="inlineStr">
        <is>
          <t>HTTP/1.1</t>
        </is>
      </c>
      <c r="X4" s="24" t="n">
        <v>530.71</v>
      </c>
      <c r="Y4" s="25" t="b">
        <v>0</v>
      </c>
      <c r="Z4" s="24" t="n"/>
      <c r="AA4" s="24" t="n"/>
      <c r="AB4" s="24" t="n"/>
      <c r="AC4" s="24" t="n"/>
      <c r="AD4" s="27" t="n"/>
      <c r="AE4" s="27" t="n"/>
      <c r="AF4" s="25" t="b">
        <v>0</v>
      </c>
      <c r="AG4" s="25" t="b">
        <v>0</v>
      </c>
      <c r="AH4" s="24" t="n">
        <v>0</v>
      </c>
      <c r="AI4" s="24" t="b">
        <v>0</v>
      </c>
      <c r="AJ4" s="24" t="n"/>
      <c r="AK4" s="24" t="b">
        <v>0</v>
      </c>
      <c r="AL4" s="25" t="b">
        <v>0</v>
      </c>
      <c r="AM4" s="24" t="b">
        <v>0</v>
      </c>
      <c r="AN4" s="24" t="b">
        <v>0</v>
      </c>
      <c r="AO4" s="24" t="n"/>
      <c r="AP4" s="24" t="n"/>
      <c r="AQ4" s="24" t="inlineStr">
        <is>
          <t>2026-04-29T08:23:06+00:00</t>
        </is>
      </c>
      <c r="AR4" s="24" t="inlineStr">
        <is>
          <t>2026-04-29T08:23:06+00:00</t>
        </is>
      </c>
      <c r="AS4" s="24" t="inlineStr">
        <is>
          <t>always</t>
        </is>
      </c>
      <c r="AT4" s="24" t="inlineStr">
        <is>
          <t>1</t>
        </is>
      </c>
      <c r="AU4" s="24" t="n">
        <v>0</v>
      </c>
      <c r="AV4" s="24" t="n">
        <v>2</v>
      </c>
      <c r="AW4" s="24" t="n">
        <v>7</v>
      </c>
      <c r="AX4" s="24" t="inlineStr">
        <is>
          <t>0</t>
        </is>
      </c>
      <c r="AY4" s="24" t="b">
        <v>1</v>
      </c>
      <c r="AZ4" s="24" t="b">
        <v>0</v>
      </c>
      <c r="BA4" s="24" t="b">
        <v>0</v>
      </c>
      <c r="BB4" s="24" t="n">
        <v>475</v>
      </c>
      <c r="BC4" s="24" t="n">
        <v>942</v>
      </c>
      <c r="BD4" s="24" t="n"/>
      <c r="BE4" s="24" t="inlineStr">
        <is>
          <t>https://africanmarketingconfederation.org/::multiple_h1 | https://africanmarketingconfederation.org/::low_aeo_readiness_score | https://africanmarketingconfederation.org/::no_compression_header | https://africanmarketingconfederation.org/::no_cache-control_header | https://africanmarketingconfederation.org/::no_etag_header | https://africanmarketingconfederation.org/::no_faq_qa_schema | https://africanmarketingconfederation.org/::no_question_headings | https://africanmarketingconfederation.org/::no_answer-friendly_structure | https://africanmarketingconfederation.org/::no_40-60_word_answer_paragraphs</t>
        </is>
      </c>
      <c r="BF4" s="27" t="n">
        <v>0</v>
      </c>
      <c r="BG4" s="27" t="b">
        <v>0</v>
      </c>
      <c r="BH4">
        <f>IFERROR(HYPERLINK("#Main!A"&amp;MATCH(A4,Main!A:A,0),"Open"),HYPERLINK("#Main!A1","Open"))</f>
        <v/>
      </c>
    </row>
    <row r="5" ht="30" customHeight="1">
      <c r="A5" s="33" t="inlineStr">
        <is>
          <t>https://africanmarketingconfederation.org/about-us/</t>
        </is>
      </c>
      <c r="B5" s="4" t="n">
        <v>200</v>
      </c>
      <c r="C5" s="6" t="inlineStr">
        <is>
          <t>2xx</t>
        </is>
      </c>
      <c r="D5" s="6" t="n">
        <v>59</v>
      </c>
      <c r="E5" s="25" t="inlineStr">
        <is>
          <t>Warning</t>
        </is>
      </c>
      <c r="F5" s="6" t="inlineStr">
        <is>
          <t>Yes</t>
        </is>
      </c>
      <c r="G5" s="4" t="inlineStr">
        <is>
          <t>Indexable</t>
        </is>
      </c>
      <c r="H5" s="6" t="n">
        <v>54.12</v>
      </c>
      <c r="I5" s="6" t="n">
        <v>56.3</v>
      </c>
      <c r="J5" s="30" t="inlineStr">
        <is>
          <t>https://africanmarketingconfederation.org/about-us/</t>
        </is>
      </c>
      <c r="K5" s="30" t="inlineStr">
        <is>
          <t>https</t>
        </is>
      </c>
      <c r="L5" s="6" t="n">
        <v>0</v>
      </c>
      <c r="M5" s="6" t="inlineStr">
        <is>
          <t>Copy Writer</t>
        </is>
      </c>
      <c r="N5" s="25" t="inlineStr">
        <is>
          <t>Open</t>
        </is>
      </c>
      <c r="O5" s="6" t="inlineStr"/>
      <c r="P5" s="6" t="inlineStr">
        <is>
          <t>WARN 🟡</t>
        </is>
      </c>
      <c r="Q5" s="6" t="inlineStr">
        <is>
          <t>https</t>
        </is>
      </c>
      <c r="R5" s="6" t="n">
        <v>0</v>
      </c>
      <c r="S5" s="6" t="inlineStr">
        <is>
          <t>text/html; charset=UTF-8</t>
        </is>
      </c>
      <c r="T5" s="30" t="inlineStr">
        <is>
          <t>HTTP/1.1</t>
        </is>
      </c>
      <c r="U5" s="6" t="b">
        <v>0</v>
      </c>
      <c r="V5" s="6" t="inlineStr">
        <is>
          <t>text/html; charset=UTF-8</t>
        </is>
      </c>
      <c r="W5" s="6" t="inlineStr">
        <is>
          <t>HTTP/1.1</t>
        </is>
      </c>
      <c r="X5" s="6" t="n">
        <v>306.73</v>
      </c>
      <c r="Y5" s="25" t="b">
        <v>0</v>
      </c>
      <c r="Z5" s="6" t="n"/>
      <c r="AA5" s="6" t="n"/>
      <c r="AB5" s="6" t="n"/>
      <c r="AC5" s="6" t="n"/>
      <c r="AD5" s="30" t="n"/>
      <c r="AE5" s="30" t="n"/>
      <c r="AF5" s="25" t="b">
        <v>0</v>
      </c>
      <c r="AG5" s="25" t="b">
        <v>0</v>
      </c>
      <c r="AH5" s="6" t="n">
        <v>0</v>
      </c>
      <c r="AI5" s="6" t="b">
        <v>0</v>
      </c>
      <c r="AJ5" s="6" t="n"/>
      <c r="AK5" s="6" t="b">
        <v>0</v>
      </c>
      <c r="AL5" s="25" t="b">
        <v>0</v>
      </c>
      <c r="AM5" s="6" t="b">
        <v>0</v>
      </c>
      <c r="AN5" s="6" t="b">
        <v>0</v>
      </c>
      <c r="AO5" s="6" t="n"/>
      <c r="AP5" s="6" t="n"/>
      <c r="AQ5" s="6" t="inlineStr">
        <is>
          <t>2026-04-17T08:53:24+00:00</t>
        </is>
      </c>
      <c r="AR5" s="6" t="inlineStr">
        <is>
          <t>2026-04-17T08:53:24+00:00</t>
        </is>
      </c>
      <c r="AS5" s="6" t="inlineStr">
        <is>
          <t>weekly</t>
        </is>
      </c>
      <c r="AT5" s="6" t="inlineStr">
        <is>
          <t>0.7</t>
        </is>
      </c>
      <c r="AU5" s="6" t="n">
        <v>0</v>
      </c>
      <c r="AV5" s="6" t="n">
        <v>2</v>
      </c>
      <c r="AW5" s="6" t="n">
        <v>7</v>
      </c>
      <c r="AX5" s="6" t="inlineStr">
        <is>
          <t>0</t>
        </is>
      </c>
      <c r="AY5" s="6" t="b">
        <v>1</v>
      </c>
      <c r="AZ5" s="6" t="b">
        <v>0</v>
      </c>
      <c r="BA5" s="6" t="b">
        <v>0</v>
      </c>
      <c r="BB5" s="6" t="n">
        <v>770</v>
      </c>
      <c r="BC5" s="6" t="n">
        <v>2511</v>
      </c>
      <c r="BD5" s="6" t="n"/>
      <c r="BE5" s="6" t="inlineStr">
        <is>
          <t>https://africanmarketingconfederation.org/about-us/::thin_content | https://africanmarketingconfederation.org/about-us/::low_aeo_readiness_score | https://africanmarketingconfederation.org/about-us/::no_compression_header | https://africanmarketingconfederation.org/about-us/::no_cache-control_header | https://africanmarketingconfederation.org/about-us/::no_etag_header | https://africanmarketingconfederation.org/about-us/::no_faq_qa_schema | https://africanmarketingconfederation.org/about-us/::no_question_headings | https://africanmarketingconfederation.org/about-us/::no_answer-friendly_structure | https://africanmarketingconfederation.org/about-us/::no_40-60_word_answer_paragraphs</t>
        </is>
      </c>
      <c r="BF5" s="30" t="n">
        <v>1</v>
      </c>
      <c r="BG5" s="30" t="b">
        <v>0</v>
      </c>
      <c r="BH5">
        <f>IFERROR(HYPERLINK("#Main!A"&amp;MATCH(A5,Main!A:A,0),"Open"),HYPERLINK("#Main!A1","Open"))</f>
        <v/>
      </c>
    </row>
    <row r="6" ht="30" customHeight="1">
      <c r="A6" s="33" t="inlineStr">
        <is>
          <t>https://africanmarketingconfederation.org/african-marketing-confederation-tourism-chapter/</t>
        </is>
      </c>
      <c r="B6" s="4" t="n">
        <v>200</v>
      </c>
      <c r="C6" s="24" t="inlineStr">
        <is>
          <t>2xx</t>
        </is>
      </c>
      <c r="D6" s="24" t="n">
        <v>59</v>
      </c>
      <c r="E6" s="25" t="inlineStr">
        <is>
          <t>Warning</t>
        </is>
      </c>
      <c r="F6" s="24" t="inlineStr">
        <is>
          <t>Yes</t>
        </is>
      </c>
      <c r="G6" s="4" t="inlineStr">
        <is>
          <t>Indexable</t>
        </is>
      </c>
      <c r="H6" s="24" t="n">
        <v>41.52</v>
      </c>
      <c r="I6" s="24" t="n">
        <v>59.06</v>
      </c>
      <c r="J6" s="27" t="inlineStr">
        <is>
          <t>https://africanmarketingconfederation.org/african-marketing-confederation-tourism-chapter/</t>
        </is>
      </c>
      <c r="K6" s="27" t="inlineStr">
        <is>
          <t>https</t>
        </is>
      </c>
      <c r="L6" s="24" t="n">
        <v>0</v>
      </c>
      <c r="M6" s="24" t="inlineStr">
        <is>
          <t>Copy Writer</t>
        </is>
      </c>
      <c r="N6" s="25" t="inlineStr">
        <is>
          <t>Open</t>
        </is>
      </c>
      <c r="O6" s="24" t="inlineStr"/>
      <c r="P6" s="24" t="inlineStr">
        <is>
          <t>WARN 🟡</t>
        </is>
      </c>
      <c r="Q6" s="24" t="inlineStr">
        <is>
          <t>https</t>
        </is>
      </c>
      <c r="R6" s="24" t="n">
        <v>0</v>
      </c>
      <c r="S6" s="24" t="inlineStr">
        <is>
          <t>text/html; charset=UTF-8</t>
        </is>
      </c>
      <c r="T6" s="27" t="inlineStr">
        <is>
          <t>HTTP/1.1</t>
        </is>
      </c>
      <c r="U6" s="24" t="b">
        <v>0</v>
      </c>
      <c r="V6" s="24" t="inlineStr">
        <is>
          <t>text/html; charset=UTF-8</t>
        </is>
      </c>
      <c r="W6" s="24" t="inlineStr">
        <is>
          <t>HTTP/1.1</t>
        </is>
      </c>
      <c r="X6" s="24" t="n">
        <v>318.06</v>
      </c>
      <c r="Y6" s="25" t="b">
        <v>0</v>
      </c>
      <c r="Z6" s="24" t="n"/>
      <c r="AA6" s="24" t="n"/>
      <c r="AB6" s="24" t="n"/>
      <c r="AC6" s="24" t="n"/>
      <c r="AD6" s="27" t="n"/>
      <c r="AE6" s="27" t="n"/>
      <c r="AF6" s="25" t="b">
        <v>0</v>
      </c>
      <c r="AG6" s="25" t="b">
        <v>0</v>
      </c>
      <c r="AH6" s="24" t="n">
        <v>0</v>
      </c>
      <c r="AI6" s="24" t="b">
        <v>0</v>
      </c>
      <c r="AJ6" s="24" t="n"/>
      <c r="AK6" s="24" t="b">
        <v>0</v>
      </c>
      <c r="AL6" s="25" t="b">
        <v>0</v>
      </c>
      <c r="AM6" s="24" t="b">
        <v>0</v>
      </c>
      <c r="AN6" s="24" t="b">
        <v>0</v>
      </c>
      <c r="AO6" s="24" t="n"/>
      <c r="AP6" s="24" t="n"/>
      <c r="AQ6" s="24" t="inlineStr">
        <is>
          <t>2026-04-17T08:55:48+00:00</t>
        </is>
      </c>
      <c r="AR6" s="24" t="inlineStr">
        <is>
          <t>2026-04-17T08:55:48+00:00</t>
        </is>
      </c>
      <c r="AS6" s="24" t="inlineStr">
        <is>
          <t>weekly</t>
        </is>
      </c>
      <c r="AT6" s="24" t="inlineStr">
        <is>
          <t>0.7</t>
        </is>
      </c>
      <c r="AU6" s="24" t="n">
        <v>0</v>
      </c>
      <c r="AV6" s="24" t="n">
        <v>2</v>
      </c>
      <c r="AW6" s="24" t="n">
        <v>7</v>
      </c>
      <c r="AX6" s="24" t="inlineStr">
        <is>
          <t>0</t>
        </is>
      </c>
      <c r="AY6" s="24" t="b">
        <v>1</v>
      </c>
      <c r="AZ6" s="24" t="b">
        <v>0</v>
      </c>
      <c r="BA6" s="24" t="b">
        <v>0</v>
      </c>
      <c r="BB6" s="24" t="n">
        <v>583</v>
      </c>
      <c r="BC6" s="24" t="n">
        <v>2622</v>
      </c>
      <c r="BD6" s="24" t="n"/>
      <c r="BE6" s="24" t="inlineStr">
        <is>
          <t>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https://africanmarketingconfederation.org/african-marketing-confederation-tourism-chapter/::no_compression_header | https://africanmarketingconfederation.org/african-marketing-confederation-tourism-chapter/::no_cache-control_header | https://africanmarketingconfederation.org/african-marketing-confederation-tourism-chapter/::no_etag_header | https://africanmarketingconfederation.org/african-marketing-confederation-tourism-chapter/::no_faq_qa_schema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t>
        </is>
      </c>
      <c r="BF6" s="27" t="n">
        <v>1</v>
      </c>
      <c r="BG6" s="27" t="b">
        <v>0</v>
      </c>
      <c r="BH6">
        <f>IFERROR(HYPERLINK("#Main!A"&amp;MATCH(A6,Main!A:A,0),"Open"),HYPERLINK("#Main!A1","Open"))</f>
        <v/>
      </c>
    </row>
    <row r="7" ht="30" customHeight="1">
      <c r="A7" s="33" t="inlineStr">
        <is>
          <t>https://africanmarketingconfederation.org/amc-awards-2024/</t>
        </is>
      </c>
      <c r="B7" s="4" t="n">
        <v>200</v>
      </c>
      <c r="C7" s="6" t="inlineStr">
        <is>
          <t>2xx</t>
        </is>
      </c>
      <c r="D7" s="6" t="n">
        <v>59</v>
      </c>
      <c r="E7" s="25" t="inlineStr">
        <is>
          <t>Warning</t>
        </is>
      </c>
      <c r="F7" s="6" t="inlineStr">
        <is>
          <t>Yes</t>
        </is>
      </c>
      <c r="G7" s="4" t="inlineStr">
        <is>
          <t>Indexable</t>
        </is>
      </c>
      <c r="H7" s="6" t="n">
        <v>56.33</v>
      </c>
      <c r="I7" s="6" t="n">
        <v>78.52</v>
      </c>
      <c r="J7" s="30" t="inlineStr">
        <is>
          <t>https://africanmarketingconfederation.org/amc-awards-2024/</t>
        </is>
      </c>
      <c r="K7" s="30" t="inlineStr">
        <is>
          <t>https</t>
        </is>
      </c>
      <c r="L7" s="6" t="n">
        <v>0</v>
      </c>
      <c r="M7" s="6" t="inlineStr">
        <is>
          <t>Copy Writer</t>
        </is>
      </c>
      <c r="N7" s="25" t="inlineStr">
        <is>
          <t>Open</t>
        </is>
      </c>
      <c r="O7" s="6" t="inlineStr"/>
      <c r="P7" s="6" t="inlineStr">
        <is>
          <t>WARN 🟡</t>
        </is>
      </c>
      <c r="Q7" s="6" t="inlineStr">
        <is>
          <t>https</t>
        </is>
      </c>
      <c r="R7" s="6" t="n">
        <v>0</v>
      </c>
      <c r="S7" s="6" t="inlineStr">
        <is>
          <t>text/html; charset=UTF-8</t>
        </is>
      </c>
      <c r="T7" s="30" t="inlineStr">
        <is>
          <t>HTTP/1.1</t>
        </is>
      </c>
      <c r="U7" s="6" t="b">
        <v>0</v>
      </c>
      <c r="V7" s="6" t="inlineStr">
        <is>
          <t>text/html; charset=UTF-8</t>
        </is>
      </c>
      <c r="W7" s="6" t="inlineStr">
        <is>
          <t>HTTP/1.1</t>
        </is>
      </c>
      <c r="X7" s="6" t="n">
        <v>481.16</v>
      </c>
      <c r="Y7" s="25" t="b">
        <v>0</v>
      </c>
      <c r="Z7" s="6" t="n"/>
      <c r="AA7" s="6" t="n"/>
      <c r="AB7" s="6" t="n"/>
      <c r="AC7" s="6" t="n"/>
      <c r="AD7" s="30" t="n"/>
      <c r="AE7" s="30" t="n"/>
      <c r="AF7" s="25" t="b">
        <v>0</v>
      </c>
      <c r="AG7" s="25" t="b">
        <v>0</v>
      </c>
      <c r="AH7" s="6" t="n">
        <v>0</v>
      </c>
      <c r="AI7" s="6" t="b">
        <v>0</v>
      </c>
      <c r="AJ7" s="6" t="n"/>
      <c r="AK7" s="6" t="b">
        <v>0</v>
      </c>
      <c r="AL7" s="25" t="b">
        <v>0</v>
      </c>
      <c r="AM7" s="6" t="b">
        <v>0</v>
      </c>
      <c r="AN7" s="6" t="b">
        <v>0</v>
      </c>
      <c r="AO7" s="6" t="n"/>
      <c r="AP7" s="6" t="n"/>
      <c r="AQ7" s="6" t="inlineStr">
        <is>
          <t>2025-04-24T13:54:46+00:00</t>
        </is>
      </c>
      <c r="AR7" s="6" t="inlineStr">
        <is>
          <t>2025-04-24T13:54:46+00:00</t>
        </is>
      </c>
      <c r="AS7" s="6" t="inlineStr">
        <is>
          <t>weekly</t>
        </is>
      </c>
      <c r="AT7" s="6" t="inlineStr">
        <is>
          <t>0.7</t>
        </is>
      </c>
      <c r="AU7" s="6" t="n">
        <v>0</v>
      </c>
      <c r="AV7" s="6" t="n">
        <v>2</v>
      </c>
      <c r="AW7" s="6" t="n">
        <v>7</v>
      </c>
      <c r="AX7" s="6" t="inlineStr">
        <is>
          <t>0</t>
        </is>
      </c>
      <c r="AY7" s="6" t="b">
        <v>1</v>
      </c>
      <c r="AZ7" s="6" t="b">
        <v>0</v>
      </c>
      <c r="BA7" s="6" t="b">
        <v>0</v>
      </c>
      <c r="BB7" s="6" t="n">
        <v>352</v>
      </c>
      <c r="BC7" s="6" t="n">
        <v>2517</v>
      </c>
      <c r="BD7" s="6" t="n"/>
      <c r="BE7" s="6" t="inlineStr">
        <is>
          <t>https://africanmarketingconfederation.org/amc-awards-2024/::multiple_h1 | https://africanmarketingconfederation.org/amc-awards-2024/::low_aeo_readiness_score | https://africanmarketingconfederation.org/amc-awards-2024/::no_compression_header | https://africanmarketingconfederation.org/amc-awards-2024/::no_cache-control_header | https://africanmarketingconfederation.org/amc-awards-2024/::no_etag_header | https://africanmarketingconfederation.org/amc-awards-2024/::no_faq_qa_schema | https://africanmarketingconfederation.org/amc-awards-2024/::no_question_headings | https://africanmarketingconfederation.org/amc-awards-2024/::no_answer-friendly_structure | https://africanmarketingconfederation.org/amc-awards-2024/::no_40-60_word_answer_paragraphs</t>
        </is>
      </c>
      <c r="BF7" s="30" t="n">
        <v>1</v>
      </c>
      <c r="BG7" s="30" t="b">
        <v>0</v>
      </c>
      <c r="BH7">
        <f>IFERROR(HYPERLINK("#Main!A"&amp;MATCH(A7,Main!A:A,0),"Open"),HYPERLINK("#Main!A1","Open"))</f>
        <v/>
      </c>
    </row>
    <row r="8" ht="30" customHeight="1">
      <c r="A8" s="33" t="inlineStr">
        <is>
          <t>https://africanmarketingconfederation.org/amc-conference-2022-prospectus/</t>
        </is>
      </c>
      <c r="B8" s="4" t="n">
        <v>200</v>
      </c>
      <c r="C8" s="24" t="inlineStr">
        <is>
          <t>2xx</t>
        </is>
      </c>
      <c r="D8" s="24" t="n">
        <v>49</v>
      </c>
      <c r="E8" s="25" t="inlineStr">
        <is>
          <t>Warning</t>
        </is>
      </c>
      <c r="F8" s="24" t="inlineStr">
        <is>
          <t>Yes</t>
        </is>
      </c>
      <c r="G8" s="4" t="inlineStr">
        <is>
          <t>Indexable</t>
        </is>
      </c>
      <c r="H8" s="24" t="n">
        <v>79.09999999999999</v>
      </c>
      <c r="I8" s="24" t="n">
        <v>81.09999999999999</v>
      </c>
      <c r="J8" s="27" t="inlineStr">
        <is>
          <t>https://africanmarketingconfederation.org/amc-conference-2022-prospectus/</t>
        </is>
      </c>
      <c r="K8" s="27" t="inlineStr">
        <is>
          <t>https</t>
        </is>
      </c>
      <c r="L8" s="24" t="n">
        <v>0</v>
      </c>
      <c r="M8" s="24" t="inlineStr">
        <is>
          <t>Copy Writer</t>
        </is>
      </c>
      <c r="N8" s="25" t="inlineStr">
        <is>
          <t>Open</t>
        </is>
      </c>
      <c r="O8" s="24" t="inlineStr"/>
      <c r="P8" s="24" t="inlineStr">
        <is>
          <t>WARN 🟡</t>
        </is>
      </c>
      <c r="Q8" s="24" t="inlineStr">
        <is>
          <t>https</t>
        </is>
      </c>
      <c r="R8" s="24" t="n">
        <v>0</v>
      </c>
      <c r="S8" s="24" t="inlineStr">
        <is>
          <t>text/html; charset=UTF-8</t>
        </is>
      </c>
      <c r="T8" s="27" t="inlineStr">
        <is>
          <t>HTTP/1.1</t>
        </is>
      </c>
      <c r="U8" s="24" t="b">
        <v>0</v>
      </c>
      <c r="V8" s="24" t="inlineStr">
        <is>
          <t>text/html; charset=UTF-8</t>
        </is>
      </c>
      <c r="W8" s="24" t="inlineStr">
        <is>
          <t>HTTP/1.1</t>
        </is>
      </c>
      <c r="X8" s="24" t="n">
        <v>264.53</v>
      </c>
      <c r="Y8" s="25" t="b">
        <v>0</v>
      </c>
      <c r="Z8" s="24" t="n"/>
      <c r="AA8" s="24" t="n"/>
      <c r="AB8" s="24" t="n"/>
      <c r="AC8" s="24" t="n"/>
      <c r="AD8" s="27" t="n"/>
      <c r="AE8" s="27" t="n"/>
      <c r="AF8" s="25" t="b">
        <v>0</v>
      </c>
      <c r="AG8" s="25" t="b">
        <v>0</v>
      </c>
      <c r="AH8" s="24" t="n">
        <v>0</v>
      </c>
      <c r="AI8" s="24" t="b">
        <v>0</v>
      </c>
      <c r="AJ8" s="24" t="n"/>
      <c r="AK8" s="24" t="b">
        <v>0</v>
      </c>
      <c r="AL8" s="25" t="b">
        <v>0</v>
      </c>
      <c r="AM8" s="24" t="b">
        <v>0</v>
      </c>
      <c r="AN8" s="24" t="b">
        <v>0</v>
      </c>
      <c r="AO8" s="24" t="n"/>
      <c r="AP8" s="24" t="n"/>
      <c r="AQ8" s="24" t="inlineStr">
        <is>
          <t>2025-07-14T07:22:03+00:00</t>
        </is>
      </c>
      <c r="AR8" s="24" t="inlineStr">
        <is>
          <t>2025-07-14T07:22:03+00:00</t>
        </is>
      </c>
      <c r="AS8" s="24" t="inlineStr">
        <is>
          <t>weekly</t>
        </is>
      </c>
      <c r="AT8" s="24" t="inlineStr">
        <is>
          <t>0.7</t>
        </is>
      </c>
      <c r="AU8" s="24" t="n">
        <v>0</v>
      </c>
      <c r="AV8" s="24" t="n">
        <v>3</v>
      </c>
      <c r="AW8" s="24" t="n">
        <v>7</v>
      </c>
      <c r="AX8" s="24" t="inlineStr">
        <is>
          <t>0</t>
        </is>
      </c>
      <c r="AY8" s="24" t="b">
        <v>1</v>
      </c>
      <c r="AZ8" s="24" t="b">
        <v>0</v>
      </c>
      <c r="BA8" s="24" t="b">
        <v>0</v>
      </c>
      <c r="BB8" s="24" t="n">
        <v>475</v>
      </c>
      <c r="BC8" s="24" t="n">
        <v>2077</v>
      </c>
      <c r="BD8" s="24" t="n"/>
      <c r="BE8" s="24" t="inlineStr">
        <is>
          <t>https://africanmarketingconfederation.org/amc-conference-2022-prospectus/::missing_h1 | https://africanmarketingconfederation.org/amc-conference-2022-prospectus/::thin_content | https://africanmarketingconfederation.org/amc-conference-2022-prospectus/::low_aeo_readiness_score | https://africanmarketingconfederation.org/amc-conference-2022-prospectus/::no_compression_header | https://africanmarketingconfederation.org/amc-conference-2022-prospectus/::no_cache-control_header | https://africanmarketingconfederation.org/amc-conference-2022-prospectus/::no_etag_header | https://africanmarketingconfederation.org/amc-conference-2022-prospectus/::no_faq_qa_schema | https://africanmarketingconfederation.org/amc-conference-2022-prospectus/::no_question_headings | https://africanmarketingconfederation.org/amc-conference-2022-prospectus/::no_answer-friendly_structure | https://africanmarketingconfederation.org/amc-conference-2022-prospectus/::no_40-60_word_answer_paragraphs</t>
        </is>
      </c>
      <c r="BF8" s="27" t="n">
        <v>1</v>
      </c>
      <c r="BG8" s="27" t="b">
        <v>0</v>
      </c>
      <c r="BH8">
        <f>IFERROR(HYPERLINK("#Main!A"&amp;MATCH(A8,Main!A:A,0),"Open"),HYPERLINK("#Main!A1","Open"))</f>
        <v/>
      </c>
    </row>
    <row r="9" ht="30" customHeight="1">
      <c r="A9" s="33" t="inlineStr">
        <is>
          <t>https://africanmarketingconfederation.org/amc-conference-2022-thank-you/</t>
        </is>
      </c>
      <c r="B9" s="4" t="n">
        <v>200</v>
      </c>
      <c r="C9" s="6" t="inlineStr">
        <is>
          <t>2xx</t>
        </is>
      </c>
      <c r="D9" s="6" t="n">
        <v>59</v>
      </c>
      <c r="E9" s="25" t="inlineStr">
        <is>
          <t>Warning</t>
        </is>
      </c>
      <c r="F9" s="6" t="inlineStr">
        <is>
          <t>Yes</t>
        </is>
      </c>
      <c r="G9" s="4" t="inlineStr">
        <is>
          <t>Indexable</t>
        </is>
      </c>
      <c r="H9" s="6" t="n">
        <v>50.99</v>
      </c>
      <c r="I9" s="6" t="n">
        <v>77.72</v>
      </c>
      <c r="J9" s="30" t="inlineStr">
        <is>
          <t>https://africanmarketingconfederation.org/amc-conference-2022-thank-you/</t>
        </is>
      </c>
      <c r="K9" s="30" t="inlineStr">
        <is>
          <t>https</t>
        </is>
      </c>
      <c r="L9" s="6" t="n">
        <v>0</v>
      </c>
      <c r="M9" s="6" t="inlineStr">
        <is>
          <t>Copy Writer</t>
        </is>
      </c>
      <c r="N9" s="25" t="inlineStr">
        <is>
          <t>Open</t>
        </is>
      </c>
      <c r="O9" s="6" t="inlineStr"/>
      <c r="P9" s="6" t="inlineStr">
        <is>
          <t>WARN 🟡</t>
        </is>
      </c>
      <c r="Q9" s="6" t="inlineStr">
        <is>
          <t>https</t>
        </is>
      </c>
      <c r="R9" s="6" t="n">
        <v>0</v>
      </c>
      <c r="S9" s="6" t="inlineStr">
        <is>
          <t>text/html; charset=UTF-8</t>
        </is>
      </c>
      <c r="T9" s="30" t="inlineStr">
        <is>
          <t>HTTP/1.1</t>
        </is>
      </c>
      <c r="U9" s="6" t="b">
        <v>0</v>
      </c>
      <c r="V9" s="6" t="inlineStr">
        <is>
          <t>text/html; charset=UTF-8</t>
        </is>
      </c>
      <c r="W9" s="6" t="inlineStr">
        <is>
          <t>HTTP/1.1</t>
        </is>
      </c>
      <c r="X9" s="6" t="n">
        <v>329.21</v>
      </c>
      <c r="Y9" s="25" t="b">
        <v>0</v>
      </c>
      <c r="Z9" s="6" t="n"/>
      <c r="AA9" s="6" t="n"/>
      <c r="AB9" s="6" t="n"/>
      <c r="AC9" s="6" t="n"/>
      <c r="AD9" s="30" t="n"/>
      <c r="AE9" s="30" t="n"/>
      <c r="AF9" s="25" t="b">
        <v>0</v>
      </c>
      <c r="AG9" s="25" t="b">
        <v>0</v>
      </c>
      <c r="AH9" s="6" t="n">
        <v>0</v>
      </c>
      <c r="AI9" s="6" t="b">
        <v>0</v>
      </c>
      <c r="AJ9" s="6" t="n"/>
      <c r="AK9" s="6" t="b">
        <v>0</v>
      </c>
      <c r="AL9" s="25" t="b">
        <v>0</v>
      </c>
      <c r="AM9" s="6" t="b">
        <v>0</v>
      </c>
      <c r="AN9" s="6" t="b">
        <v>0</v>
      </c>
      <c r="AO9" s="6" t="n"/>
      <c r="AP9" s="6" t="n"/>
      <c r="AQ9" s="6" t="inlineStr">
        <is>
          <t>2021-11-26T08:41:00+00:00</t>
        </is>
      </c>
      <c r="AR9" s="6" t="inlineStr">
        <is>
          <t>2021-11-26T08:41:00+00:00</t>
        </is>
      </c>
      <c r="AS9" s="6" t="inlineStr">
        <is>
          <t>weekly</t>
        </is>
      </c>
      <c r="AT9" s="6" t="inlineStr">
        <is>
          <t>0.7</t>
        </is>
      </c>
      <c r="AU9" s="6" t="n">
        <v>0</v>
      </c>
      <c r="AV9" s="6" t="n">
        <v>2</v>
      </c>
      <c r="AW9" s="6" t="n">
        <v>7</v>
      </c>
      <c r="AX9" s="6" t="inlineStr">
        <is>
          <t>0</t>
        </is>
      </c>
      <c r="AY9" s="6" t="b">
        <v>1</v>
      </c>
      <c r="AZ9" s="6" t="b">
        <v>0</v>
      </c>
      <c r="BA9" s="6" t="b">
        <v>0</v>
      </c>
      <c r="BB9" s="6" t="n">
        <v>468</v>
      </c>
      <c r="BC9" s="6" t="n">
        <v>2089</v>
      </c>
      <c r="BD9" s="6" t="n"/>
      <c r="BE9" s="6" t="inlineStr">
        <is>
          <t>https://africanmarketingconfederation.org/amc-conference-2022-thank-you/::missing_h1 | https://africanmarketingconfederation.org/amc-conference-2022-thank-you/::low_aeo_readiness_score | https://africanmarketingconfederation.org/amc-conference-2022-thank-you/::no_compression_header | https://africanmarketingconfederation.org/amc-conference-2022-thank-you/::no_cache-control_header | https://africanmarketingconfederation.org/amc-conference-2022-thank-you/::no_etag_header | https://africanmarketingconfederation.org/amc-conference-2022-thank-you/::no_faq_qa_schema | https://africanmarketingconfederation.org/amc-conference-2022-thank-you/::no_question_headings | https://africanmarketingconfederation.org/amc-conference-2022-thank-you/::no_answer-friendly_structure | https://africanmarketingconfederation.org/amc-conference-2022-thank-you/::no_40-60_word_answer_paragraphs</t>
        </is>
      </c>
      <c r="BF9" s="30" t="n">
        <v>1</v>
      </c>
      <c r="BG9" s="30" t="b">
        <v>0</v>
      </c>
      <c r="BH9">
        <f>IFERROR(HYPERLINK("#Main!A"&amp;MATCH(A9,Main!A:A,0),"Open"),HYPERLINK("#Main!A1","Open"))</f>
        <v/>
      </c>
    </row>
    <row r="10" ht="30" customHeight="1">
      <c r="A10" s="33" t="inlineStr">
        <is>
          <t>https://africanmarketingconfederation.org/amc-conference-2022/</t>
        </is>
      </c>
      <c r="B10" s="4" t="n">
        <v>200</v>
      </c>
      <c r="C10" s="24" t="inlineStr">
        <is>
          <t>2xx</t>
        </is>
      </c>
      <c r="D10" s="24" t="n">
        <v>59</v>
      </c>
      <c r="E10" s="25" t="inlineStr">
        <is>
          <t>Warning</t>
        </is>
      </c>
      <c r="F10" s="24" t="inlineStr">
        <is>
          <t>Yes</t>
        </is>
      </c>
      <c r="G10" s="4" t="inlineStr">
        <is>
          <t>Indexable</t>
        </is>
      </c>
      <c r="H10" s="24" t="n">
        <v>55.03</v>
      </c>
      <c r="I10" s="24" t="n">
        <v>73.59</v>
      </c>
      <c r="J10" s="27" t="inlineStr">
        <is>
          <t>https://africanmarketingconfederation.org/amc-conference-2022/</t>
        </is>
      </c>
      <c r="K10" s="27" t="inlineStr">
        <is>
          <t>https</t>
        </is>
      </c>
      <c r="L10" s="24" t="n">
        <v>0</v>
      </c>
      <c r="M10" s="24" t="inlineStr">
        <is>
          <t>Copy Writer</t>
        </is>
      </c>
      <c r="N10" s="25" t="inlineStr">
        <is>
          <t>Open</t>
        </is>
      </c>
      <c r="O10" s="24" t="inlineStr"/>
      <c r="P10" s="24" t="inlineStr">
        <is>
          <t>WARN 🟡</t>
        </is>
      </c>
      <c r="Q10" s="24" t="inlineStr">
        <is>
          <t>https</t>
        </is>
      </c>
      <c r="R10" s="24" t="n">
        <v>0</v>
      </c>
      <c r="S10" s="24" t="inlineStr">
        <is>
          <t>text/html; charset=UTF-8</t>
        </is>
      </c>
      <c r="T10" s="27" t="inlineStr">
        <is>
          <t>HTTP/1.1</t>
        </is>
      </c>
      <c r="U10" s="24" t="b">
        <v>0</v>
      </c>
      <c r="V10" s="24" t="inlineStr">
        <is>
          <t>text/html; charset=UTF-8</t>
        </is>
      </c>
      <c r="W10" s="24" t="inlineStr">
        <is>
          <t>HTTP/1.1</t>
        </is>
      </c>
      <c r="X10" s="24" t="n">
        <v>324.66</v>
      </c>
      <c r="Y10" s="25" t="b">
        <v>0</v>
      </c>
      <c r="Z10" s="24" t="n"/>
      <c r="AA10" s="24" t="n"/>
      <c r="AB10" s="24" t="n"/>
      <c r="AC10" s="24" t="n"/>
      <c r="AD10" s="27" t="n"/>
      <c r="AE10" s="27" t="n"/>
      <c r="AF10" s="25" t="b">
        <v>0</v>
      </c>
      <c r="AG10" s="25" t="b">
        <v>0</v>
      </c>
      <c r="AH10" s="24" t="n">
        <v>0</v>
      </c>
      <c r="AI10" s="24" t="b">
        <v>0</v>
      </c>
      <c r="AJ10" s="24" t="n"/>
      <c r="AK10" s="24" t="b">
        <v>0</v>
      </c>
      <c r="AL10" s="25" t="b">
        <v>0</v>
      </c>
      <c r="AM10" s="24" t="b">
        <v>0</v>
      </c>
      <c r="AN10" s="24" t="b">
        <v>0</v>
      </c>
      <c r="AO10" s="24" t="n"/>
      <c r="AP10" s="24" t="n"/>
      <c r="AQ10" s="24" t="inlineStr">
        <is>
          <t>2026-01-21T00:07:32+00:00</t>
        </is>
      </c>
      <c r="AR10" s="24" t="inlineStr">
        <is>
          <t>2026-01-21T00:07:32+00:00</t>
        </is>
      </c>
      <c r="AS10" s="24" t="inlineStr">
        <is>
          <t>weekly</t>
        </is>
      </c>
      <c r="AT10" s="24" t="inlineStr">
        <is>
          <t>0.7</t>
        </is>
      </c>
      <c r="AU10" s="24" t="n">
        <v>0</v>
      </c>
      <c r="AV10" s="24" t="n">
        <v>2</v>
      </c>
      <c r="AW10" s="24" t="n">
        <v>7</v>
      </c>
      <c r="AX10" s="24" t="inlineStr">
        <is>
          <t>0</t>
        </is>
      </c>
      <c r="AY10" s="24" t="b">
        <v>1</v>
      </c>
      <c r="AZ10" s="24" t="b">
        <v>0</v>
      </c>
      <c r="BA10" s="24" t="b">
        <v>0</v>
      </c>
      <c r="BB10" s="24" t="n">
        <v>381</v>
      </c>
      <c r="BC10" s="24" t="n">
        <v>2399</v>
      </c>
      <c r="BD10" s="24" t="inlineStr">
        <is>
          <t>Near-duplicate meta description cluster</t>
        </is>
      </c>
      <c r="BE10" s="24" t="inlineStr">
        <is>
          <t>https://africanmarketingconfederation.org/amc-conference-2022/::missing_h1 | https://africanmarketingconfederation.org/amc-conference-2022/::low_aeo_readiness_score | https://africanmarketingconfederation.org/amc-conference-2022/::no_compression_header | https://africanmarketingconfederation.org/amc-conference-2022/::no_cache-control_header | https://africanmarketingconfederation.org/amc-conference-2022/::no_etag_header | https://africanmarketingconfederation.org/amc-conference-2022/::no_faq_qa_schema | https://africanmarketingconfederation.org/amc-conference-2022/::no_question_headings | https://africanmarketingconfederation.org/amc-conference-2022/::no_answer-friendly_structure | https://africanmarketingconfederation.org/amc-conference-2022/::no_40-60_word_answer_paragraphs</t>
        </is>
      </c>
      <c r="BF10" s="27" t="n">
        <v>1</v>
      </c>
      <c r="BG10" s="27" t="b">
        <v>0</v>
      </c>
      <c r="BH10">
        <f>IFERROR(HYPERLINK("#Main!A"&amp;MATCH(A10,Main!A:A,0),"Open"),HYPERLINK("#Main!A1","Open"))</f>
        <v/>
      </c>
    </row>
    <row r="11" ht="30" customHeight="1">
      <c r="A11" s="33" t="inlineStr">
        <is>
          <t>https://africanmarketingconfederation.org/amc-conference-2023/</t>
        </is>
      </c>
      <c r="B11" s="4" t="n">
        <v>200</v>
      </c>
      <c r="C11" s="6" t="inlineStr">
        <is>
          <t>2xx</t>
        </is>
      </c>
      <c r="D11" s="6" t="n">
        <v>69</v>
      </c>
      <c r="E11" s="25" t="inlineStr">
        <is>
          <t>Warning</t>
        </is>
      </c>
      <c r="F11" s="6" t="inlineStr">
        <is>
          <t>Yes</t>
        </is>
      </c>
      <c r="G11" s="4" t="inlineStr">
        <is>
          <t>Indexable</t>
        </is>
      </c>
      <c r="H11" s="6" t="n">
        <v>50.96</v>
      </c>
      <c r="I11" s="6" t="n">
        <v>74.11</v>
      </c>
      <c r="J11" s="30" t="inlineStr">
        <is>
          <t>https://africanmarketingconfederation.org/amc-conference-2023/</t>
        </is>
      </c>
      <c r="K11" s="30" t="inlineStr">
        <is>
          <t>https</t>
        </is>
      </c>
      <c r="L11" s="6" t="n">
        <v>0</v>
      </c>
      <c r="M11" s="6" t="inlineStr">
        <is>
          <t>Copy Writer</t>
        </is>
      </c>
      <c r="N11" s="25" t="inlineStr">
        <is>
          <t>Open</t>
        </is>
      </c>
      <c r="O11" s="6" t="inlineStr"/>
      <c r="P11" s="6" t="inlineStr">
        <is>
          <t>WARN 🟡</t>
        </is>
      </c>
      <c r="Q11" s="6" t="inlineStr">
        <is>
          <t>https</t>
        </is>
      </c>
      <c r="R11" s="6" t="n">
        <v>0</v>
      </c>
      <c r="S11" s="6" t="inlineStr">
        <is>
          <t>text/html; charset=UTF-8</t>
        </is>
      </c>
      <c r="T11" s="30" t="inlineStr">
        <is>
          <t>HTTP/1.1</t>
        </is>
      </c>
      <c r="U11" s="6" t="b">
        <v>0</v>
      </c>
      <c r="V11" s="6" t="inlineStr">
        <is>
          <t>text/html; charset=UTF-8</t>
        </is>
      </c>
      <c r="W11" s="6" t="inlineStr">
        <is>
          <t>HTTP/1.1</t>
        </is>
      </c>
      <c r="X11" s="6" t="n">
        <v>360.09</v>
      </c>
      <c r="Y11" s="25" t="b">
        <v>0</v>
      </c>
      <c r="Z11" s="6" t="n"/>
      <c r="AA11" s="6" t="n"/>
      <c r="AB11" s="6" t="n"/>
      <c r="AC11" s="6" t="n"/>
      <c r="AD11" s="30" t="n"/>
      <c r="AE11" s="30" t="n"/>
      <c r="AF11" s="25" t="b">
        <v>0</v>
      </c>
      <c r="AG11" s="25" t="b">
        <v>0</v>
      </c>
      <c r="AH11" s="6" t="n">
        <v>0</v>
      </c>
      <c r="AI11" s="6" t="b">
        <v>0</v>
      </c>
      <c r="AJ11" s="6" t="n"/>
      <c r="AK11" s="6" t="b">
        <v>0</v>
      </c>
      <c r="AL11" s="25" t="b">
        <v>0</v>
      </c>
      <c r="AM11" s="6" t="b">
        <v>0</v>
      </c>
      <c r="AN11" s="6" t="b">
        <v>0</v>
      </c>
      <c r="AO11" s="6" t="n"/>
      <c r="AP11" s="6" t="n"/>
      <c r="AQ11" s="6" t="inlineStr">
        <is>
          <t>2025-03-03T07:59:34+00:00</t>
        </is>
      </c>
      <c r="AR11" s="6" t="inlineStr">
        <is>
          <t>2025-03-03T07:59:34+00:00</t>
        </is>
      </c>
      <c r="AS11" s="6" t="inlineStr">
        <is>
          <t>weekly</t>
        </is>
      </c>
      <c r="AT11" s="6" t="inlineStr">
        <is>
          <t>0.7</t>
        </is>
      </c>
      <c r="AU11" s="6" t="n">
        <v>0</v>
      </c>
      <c r="AV11" s="6" t="n">
        <v>1</v>
      </c>
      <c r="AW11" s="6" t="n">
        <v>7</v>
      </c>
      <c r="AX11" s="6" t="inlineStr">
        <is>
          <t>0</t>
        </is>
      </c>
      <c r="AY11" s="6" t="b">
        <v>1</v>
      </c>
      <c r="AZ11" s="6" t="b">
        <v>0</v>
      </c>
      <c r="BA11" s="6" t="b">
        <v>0</v>
      </c>
      <c r="BB11" s="6" t="n">
        <v>381</v>
      </c>
      <c r="BC11" s="6" t="n">
        <v>2467</v>
      </c>
      <c r="BD11" s="6" t="n"/>
      <c r="BE11" s="6" t="inlineStr">
        <is>
          <t>https://africanmarketingconfederation.org/amc-conference-2023/::low_aeo_readiness_score | https://africanmarketingconfederation.org/amc-conference-2023/::no_compression_header | https://africanmarketingconfederation.org/amc-conference-2023/::no_cache-control_header | https://africanmarketingconfederation.org/amc-conference-2023/::no_etag_header | https://africanmarketingconfederation.org/amc-conference-2023/::no_faq_qa_schema | https://africanmarketingconfederation.org/amc-conference-2023/::no_question_headings | https://africanmarketingconfederation.org/amc-conference-2023/::no_answer-friendly_structure | https://africanmarketingconfederation.org/amc-conference-2023/::no_40-60_word_answer_paragraphs</t>
        </is>
      </c>
      <c r="BF11" s="30" t="n">
        <v>1</v>
      </c>
      <c r="BG11" s="30" t="b">
        <v>0</v>
      </c>
      <c r="BH11">
        <f>IFERROR(HYPERLINK("#Main!A"&amp;MATCH(A11,Main!A:A,0),"Open"),HYPERLINK("#Main!A1","Open"))</f>
        <v/>
      </c>
    </row>
    <row r="12" ht="30" customHeight="1">
      <c r="A12" s="33" t="inlineStr">
        <is>
          <t>https://africanmarketingconfederation.org/amc-conference-2023/amc-awards-book-now/</t>
        </is>
      </c>
      <c r="B12" s="4" t="n">
        <v>200</v>
      </c>
      <c r="C12" s="24" t="inlineStr">
        <is>
          <t>2xx</t>
        </is>
      </c>
      <c r="D12" s="24" t="n">
        <v>39</v>
      </c>
      <c r="E12" s="25" t="inlineStr">
        <is>
          <t>Warning</t>
        </is>
      </c>
      <c r="F12" s="24" t="inlineStr">
        <is>
          <t>Yes</t>
        </is>
      </c>
      <c r="G12" s="4" t="inlineStr">
        <is>
          <t>Indexable</t>
        </is>
      </c>
      <c r="H12" s="24" t="n">
        <v>86.2</v>
      </c>
      <c r="I12" s="24" t="n">
        <v>87.17</v>
      </c>
      <c r="J12" s="27" t="inlineStr">
        <is>
          <t>https://africanmarketingconfederation.org/amc-conference-2023/amc-awards-book-now/</t>
        </is>
      </c>
      <c r="K12" s="27" t="inlineStr">
        <is>
          <t>https</t>
        </is>
      </c>
      <c r="L12" s="24" t="n">
        <v>0</v>
      </c>
      <c r="M12" s="24" t="inlineStr">
        <is>
          <t>Copy Writer</t>
        </is>
      </c>
      <c r="N12" s="25" t="inlineStr">
        <is>
          <t>Open</t>
        </is>
      </c>
      <c r="O12" s="24" t="inlineStr"/>
      <c r="P12" s="24" t="inlineStr">
        <is>
          <t>WARN 🟡</t>
        </is>
      </c>
      <c r="Q12" s="24" t="inlineStr">
        <is>
          <t>https</t>
        </is>
      </c>
      <c r="R12" s="24" t="n">
        <v>0</v>
      </c>
      <c r="S12" s="24" t="inlineStr">
        <is>
          <t>text/html; charset=UTF-8</t>
        </is>
      </c>
      <c r="T12" s="27" t="inlineStr">
        <is>
          <t>HTTP/1.1</t>
        </is>
      </c>
      <c r="U12" s="24" t="b">
        <v>0</v>
      </c>
      <c r="V12" s="24" t="inlineStr">
        <is>
          <t>text/html; charset=UTF-8</t>
        </is>
      </c>
      <c r="W12" s="24" t="inlineStr">
        <is>
          <t>HTTP/1.1</t>
        </is>
      </c>
      <c r="X12" s="24" t="n">
        <v>228.69</v>
      </c>
      <c r="Y12" s="25" t="b">
        <v>0</v>
      </c>
      <c r="Z12" s="24" t="n"/>
      <c r="AA12" s="24" t="n"/>
      <c r="AB12" s="24" t="n"/>
      <c r="AC12" s="24" t="n"/>
      <c r="AD12" s="27" t="n"/>
      <c r="AE12" s="27" t="n"/>
      <c r="AF12" s="25" t="b">
        <v>0</v>
      </c>
      <c r="AG12" s="25" t="b">
        <v>0</v>
      </c>
      <c r="AH12" s="24" t="n">
        <v>0</v>
      </c>
      <c r="AI12" s="24" t="b">
        <v>0</v>
      </c>
      <c r="AJ12" s="24" t="n"/>
      <c r="AK12" s="24" t="b">
        <v>0</v>
      </c>
      <c r="AL12" s="25" t="b">
        <v>0</v>
      </c>
      <c r="AM12" s="24" t="b">
        <v>0</v>
      </c>
      <c r="AN12" s="24" t="b">
        <v>0</v>
      </c>
      <c r="AO12" s="24" t="n"/>
      <c r="AP12" s="24" t="n"/>
      <c r="AQ12" s="24" t="inlineStr">
        <is>
          <t>2023-08-22T14:14:41+00:00</t>
        </is>
      </c>
      <c r="AR12" s="24" t="inlineStr">
        <is>
          <t>2023-08-22T14:14:41+00:00</t>
        </is>
      </c>
      <c r="AS12" s="24" t="inlineStr">
        <is>
          <t>weekly</t>
        </is>
      </c>
      <c r="AT12" s="24" t="inlineStr">
        <is>
          <t>0.7</t>
        </is>
      </c>
      <c r="AU12" s="24" t="n">
        <v>0</v>
      </c>
      <c r="AV12" s="24" t="n">
        <v>4</v>
      </c>
      <c r="AW12" s="24" t="n">
        <v>7</v>
      </c>
      <c r="AX12" s="24" t="inlineStr">
        <is>
          <t>0</t>
        </is>
      </c>
      <c r="AY12" s="24" t="b">
        <v>1</v>
      </c>
      <c r="AZ12" s="24" t="b">
        <v>0</v>
      </c>
      <c r="BA12" s="24" t="b">
        <v>0</v>
      </c>
      <c r="BB12" s="24" t="n">
        <v>396</v>
      </c>
      <c r="BC12" s="24" t="n">
        <v>0</v>
      </c>
      <c r="BD12" s="24" t="n"/>
      <c r="BE12" s="24" t="inlineStr">
        <is>
          <t>https://africanmarketingconfederation.org/amc-conference-2023/amc-awards-book-now/::missing_meta_description | https://africanmarketingconfederation.org/amc-conference-2023/amc-awards-book-now/::missing_h1 | https://africanmarketingconfederation.org/amc-conference-2023/amc-awards-book-now/::thin_content | https://africanmarketingconfederation.org/amc-conference-2023/amc-awards-book-now/::low_aeo_readiness_score | https://africanmarketingconfederation.org/amc-conference-2023/amc-awards-book-now/::no_compression_header | https://africanmarketingconfederation.org/amc-conference-2023/amc-awards-book-now/::no_cache-control_header | https://africanmarketingconfederation.org/amc-conference-2023/amc-awards-book-now/::no_etag_header | https://africanmarketingconfederation.org/amc-conference-2023/amc-awards-book-now/::no_faq_qa_schema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t>
        </is>
      </c>
      <c r="BF12" s="27" t="n">
        <v>2</v>
      </c>
      <c r="BG12" s="27" t="b">
        <v>0</v>
      </c>
      <c r="BH12">
        <f>IFERROR(HYPERLINK("#Main!A"&amp;MATCH(A12,Main!A:A,0),"Open"),HYPERLINK("#Main!A1","Open"))</f>
        <v/>
      </c>
    </row>
    <row r="13" ht="30" customHeight="1">
      <c r="A13" s="33" t="inlineStr">
        <is>
          <t>https://africanmarketingconfederation.org/amc-conference-2023/amc-awards/</t>
        </is>
      </c>
      <c r="B13" s="4" t="n">
        <v>200</v>
      </c>
      <c r="C13" s="6" t="inlineStr">
        <is>
          <t>2xx</t>
        </is>
      </c>
      <c r="D13" s="6" t="n">
        <v>69</v>
      </c>
      <c r="E13" s="25" t="inlineStr">
        <is>
          <t>Warning</t>
        </is>
      </c>
      <c r="F13" s="6" t="inlineStr">
        <is>
          <t>Yes</t>
        </is>
      </c>
      <c r="G13" s="4" t="inlineStr">
        <is>
          <t>Indexable</t>
        </is>
      </c>
      <c r="H13" s="6" t="n">
        <v>47.98</v>
      </c>
      <c r="I13" s="6" t="n">
        <v>86.42</v>
      </c>
      <c r="J13" s="30" t="inlineStr">
        <is>
          <t>https://africanmarketingconfederation.org/amc-conference-2023/amc-awards/</t>
        </is>
      </c>
      <c r="K13" s="30" t="inlineStr">
        <is>
          <t>https</t>
        </is>
      </c>
      <c r="L13" s="6" t="n">
        <v>0</v>
      </c>
      <c r="M13" s="6" t="inlineStr">
        <is>
          <t>Copy Writer</t>
        </is>
      </c>
      <c r="N13" s="25" t="inlineStr">
        <is>
          <t>Open</t>
        </is>
      </c>
      <c r="O13" s="6" t="inlineStr"/>
      <c r="P13" s="6" t="inlineStr">
        <is>
          <t>WARN 🟡</t>
        </is>
      </c>
      <c r="Q13" s="6" t="inlineStr">
        <is>
          <t>https</t>
        </is>
      </c>
      <c r="R13" s="6" t="n">
        <v>0</v>
      </c>
      <c r="S13" s="6" t="inlineStr">
        <is>
          <t>text/html; charset=UTF-8</t>
        </is>
      </c>
      <c r="T13" s="30" t="inlineStr">
        <is>
          <t>HTTP/1.1</t>
        </is>
      </c>
      <c r="U13" s="6" t="b">
        <v>0</v>
      </c>
      <c r="V13" s="6" t="inlineStr">
        <is>
          <t>text/html; charset=UTF-8</t>
        </is>
      </c>
      <c r="W13" s="6" t="inlineStr">
        <is>
          <t>HTTP/1.1</t>
        </is>
      </c>
      <c r="X13" s="6" t="n">
        <v>261.62</v>
      </c>
      <c r="Y13" s="25" t="b">
        <v>0</v>
      </c>
      <c r="Z13" s="6" t="n"/>
      <c r="AA13" s="6" t="n"/>
      <c r="AB13" s="6" t="n"/>
      <c r="AC13" s="6" t="n"/>
      <c r="AD13" s="30" t="n"/>
      <c r="AE13" s="30" t="n"/>
      <c r="AF13" s="25" t="b">
        <v>0</v>
      </c>
      <c r="AG13" s="25" t="b">
        <v>0</v>
      </c>
      <c r="AH13" s="6" t="n">
        <v>0</v>
      </c>
      <c r="AI13" s="6" t="b">
        <v>0</v>
      </c>
      <c r="AJ13" s="6" t="n"/>
      <c r="AK13" s="6" t="b">
        <v>0</v>
      </c>
      <c r="AL13" s="25" t="b">
        <v>0</v>
      </c>
      <c r="AM13" s="6" t="b">
        <v>0</v>
      </c>
      <c r="AN13" s="6" t="b">
        <v>0</v>
      </c>
      <c r="AO13" s="6" t="n"/>
      <c r="AP13" s="6" t="n"/>
      <c r="AQ13" s="6" t="inlineStr">
        <is>
          <t>2023-11-23T11:51:22+00:00</t>
        </is>
      </c>
      <c r="AR13" s="6" t="inlineStr">
        <is>
          <t>2023-11-23T11:51:22+00:00</t>
        </is>
      </c>
      <c r="AS13" s="6" t="inlineStr">
        <is>
          <t>weekly</t>
        </is>
      </c>
      <c r="AT13" s="6" t="inlineStr">
        <is>
          <t>0.7</t>
        </is>
      </c>
      <c r="AU13" s="6" t="n">
        <v>0</v>
      </c>
      <c r="AV13" s="6" t="n">
        <v>1</v>
      </c>
      <c r="AW13" s="6" t="n">
        <v>7</v>
      </c>
      <c r="AX13" s="6" t="inlineStr">
        <is>
          <t>0</t>
        </is>
      </c>
      <c r="AY13" s="6" t="b">
        <v>1</v>
      </c>
      <c r="AZ13" s="6" t="b">
        <v>0</v>
      </c>
      <c r="BA13" s="6" t="b">
        <v>0</v>
      </c>
      <c r="BB13" s="6" t="n">
        <v>316</v>
      </c>
      <c r="BC13" s="6" t="n">
        <v>2678</v>
      </c>
      <c r="BD13" s="6" t="n"/>
      <c r="BE13" s="6" t="inlineStr">
        <is>
          <t>https://africanmarketingconfederation.org/amc-conference-2023/amc-awards/::low_aeo_readiness_score | https://africanmarketingconfederation.org/amc-conference-2023/amc-awards/::no_compression_header | https://africanmarketingconfederation.org/amc-conference-2023/amc-awards/::no_cache-control_header | https://africanmarketingconfederation.org/amc-conference-2023/amc-awards/::no_etag_header | https://africanmarketingconfederation.org/amc-conference-2023/amc-awards/::no_faq_qa_schema | https://africanmarketingconfederation.org/amc-conference-2023/amc-awards/::no_question_headings | https://africanmarketingconfederation.org/amc-conference-2023/amc-awards/::no_answer-friendly_structure | https://africanmarketingconfederation.org/amc-conference-2023/amc-awards/::no_40-60_word_answer_paragraphs</t>
        </is>
      </c>
      <c r="BF13" s="30" t="n">
        <v>2</v>
      </c>
      <c r="BG13" s="30" t="b">
        <v>0</v>
      </c>
      <c r="BH13">
        <f>IFERROR(HYPERLINK("#Main!A"&amp;MATCH(A13,Main!A:A,0),"Open"),HYPERLINK("#Main!A1","Open"))</f>
        <v/>
      </c>
    </row>
    <row r="14" ht="30" customHeight="1">
      <c r="A14" s="33" t="inlineStr">
        <is>
          <t>https://africanmarketingconfederation.org/amc-conference-2023/book-now-thank-you/</t>
        </is>
      </c>
      <c r="B14" s="4" t="n">
        <v>200</v>
      </c>
      <c r="C14" s="24" t="inlineStr">
        <is>
          <t>2xx</t>
        </is>
      </c>
      <c r="D14" s="24" t="n">
        <v>49</v>
      </c>
      <c r="E14" s="25" t="inlineStr">
        <is>
          <t>Warning</t>
        </is>
      </c>
      <c r="F14" s="24" t="inlineStr">
        <is>
          <t>Yes</t>
        </is>
      </c>
      <c r="G14" s="4" t="inlineStr">
        <is>
          <t>Indexable</t>
        </is>
      </c>
      <c r="H14" s="24" t="n">
        <v>67.02</v>
      </c>
      <c r="I14" s="24" t="n">
        <v>141.9</v>
      </c>
      <c r="J14" s="27" t="inlineStr">
        <is>
          <t>https://africanmarketingconfederation.org/amc-conference-2023/book-now-thank-you/</t>
        </is>
      </c>
      <c r="K14" s="27" t="inlineStr">
        <is>
          <t>https</t>
        </is>
      </c>
      <c r="L14" s="24" t="n">
        <v>0</v>
      </c>
      <c r="M14" s="24" t="inlineStr">
        <is>
          <t>Copy Writer</t>
        </is>
      </c>
      <c r="N14" s="25" t="inlineStr">
        <is>
          <t>Open</t>
        </is>
      </c>
      <c r="O14" s="24" t="inlineStr"/>
      <c r="P14" s="24" t="inlineStr">
        <is>
          <t>WARN 🟡</t>
        </is>
      </c>
      <c r="Q14" s="24" t="inlineStr">
        <is>
          <t>https</t>
        </is>
      </c>
      <c r="R14" s="24" t="n">
        <v>0</v>
      </c>
      <c r="S14" s="24" t="inlineStr">
        <is>
          <t>text/html; charset=UTF-8</t>
        </is>
      </c>
      <c r="T14" s="27" t="inlineStr">
        <is>
          <t>HTTP/1.1</t>
        </is>
      </c>
      <c r="U14" s="24" t="b">
        <v>0</v>
      </c>
      <c r="V14" s="24" t="inlineStr">
        <is>
          <t>text/html; charset=UTF-8</t>
        </is>
      </c>
      <c r="W14" s="24" t="inlineStr">
        <is>
          <t>HTTP/1.1</t>
        </is>
      </c>
      <c r="X14" s="24" t="n">
        <v>191.78</v>
      </c>
      <c r="Y14" s="25" t="b">
        <v>0</v>
      </c>
      <c r="Z14" s="24" t="n"/>
      <c r="AA14" s="24" t="n"/>
      <c r="AB14" s="24" t="n"/>
      <c r="AC14" s="24" t="n"/>
      <c r="AD14" s="27" t="n"/>
      <c r="AE14" s="27" t="n"/>
      <c r="AF14" s="25" t="b">
        <v>0</v>
      </c>
      <c r="AG14" s="25" t="b">
        <v>0</v>
      </c>
      <c r="AH14" s="24" t="n">
        <v>0</v>
      </c>
      <c r="AI14" s="24" t="b">
        <v>0</v>
      </c>
      <c r="AJ14" s="24" t="n"/>
      <c r="AK14" s="24" t="b">
        <v>0</v>
      </c>
      <c r="AL14" s="25" t="b">
        <v>0</v>
      </c>
      <c r="AM14" s="24" t="b">
        <v>0</v>
      </c>
      <c r="AN14" s="24" t="b">
        <v>0</v>
      </c>
      <c r="AO14" s="24" t="n"/>
      <c r="AP14" s="24" t="n"/>
      <c r="AQ14" s="24" t="inlineStr">
        <is>
          <t>2023-07-03T10:10:31+00:00</t>
        </is>
      </c>
      <c r="AR14" s="24" t="inlineStr">
        <is>
          <t>2023-07-03T10:10:31+00:00</t>
        </is>
      </c>
      <c r="AS14" s="24" t="inlineStr">
        <is>
          <t>weekly</t>
        </is>
      </c>
      <c r="AT14" s="24" t="inlineStr">
        <is>
          <t>0.7</t>
        </is>
      </c>
      <c r="AU14" s="24" t="n">
        <v>0</v>
      </c>
      <c r="AV14" s="24" t="n">
        <v>3</v>
      </c>
      <c r="AW14" s="24" t="n">
        <v>7</v>
      </c>
      <c r="AX14" s="24" t="inlineStr">
        <is>
          <t>0</t>
        </is>
      </c>
      <c r="AY14" s="24" t="b">
        <v>1</v>
      </c>
      <c r="AZ14" s="24" t="b">
        <v>0</v>
      </c>
      <c r="BA14" s="24" t="b">
        <v>0</v>
      </c>
      <c r="BB14" s="24" t="n">
        <v>388</v>
      </c>
      <c r="BC14" s="24" t="n">
        <v>2349</v>
      </c>
      <c r="BD14" s="24" t="n"/>
      <c r="BE14" s="24" t="inlineStr">
        <is>
          <t>https://africanmarketingconfederation.org/amc-conference-2023/book-now-thank-you/::missing_h1 | https://africanmarketingconfederation.org/amc-conference-2023/book-now-thank-you/::thin_content | https://africanmarketingconfederation.org/amc-conference-2023/book-now-thank-you/::low_aeo_readiness_score | https://africanmarketingconfederation.org/amc-conference-2023/book-now-thank-you/::no_compression_header | https://africanmarketingconfederation.org/amc-conference-2023/book-now-thank-you/::no_cache-control_header | https://africanmarketingconfederation.org/amc-conference-2023/book-now-thank-you/::no_etag_header | https://africanmarketingconfederation.org/amc-conference-2023/book-now-thank-you/::no_faq_qa_schema | https://africanmarketingconfederation.org/amc-conference-2023/book-now-thank-you/::no_question_headings | https://africanmarketingconfederation.org/amc-conference-2023/book-now-thank-you/::no_answer-friendly_structure | https://africanmarketingconfederation.org/amc-conference-2023/book-now-thank-you/::no_40-60_word_answer_paragraphs</t>
        </is>
      </c>
      <c r="BF14" s="27" t="n">
        <v>2</v>
      </c>
      <c r="BG14" s="27" t="b">
        <v>0</v>
      </c>
      <c r="BH14">
        <f>IFERROR(HYPERLINK("#Main!A"&amp;MATCH(A14,Main!A:A,0),"Open"),HYPERLINK("#Main!A1","Open"))</f>
        <v/>
      </c>
    </row>
    <row r="15" ht="30" customHeight="1">
      <c r="A15" s="33" t="inlineStr">
        <is>
          <t>https://africanmarketingconfederation.org/amc-conference-2023/book-now/</t>
        </is>
      </c>
      <c r="B15" s="4" t="n">
        <v>200</v>
      </c>
      <c r="C15" s="6" t="inlineStr">
        <is>
          <t>2xx</t>
        </is>
      </c>
      <c r="D15" s="6" t="n">
        <v>59</v>
      </c>
      <c r="E15" s="25" t="inlineStr">
        <is>
          <t>Warning</t>
        </is>
      </c>
      <c r="F15" s="6" t="inlineStr">
        <is>
          <t>Yes</t>
        </is>
      </c>
      <c r="G15" s="4" t="inlineStr">
        <is>
          <t>Indexable</t>
        </is>
      </c>
      <c r="H15" s="6" t="n">
        <v>81.34</v>
      </c>
      <c r="I15" s="6" t="n">
        <v>97.55</v>
      </c>
      <c r="J15" s="30" t="inlineStr">
        <is>
          <t>https://africanmarketingconfederation.org/amc-conference-2023/book-now/</t>
        </is>
      </c>
      <c r="K15" s="30" t="inlineStr">
        <is>
          <t>https</t>
        </is>
      </c>
      <c r="L15" s="6" t="n">
        <v>0</v>
      </c>
      <c r="M15" s="6" t="inlineStr">
        <is>
          <t>Copy Writer</t>
        </is>
      </c>
      <c r="N15" s="25" t="inlineStr">
        <is>
          <t>Open</t>
        </is>
      </c>
      <c r="O15" s="6" t="inlineStr"/>
      <c r="P15" s="6" t="inlineStr">
        <is>
          <t>WARN 🟡</t>
        </is>
      </c>
      <c r="Q15" s="6" t="inlineStr">
        <is>
          <t>https</t>
        </is>
      </c>
      <c r="R15" s="6" t="n">
        <v>0</v>
      </c>
      <c r="S15" s="6" t="inlineStr">
        <is>
          <t>text/html; charset=UTF-8</t>
        </is>
      </c>
      <c r="T15" s="30" t="inlineStr">
        <is>
          <t>HTTP/1.1</t>
        </is>
      </c>
      <c r="U15" s="6" t="b">
        <v>0</v>
      </c>
      <c r="V15" s="6" t="inlineStr">
        <is>
          <t>text/html; charset=UTF-8</t>
        </is>
      </c>
      <c r="W15" s="6" t="inlineStr">
        <is>
          <t>HTTP/1.1</t>
        </is>
      </c>
      <c r="X15" s="6" t="n">
        <v>265.02</v>
      </c>
      <c r="Y15" s="25" t="b">
        <v>0</v>
      </c>
      <c r="Z15" s="6" t="n"/>
      <c r="AA15" s="6" t="n"/>
      <c r="AB15" s="6" t="n"/>
      <c r="AC15" s="6" t="n"/>
      <c r="AD15" s="30" t="n"/>
      <c r="AE15" s="30" t="n"/>
      <c r="AF15" s="25" t="b">
        <v>0</v>
      </c>
      <c r="AG15" s="25" t="b">
        <v>0</v>
      </c>
      <c r="AH15" s="6" t="n">
        <v>0</v>
      </c>
      <c r="AI15" s="6" t="b">
        <v>0</v>
      </c>
      <c r="AJ15" s="6" t="n"/>
      <c r="AK15" s="6" t="b">
        <v>0</v>
      </c>
      <c r="AL15" s="25" t="b">
        <v>0</v>
      </c>
      <c r="AM15" s="6" t="b">
        <v>0</v>
      </c>
      <c r="AN15" s="6" t="b">
        <v>0</v>
      </c>
      <c r="AO15" s="6" t="n"/>
      <c r="AP15" s="6" t="n"/>
      <c r="AQ15" s="6" t="inlineStr">
        <is>
          <t>2023-08-21T11:57:28+00:00</t>
        </is>
      </c>
      <c r="AR15" s="6" t="inlineStr">
        <is>
          <t>2023-08-21T11:57:28+00:00</t>
        </is>
      </c>
      <c r="AS15" s="6" t="inlineStr">
        <is>
          <t>weekly</t>
        </is>
      </c>
      <c r="AT15" s="6" t="inlineStr">
        <is>
          <t>0.7</t>
        </is>
      </c>
      <c r="AU15" s="6" t="n">
        <v>0</v>
      </c>
      <c r="AV15" s="6" t="n">
        <v>2</v>
      </c>
      <c r="AW15" s="6" t="n">
        <v>7</v>
      </c>
      <c r="AX15" s="6" t="inlineStr">
        <is>
          <t>0</t>
        </is>
      </c>
      <c r="AY15" s="6" t="b">
        <v>1</v>
      </c>
      <c r="AZ15" s="6" t="b">
        <v>0</v>
      </c>
      <c r="BA15" s="6" t="b">
        <v>0</v>
      </c>
      <c r="BB15" s="6" t="n">
        <v>302</v>
      </c>
      <c r="BC15" s="6" t="n">
        <v>1959</v>
      </c>
      <c r="BD15" s="6" t="n"/>
      <c r="BE15" s="6" t="inlineStr">
        <is>
          <t>https://africanmarketingconfederation.org/amc-conference-2023/book-now/::thin_content | https://africanmarketingconfederation.org/amc-conference-2023/book-now/::low_aeo_readiness_score | https://africanmarketingconfederation.org/amc-conference-2023/book-now/::no_compression_header | https://africanmarketingconfederation.org/amc-conference-2023/book-now/::no_cache-control_header | https://africanmarketingconfederation.org/amc-conference-2023/book-now/::no_etag_header | https://africanmarketingconfederation.org/amc-conference-2023/book-now/::no_faq_qa_schema | https://africanmarketingconfederation.org/amc-conference-2023/book-now/::no_question_headings | https://africanmarketingconfederation.org/amc-conference-2023/book-now/::no_answer-friendly_structure | https://africanmarketingconfederation.org/amc-conference-2023/book-now/::no_40-60_word_answer_paragraphs</t>
        </is>
      </c>
      <c r="BF15" s="30" t="n">
        <v>2</v>
      </c>
      <c r="BG15" s="30" t="b">
        <v>0</v>
      </c>
      <c r="BH15">
        <f>IFERROR(HYPERLINK("#Main!A"&amp;MATCH(A15,Main!A:A,0),"Open"),HYPERLINK("#Main!A1","Open"))</f>
        <v/>
      </c>
    </row>
    <row r="16" ht="30" customHeight="1">
      <c r="A16" s="33" t="inlineStr">
        <is>
          <t>https://africanmarketingconfederation.org/amc-conference-2023/download-prospectus/</t>
        </is>
      </c>
      <c r="B16" s="4" t="n">
        <v>200</v>
      </c>
      <c r="C16" s="24" t="inlineStr">
        <is>
          <t>2xx</t>
        </is>
      </c>
      <c r="D16" s="24" t="n">
        <v>59</v>
      </c>
      <c r="E16" s="25" t="inlineStr">
        <is>
          <t>Warning</t>
        </is>
      </c>
      <c r="F16" s="24" t="inlineStr">
        <is>
          <t>Yes</t>
        </is>
      </c>
      <c r="G16" s="4" t="inlineStr">
        <is>
          <t>Indexable</t>
        </is>
      </c>
      <c r="H16" s="24" t="n">
        <v>70.40000000000001</v>
      </c>
      <c r="I16" s="24" t="n">
        <v>71.42</v>
      </c>
      <c r="J16" s="27" t="inlineStr">
        <is>
          <t>https://africanmarketingconfederation.org/amc-conference-2023/download-prospectus/</t>
        </is>
      </c>
      <c r="K16" s="27" t="inlineStr">
        <is>
          <t>https</t>
        </is>
      </c>
      <c r="L16" s="24" t="n">
        <v>0</v>
      </c>
      <c r="M16" s="24" t="inlineStr">
        <is>
          <t>Copy Writer</t>
        </is>
      </c>
      <c r="N16" s="25" t="inlineStr">
        <is>
          <t>Open</t>
        </is>
      </c>
      <c r="O16" s="24" t="inlineStr"/>
      <c r="P16" s="24" t="inlineStr">
        <is>
          <t>WARN 🟡</t>
        </is>
      </c>
      <c r="Q16" s="24" t="inlineStr">
        <is>
          <t>https</t>
        </is>
      </c>
      <c r="R16" s="24" t="n">
        <v>0</v>
      </c>
      <c r="S16" s="24" t="inlineStr">
        <is>
          <t>text/html; charset=UTF-8</t>
        </is>
      </c>
      <c r="T16" s="27" t="inlineStr">
        <is>
          <t>HTTP/1.1</t>
        </is>
      </c>
      <c r="U16" s="24" t="b">
        <v>0</v>
      </c>
      <c r="V16" s="24" t="inlineStr">
        <is>
          <t>text/html; charset=UTF-8</t>
        </is>
      </c>
      <c r="W16" s="24" t="inlineStr">
        <is>
          <t>HTTP/1.1</t>
        </is>
      </c>
      <c r="X16" s="24" t="n">
        <v>252.12</v>
      </c>
      <c r="Y16" s="25" t="b">
        <v>0</v>
      </c>
      <c r="Z16" s="24" t="n"/>
      <c r="AA16" s="24" t="n"/>
      <c r="AB16" s="24" t="n"/>
      <c r="AC16" s="24" t="n"/>
      <c r="AD16" s="27" t="n"/>
      <c r="AE16" s="27" t="n"/>
      <c r="AF16" s="25" t="b">
        <v>0</v>
      </c>
      <c r="AG16" s="25" t="b">
        <v>0</v>
      </c>
      <c r="AH16" s="24" t="n">
        <v>0</v>
      </c>
      <c r="AI16" s="24" t="b">
        <v>0</v>
      </c>
      <c r="AJ16" s="24" t="n"/>
      <c r="AK16" s="24" t="b">
        <v>0</v>
      </c>
      <c r="AL16" s="25" t="b">
        <v>0</v>
      </c>
      <c r="AM16" s="24" t="b">
        <v>0</v>
      </c>
      <c r="AN16" s="24" t="b">
        <v>0</v>
      </c>
      <c r="AO16" s="24" t="n"/>
      <c r="AP16" s="24" t="n"/>
      <c r="AQ16" s="24" t="inlineStr">
        <is>
          <t>2023-08-21T10:54:35+00:00</t>
        </is>
      </c>
      <c r="AR16" s="24" t="inlineStr">
        <is>
          <t>2023-08-21T10:54:35+00:00</t>
        </is>
      </c>
      <c r="AS16" s="24" t="inlineStr">
        <is>
          <t>weekly</t>
        </is>
      </c>
      <c r="AT16" s="24" t="inlineStr">
        <is>
          <t>0.7</t>
        </is>
      </c>
      <c r="AU16" s="24" t="n">
        <v>0</v>
      </c>
      <c r="AV16" s="24" t="n">
        <v>2</v>
      </c>
      <c r="AW16" s="24" t="n">
        <v>7</v>
      </c>
      <c r="AX16" s="24" t="inlineStr">
        <is>
          <t>0</t>
        </is>
      </c>
      <c r="AY16" s="24" t="b">
        <v>1</v>
      </c>
      <c r="AZ16" s="24" t="b">
        <v>0</v>
      </c>
      <c r="BA16" s="24" t="b">
        <v>0</v>
      </c>
      <c r="BB16" s="24" t="n">
        <v>381</v>
      </c>
      <c r="BC16" s="24" t="n">
        <v>2108</v>
      </c>
      <c r="BD16" s="24" t="n"/>
      <c r="BE16" s="24" t="inlineStr">
        <is>
          <t>https://africanmarketingconfederation.org/amc-conference-2023/download-prospectus/::thin_content | https://africanmarketingconfederation.org/amc-conference-2023/download-prospectus/::low_aeo_readiness_score | https://africanmarketingconfederation.org/amc-conference-2023/download-prospectus/::no_compression_header | https://africanmarketingconfederation.org/amc-conference-2023/download-prospectus/::no_cache-control_header | https://africanmarketingconfederation.org/amc-conference-2023/download-prospectus/::no_etag_header | https://africanmarketingconfederation.org/amc-conference-2023/download-prospectus/::no_faq_qa_schema | https://africanmarketingconfederation.org/amc-conference-2023/download-prospectus/::no_question_headings | https://africanmarketingconfederation.org/amc-conference-2023/download-prospectus/::no_answer-friendly_structure | https://africanmarketingconfederation.org/amc-conference-2023/download-prospectus/::no_40-60_word_answer_paragraphs</t>
        </is>
      </c>
      <c r="BF16" s="27" t="n">
        <v>2</v>
      </c>
      <c r="BG16" s="27" t="b">
        <v>0</v>
      </c>
      <c r="BH16">
        <f>IFERROR(HYPERLINK("#Main!A"&amp;MATCH(A16,Main!A:A,0),"Open"),HYPERLINK("#Main!A1","Open"))</f>
        <v/>
      </c>
    </row>
    <row r="17" ht="30" customHeight="1">
      <c r="A17" s="33" t="inlineStr">
        <is>
          <t>https://africanmarketingconfederation.org/amc-conference-2023/gallery/</t>
        </is>
      </c>
      <c r="B17" s="4" t="n">
        <v>200</v>
      </c>
      <c r="C17" s="6" t="inlineStr">
        <is>
          <t>2xx</t>
        </is>
      </c>
      <c r="D17" s="6" t="n">
        <v>59</v>
      </c>
      <c r="E17" s="25" t="inlineStr">
        <is>
          <t>Warning</t>
        </is>
      </c>
      <c r="F17" s="6" t="inlineStr">
        <is>
          <t>Yes</t>
        </is>
      </c>
      <c r="G17" s="4" t="inlineStr">
        <is>
          <t>Indexable</t>
        </is>
      </c>
      <c r="H17" s="6" t="n">
        <v>78.02</v>
      </c>
      <c r="I17" s="6" t="n">
        <v>121.11</v>
      </c>
      <c r="J17" s="30" t="inlineStr">
        <is>
          <t>https://africanmarketingconfederation.org/amc-conference-2023/gallery/</t>
        </is>
      </c>
      <c r="K17" s="30" t="inlineStr">
        <is>
          <t>https</t>
        </is>
      </c>
      <c r="L17" s="6" t="n">
        <v>0</v>
      </c>
      <c r="M17" s="6" t="inlineStr">
        <is>
          <t>Copy Writer</t>
        </is>
      </c>
      <c r="N17" s="25" t="inlineStr">
        <is>
          <t>Open</t>
        </is>
      </c>
      <c r="O17" s="6" t="inlineStr"/>
      <c r="P17" s="6" t="inlineStr">
        <is>
          <t>WARN 🟡</t>
        </is>
      </c>
      <c r="Q17" s="6" t="inlineStr">
        <is>
          <t>https</t>
        </is>
      </c>
      <c r="R17" s="6" t="n">
        <v>0</v>
      </c>
      <c r="S17" s="6" t="inlineStr">
        <is>
          <t>text/html; charset=UTF-8</t>
        </is>
      </c>
      <c r="T17" s="30" t="inlineStr">
        <is>
          <t>HTTP/1.1</t>
        </is>
      </c>
      <c r="U17" s="6" t="b">
        <v>0</v>
      </c>
      <c r="V17" s="6" t="inlineStr">
        <is>
          <t>text/html; charset=UTF-8</t>
        </is>
      </c>
      <c r="W17" s="6" t="inlineStr">
        <is>
          <t>HTTP/1.1</t>
        </is>
      </c>
      <c r="X17" s="6" t="n">
        <v>777.15</v>
      </c>
      <c r="Y17" s="25" t="b">
        <v>0</v>
      </c>
      <c r="Z17" s="6" t="n"/>
      <c r="AA17" s="6" t="n"/>
      <c r="AB17" s="6" t="n"/>
      <c r="AC17" s="6" t="n"/>
      <c r="AD17" s="30" t="n"/>
      <c r="AE17" s="30" t="n"/>
      <c r="AF17" s="25" t="b">
        <v>0</v>
      </c>
      <c r="AG17" s="25" t="b">
        <v>0</v>
      </c>
      <c r="AH17" s="6" t="n">
        <v>0</v>
      </c>
      <c r="AI17" s="6" t="b">
        <v>0</v>
      </c>
      <c r="AJ17" s="6" t="n"/>
      <c r="AK17" s="6" t="b">
        <v>0</v>
      </c>
      <c r="AL17" s="25" t="b">
        <v>0</v>
      </c>
      <c r="AM17" s="6" t="b">
        <v>0</v>
      </c>
      <c r="AN17" s="6" t="b">
        <v>0</v>
      </c>
      <c r="AO17" s="6" t="n"/>
      <c r="AP17" s="6" t="n"/>
      <c r="AQ17" s="6" t="inlineStr">
        <is>
          <t>2026-01-09T00:06:37+00:00</t>
        </is>
      </c>
      <c r="AR17" s="6" t="inlineStr">
        <is>
          <t>2026-01-09T00:06:37+00:00</t>
        </is>
      </c>
      <c r="AS17" s="6" t="inlineStr">
        <is>
          <t>weekly</t>
        </is>
      </c>
      <c r="AT17" s="6" t="inlineStr">
        <is>
          <t>0.7</t>
        </is>
      </c>
      <c r="AU17" s="6" t="n">
        <v>0</v>
      </c>
      <c r="AV17" s="6" t="n">
        <v>2</v>
      </c>
      <c r="AW17" s="6" t="n">
        <v>7</v>
      </c>
      <c r="AX17" s="6" t="inlineStr">
        <is>
          <t>0</t>
        </is>
      </c>
      <c r="AY17" s="6" t="b">
        <v>1</v>
      </c>
      <c r="AZ17" s="6" t="b">
        <v>0</v>
      </c>
      <c r="BA17" s="6" t="b">
        <v>0</v>
      </c>
      <c r="BB17" s="6" t="n">
        <v>295</v>
      </c>
      <c r="BC17" s="6" t="n">
        <v>545</v>
      </c>
      <c r="BD17" s="6" t="inlineStr">
        <is>
          <t>Near-duplicate meta description cluster</t>
        </is>
      </c>
      <c r="BE17" s="6" t="inlineStr">
        <is>
          <t>https://africanmarketingconfederation.org/amc-conference-2023/gallery/::thin_content | https://africanmarketingconfederation.org/amc-conference-2023/gallery/::low_aeo_readiness_score | https://africanmarketingconfederation.org/amc-conference-2023/gallery/::no_compression_header | https://africanmarketingconfederation.org/amc-conference-2023/gallery/::no_cache-control_header | https://africanmarketingconfederation.org/amc-conference-2023/gallery/::no_etag_header | https://africanmarketingconfederation.org/amc-conference-2023/gallery/::no_faq_qa_schema | https://africanmarketingconfederation.org/amc-conference-2023/gallery/::no_question_headings | https://africanmarketingconfederation.org/amc-conference-2023/gallery/::no_answer-friendly_structure | https://africanmarketingconfederation.org/amc-conference-2023/gallery/::no_40-60_word_answer_paragraphs</t>
        </is>
      </c>
      <c r="BF17" s="30" t="n">
        <v>2</v>
      </c>
      <c r="BG17" s="30" t="b">
        <v>0</v>
      </c>
      <c r="BH17">
        <f>IFERROR(HYPERLINK("#Main!A"&amp;MATCH(A17,Main!A:A,0),"Open"),HYPERLINK("#Main!A1","Open"))</f>
        <v/>
      </c>
    </row>
    <row r="18" ht="30" customHeight="1">
      <c r="A18" s="33" t="inlineStr">
        <is>
          <t>https://africanmarketingconfederation.org/amc-conference-2023/partners/</t>
        </is>
      </c>
      <c r="B18" s="4" t="n">
        <v>200</v>
      </c>
      <c r="C18" s="24" t="inlineStr">
        <is>
          <t>2xx</t>
        </is>
      </c>
      <c r="D18" s="24" t="n">
        <v>59</v>
      </c>
      <c r="E18" s="25" t="inlineStr">
        <is>
          <t>Warning</t>
        </is>
      </c>
      <c r="F18" s="24" t="inlineStr">
        <is>
          <t>Yes</t>
        </is>
      </c>
      <c r="G18" s="4" t="inlineStr">
        <is>
          <t>Indexable</t>
        </is>
      </c>
      <c r="H18" s="24" t="n">
        <v>48.24</v>
      </c>
      <c r="I18" s="24" t="n">
        <v>66.7</v>
      </c>
      <c r="J18" s="27" t="inlineStr">
        <is>
          <t>https://africanmarketingconfederation.org/amc-conference-2023/partners/</t>
        </is>
      </c>
      <c r="K18" s="27" t="inlineStr">
        <is>
          <t>https</t>
        </is>
      </c>
      <c r="L18" s="24" t="n">
        <v>0</v>
      </c>
      <c r="M18" s="24" t="inlineStr">
        <is>
          <t>Copy Writer</t>
        </is>
      </c>
      <c r="N18" s="25" t="inlineStr">
        <is>
          <t>Open</t>
        </is>
      </c>
      <c r="O18" s="24" t="inlineStr"/>
      <c r="P18" s="24" t="inlineStr">
        <is>
          <t>WARN 🟡</t>
        </is>
      </c>
      <c r="Q18" s="24" t="inlineStr">
        <is>
          <t>https</t>
        </is>
      </c>
      <c r="R18" s="24" t="n">
        <v>0</v>
      </c>
      <c r="S18" s="24" t="inlineStr">
        <is>
          <t>text/html; charset=UTF-8</t>
        </is>
      </c>
      <c r="T18" s="27" t="inlineStr">
        <is>
          <t>HTTP/1.1</t>
        </is>
      </c>
      <c r="U18" s="24" t="b">
        <v>0</v>
      </c>
      <c r="V18" s="24" t="inlineStr">
        <is>
          <t>text/html; charset=UTF-8</t>
        </is>
      </c>
      <c r="W18" s="24" t="inlineStr">
        <is>
          <t>HTTP/1.1</t>
        </is>
      </c>
      <c r="X18" s="24" t="n">
        <v>275.86</v>
      </c>
      <c r="Y18" s="25" t="b">
        <v>0</v>
      </c>
      <c r="Z18" s="24" t="n"/>
      <c r="AA18" s="24" t="n"/>
      <c r="AB18" s="24" t="n"/>
      <c r="AC18" s="24" t="n"/>
      <c r="AD18" s="27" t="n"/>
      <c r="AE18" s="27" t="n"/>
      <c r="AF18" s="25" t="b">
        <v>0</v>
      </c>
      <c r="AG18" s="25" t="b">
        <v>0</v>
      </c>
      <c r="AH18" s="24" t="n">
        <v>0</v>
      </c>
      <c r="AI18" s="24" t="b">
        <v>0</v>
      </c>
      <c r="AJ18" s="24" t="n"/>
      <c r="AK18" s="24" t="b">
        <v>0</v>
      </c>
      <c r="AL18" s="25" t="b">
        <v>0</v>
      </c>
      <c r="AM18" s="24" t="b">
        <v>0</v>
      </c>
      <c r="AN18" s="24" t="b">
        <v>0</v>
      </c>
      <c r="AO18" s="24" t="n"/>
      <c r="AP18" s="24" t="n"/>
      <c r="AQ18" s="24" t="inlineStr">
        <is>
          <t>2023-08-24T11:13:02+00:00</t>
        </is>
      </c>
      <c r="AR18" s="24" t="inlineStr">
        <is>
          <t>2023-08-24T11:13:02+00:00</t>
        </is>
      </c>
      <c r="AS18" s="24" t="inlineStr">
        <is>
          <t>weekly</t>
        </is>
      </c>
      <c r="AT18" s="24" t="inlineStr">
        <is>
          <t>0.7</t>
        </is>
      </c>
      <c r="AU18" s="24" t="n">
        <v>0</v>
      </c>
      <c r="AV18" s="24" t="n">
        <v>2</v>
      </c>
      <c r="AW18" s="24" t="n">
        <v>7</v>
      </c>
      <c r="AX18" s="24" t="inlineStr">
        <is>
          <t>0</t>
        </is>
      </c>
      <c r="AY18" s="24" t="b">
        <v>1</v>
      </c>
      <c r="AZ18" s="24" t="b">
        <v>0</v>
      </c>
      <c r="BA18" s="24" t="b">
        <v>0</v>
      </c>
      <c r="BB18" s="24" t="n">
        <v>302</v>
      </c>
      <c r="BC18" s="24" t="n">
        <v>229</v>
      </c>
      <c r="BD18" s="24" t="n"/>
      <c r="BE18" s="24" t="inlineStr">
        <is>
          <t>https://africanmarketingconfederation.org/amc-conference-2023/partners/::thin_content | https://africanmarketingconfederation.org/amc-conference-2023/partners/::low_aeo_readiness_score | https://africanmarketingconfederation.org/amc-conference-2023/partners/::no_compression_header | https://africanmarketingconfederation.org/amc-conference-2023/partners/::no_cache-control_header | https://africanmarketingconfederation.org/amc-conference-2023/partners/::no_etag_header | https://africanmarketingconfederation.org/amc-conference-2023/partners/::no_faq_qa_schema | https://africanmarketingconfederation.org/amc-conference-2023/partners/::no_question_headings | https://africanmarketingconfederation.org/amc-conference-2023/partners/::no_answer-friendly_structure | https://africanmarketingconfederation.org/amc-conference-2023/partners/::no_40-60_word_answer_paragraphs</t>
        </is>
      </c>
      <c r="BF18" s="27" t="n">
        <v>2</v>
      </c>
      <c r="BG18" s="27" t="b">
        <v>0</v>
      </c>
      <c r="BH18">
        <f>IFERROR(HYPERLINK("#Main!A"&amp;MATCH(A18,Main!A:A,0),"Open"),HYPERLINK("#Main!A1","Open"))</f>
        <v/>
      </c>
    </row>
    <row r="19" ht="30" customHeight="1">
      <c r="A19" s="33" t="inlineStr">
        <is>
          <t>https://africanmarketingconfederation.org/amc-conference-2023/programme/</t>
        </is>
      </c>
      <c r="B19" s="4" t="n">
        <v>200</v>
      </c>
      <c r="C19" s="6" t="inlineStr">
        <is>
          <t>2xx</t>
        </is>
      </c>
      <c r="D19" s="6" t="n">
        <v>69</v>
      </c>
      <c r="E19" s="25" t="inlineStr">
        <is>
          <t>Warning</t>
        </is>
      </c>
      <c r="F19" s="6" t="inlineStr">
        <is>
          <t>Yes</t>
        </is>
      </c>
      <c r="G19" s="4" t="inlineStr">
        <is>
          <t>Indexable</t>
        </is>
      </c>
      <c r="H19" s="6" t="n">
        <v>105.28</v>
      </c>
      <c r="I19" s="6" t="n">
        <v>106.28</v>
      </c>
      <c r="J19" s="30" t="inlineStr">
        <is>
          <t>https://africanmarketingconfederation.org/amc-conference-2023/programme/</t>
        </is>
      </c>
      <c r="K19" s="30" t="inlineStr">
        <is>
          <t>https</t>
        </is>
      </c>
      <c r="L19" s="6" t="n">
        <v>0</v>
      </c>
      <c r="M19" s="6" t="inlineStr">
        <is>
          <t>Copy Writer</t>
        </is>
      </c>
      <c r="N19" s="25" t="inlineStr">
        <is>
          <t>Open</t>
        </is>
      </c>
      <c r="O19" s="6" t="inlineStr"/>
      <c r="P19" s="6" t="inlineStr">
        <is>
          <t>WARN 🟡</t>
        </is>
      </c>
      <c r="Q19" s="6" t="inlineStr">
        <is>
          <t>https</t>
        </is>
      </c>
      <c r="R19" s="6" t="n">
        <v>0</v>
      </c>
      <c r="S19" s="6" t="inlineStr">
        <is>
          <t>text/html; charset=UTF-8</t>
        </is>
      </c>
      <c r="T19" s="30" t="inlineStr">
        <is>
          <t>HTTP/1.1</t>
        </is>
      </c>
      <c r="U19" s="6" t="b">
        <v>0</v>
      </c>
      <c r="V19" s="6" t="inlineStr">
        <is>
          <t>text/html; charset=UTF-8</t>
        </is>
      </c>
      <c r="W19" s="6" t="inlineStr">
        <is>
          <t>HTTP/1.1</t>
        </is>
      </c>
      <c r="X19" s="6" t="n">
        <v>369.66</v>
      </c>
      <c r="Y19" s="25" t="b">
        <v>0</v>
      </c>
      <c r="Z19" s="6" t="n"/>
      <c r="AA19" s="6" t="n"/>
      <c r="AB19" s="6" t="n"/>
      <c r="AC19" s="6" t="n"/>
      <c r="AD19" s="30" t="n"/>
      <c r="AE19" s="30" t="n"/>
      <c r="AF19" s="25" t="b">
        <v>0</v>
      </c>
      <c r="AG19" s="25" t="b">
        <v>0</v>
      </c>
      <c r="AH19" s="6" t="n">
        <v>0</v>
      </c>
      <c r="AI19" s="6" t="b">
        <v>0</v>
      </c>
      <c r="AJ19" s="6" t="n"/>
      <c r="AK19" s="6" t="b">
        <v>0</v>
      </c>
      <c r="AL19" s="25" t="b">
        <v>0</v>
      </c>
      <c r="AM19" s="6" t="b">
        <v>0</v>
      </c>
      <c r="AN19" s="6" t="b">
        <v>0</v>
      </c>
      <c r="AO19" s="6" t="n"/>
      <c r="AP19" s="6" t="n"/>
      <c r="AQ19" s="6" t="inlineStr">
        <is>
          <t>2023-11-23T11:27:20+00:00</t>
        </is>
      </c>
      <c r="AR19" s="6" t="inlineStr">
        <is>
          <t>2023-11-23T11:27:20+00:00</t>
        </is>
      </c>
      <c r="AS19" s="6" t="inlineStr">
        <is>
          <t>weekly</t>
        </is>
      </c>
      <c r="AT19" s="6" t="inlineStr">
        <is>
          <t>0.7</t>
        </is>
      </c>
      <c r="AU19" s="6" t="n">
        <v>0</v>
      </c>
      <c r="AV19" s="6" t="n">
        <v>1</v>
      </c>
      <c r="AW19" s="6" t="n">
        <v>7</v>
      </c>
      <c r="AX19" s="6" t="inlineStr">
        <is>
          <t>0</t>
        </is>
      </c>
      <c r="AY19" s="6" t="b">
        <v>1</v>
      </c>
      <c r="AZ19" s="6" t="b">
        <v>0</v>
      </c>
      <c r="BA19" s="6" t="b">
        <v>0</v>
      </c>
      <c r="BB19" s="6" t="n">
        <v>309</v>
      </c>
      <c r="BC19" s="6" t="n">
        <v>2244</v>
      </c>
      <c r="BD19" s="6" t="n"/>
      <c r="BE19" s="6" t="inlineStr">
        <is>
          <t>https://africanmarketingconfederation.org/amc-conference-2023/programme/::low_aeo_readiness_score | https://africanmarketingconfederation.org/amc-conference-2023/programme/::no_compression_header | https://africanmarketingconfederation.org/amc-conference-2023/programme/::no_cache-control_header | https://africanmarketingconfederation.org/amc-conference-2023/programme/::no_etag_header | https://africanmarketingconfederation.org/amc-conference-2023/programme/::no_faq_qa_schema | https://africanmarketingconfederation.org/amc-conference-2023/programme/::no_question_headings | https://africanmarketingconfederation.org/amc-conference-2023/programme/::no_answer-friendly_structure | https://africanmarketingconfederation.org/amc-conference-2023/programme/::no_40-60_word_answer_paragraphs</t>
        </is>
      </c>
      <c r="BF19" s="30" t="n">
        <v>2</v>
      </c>
      <c r="BG19" s="30" t="b">
        <v>0</v>
      </c>
      <c r="BH19">
        <f>IFERROR(HYPERLINK("#Main!A"&amp;MATCH(A19,Main!A:A,0),"Open"),HYPERLINK("#Main!A1","Open"))</f>
        <v/>
      </c>
    </row>
    <row r="20" ht="30" customHeight="1">
      <c r="A20" s="33" t="inlineStr">
        <is>
          <t>https://africanmarketingconfederation.org/amc-conference-2023/speakers/</t>
        </is>
      </c>
      <c r="B20" s="4" t="n">
        <v>200</v>
      </c>
      <c r="C20" s="24" t="inlineStr">
        <is>
          <t>2xx</t>
        </is>
      </c>
      <c r="D20" s="24" t="n">
        <v>69</v>
      </c>
      <c r="E20" s="25" t="inlineStr">
        <is>
          <t>Warning</t>
        </is>
      </c>
      <c r="F20" s="24" t="inlineStr">
        <is>
          <t>Yes</t>
        </is>
      </c>
      <c r="G20" s="4" t="inlineStr">
        <is>
          <t>Indexable</t>
        </is>
      </c>
      <c r="H20" s="24" t="n">
        <v>175.99</v>
      </c>
      <c r="I20" s="24" t="n">
        <v>177</v>
      </c>
      <c r="J20" s="27" t="inlineStr">
        <is>
          <t>https://africanmarketingconfederation.org/amc-conference-2023/speakers/</t>
        </is>
      </c>
      <c r="K20" s="27" t="inlineStr">
        <is>
          <t>https</t>
        </is>
      </c>
      <c r="L20" s="24" t="n">
        <v>0</v>
      </c>
      <c r="M20" s="24" t="inlineStr">
        <is>
          <t>Copy Writer</t>
        </is>
      </c>
      <c r="N20" s="25" t="inlineStr">
        <is>
          <t>Open</t>
        </is>
      </c>
      <c r="O20" s="24" t="inlineStr"/>
      <c r="P20" s="24" t="inlineStr">
        <is>
          <t>WARN 🟡</t>
        </is>
      </c>
      <c r="Q20" s="24" t="inlineStr">
        <is>
          <t>https</t>
        </is>
      </c>
      <c r="R20" s="24" t="n">
        <v>0</v>
      </c>
      <c r="S20" s="24" t="inlineStr">
        <is>
          <t>text/html; charset=UTF-8</t>
        </is>
      </c>
      <c r="T20" s="27" t="inlineStr">
        <is>
          <t>HTTP/1.1</t>
        </is>
      </c>
      <c r="U20" s="24" t="b">
        <v>0</v>
      </c>
      <c r="V20" s="24" t="inlineStr">
        <is>
          <t>text/html; charset=UTF-8</t>
        </is>
      </c>
      <c r="W20" s="24" t="inlineStr">
        <is>
          <t>HTTP/1.1</t>
        </is>
      </c>
      <c r="X20" s="24" t="n">
        <v>447.06</v>
      </c>
      <c r="Y20" s="25" t="b">
        <v>0</v>
      </c>
      <c r="Z20" s="24" t="n"/>
      <c r="AA20" s="24" t="n"/>
      <c r="AB20" s="24" t="n"/>
      <c r="AC20" s="24" t="n"/>
      <c r="AD20" s="27" t="n"/>
      <c r="AE20" s="27" t="n"/>
      <c r="AF20" s="25" t="b">
        <v>0</v>
      </c>
      <c r="AG20" s="25" t="b">
        <v>0</v>
      </c>
      <c r="AH20" s="24" t="n">
        <v>0</v>
      </c>
      <c r="AI20" s="24" t="b">
        <v>0</v>
      </c>
      <c r="AJ20" s="24" t="n"/>
      <c r="AK20" s="24" t="b">
        <v>0</v>
      </c>
      <c r="AL20" s="25" t="b">
        <v>0</v>
      </c>
      <c r="AM20" s="24" t="b">
        <v>0</v>
      </c>
      <c r="AN20" s="24" t="b">
        <v>0</v>
      </c>
      <c r="AO20" s="24" t="n"/>
      <c r="AP20" s="24" t="n"/>
      <c r="AQ20" s="24" t="inlineStr">
        <is>
          <t>2023-08-24T10:11:48+00:00</t>
        </is>
      </c>
      <c r="AR20" s="24" t="inlineStr">
        <is>
          <t>2023-08-24T10:11:48+00:00</t>
        </is>
      </c>
      <c r="AS20" s="24" t="inlineStr">
        <is>
          <t>weekly</t>
        </is>
      </c>
      <c r="AT20" s="24" t="inlineStr">
        <is>
          <t>0.7</t>
        </is>
      </c>
      <c r="AU20" s="24" t="n">
        <v>0</v>
      </c>
      <c r="AV20" s="24" t="n">
        <v>1</v>
      </c>
      <c r="AW20" s="24" t="n">
        <v>7</v>
      </c>
      <c r="AX20" s="24" t="inlineStr">
        <is>
          <t>0</t>
        </is>
      </c>
      <c r="AY20" s="24" t="b">
        <v>1</v>
      </c>
      <c r="AZ20" s="24" t="b">
        <v>0</v>
      </c>
      <c r="BA20" s="24" t="b">
        <v>0</v>
      </c>
      <c r="BB20" s="24" t="n">
        <v>302</v>
      </c>
      <c r="BC20" s="24" t="n">
        <v>2194</v>
      </c>
      <c r="BD20" s="24" t="inlineStr">
        <is>
          <t>Near-duplicate title cluster</t>
        </is>
      </c>
      <c r="BE20" s="24" t="inlineStr">
        <is>
          <t>https://africanmarketingconfederation.org/amc-conference-2023/speakers/::low_aeo_readiness_score | https://africanmarketingconfederation.org/amc-conference-2023/speakers/::no_compression_header | https://africanmarketingconfederation.org/amc-conference-2023/speakers/::no_cache-control_header | https://africanmarketingconfederation.org/amc-conference-2023/speakers/::no_etag_header | https://africanmarketingconfederation.org/amc-conference-2023/speakers/::no_faq_qa_schema | https://africanmarketingconfederation.org/amc-conference-2023/speakers/::no_question_headings | https://africanmarketingconfederation.org/amc-conference-2023/speakers/::no_answer-friendly_structure | https://africanmarketingconfederation.org/amc-conference-2023/speakers/::no_40-60_word_answer_paragraphs</t>
        </is>
      </c>
      <c r="BF20" s="27" t="n">
        <v>2</v>
      </c>
      <c r="BG20" s="27" t="b">
        <v>0</v>
      </c>
      <c r="BH20">
        <f>IFERROR(HYPERLINK("#Main!A"&amp;MATCH(A20,Main!A:A,0),"Open"),HYPERLINK("#Main!A1","Open"))</f>
        <v/>
      </c>
    </row>
    <row r="21" ht="30" customHeight="1">
      <c r="A21" s="33" t="inlineStr">
        <is>
          <t>https://africanmarketingconfederation.org/amc-conference-2024-recap/</t>
        </is>
      </c>
      <c r="B21" s="4" t="n">
        <v>200</v>
      </c>
      <c r="C21" s="6" t="inlineStr">
        <is>
          <t>2xx</t>
        </is>
      </c>
      <c r="D21" s="6" t="n">
        <v>59</v>
      </c>
      <c r="E21" s="25" t="inlineStr">
        <is>
          <t>Warning</t>
        </is>
      </c>
      <c r="F21" s="6" t="inlineStr">
        <is>
          <t>Yes</t>
        </is>
      </c>
      <c r="G21" s="4" t="inlineStr">
        <is>
          <t>Indexable</t>
        </is>
      </c>
      <c r="H21" s="6" t="n">
        <v>303.02</v>
      </c>
      <c r="I21" s="6" t="n">
        <v>304.02</v>
      </c>
      <c r="J21" s="30" t="inlineStr">
        <is>
          <t>https://africanmarketingconfederation.org/amc-conference-2024-recap/</t>
        </is>
      </c>
      <c r="K21" s="30" t="inlineStr">
        <is>
          <t>https</t>
        </is>
      </c>
      <c r="L21" s="6" t="n">
        <v>0</v>
      </c>
      <c r="M21" s="6" t="inlineStr">
        <is>
          <t>Copy Writer</t>
        </is>
      </c>
      <c r="N21" s="25" t="inlineStr">
        <is>
          <t>Open</t>
        </is>
      </c>
      <c r="O21" s="6" t="inlineStr"/>
      <c r="P21" s="6" t="inlineStr">
        <is>
          <t>WARN 🟡</t>
        </is>
      </c>
      <c r="Q21" s="6" t="inlineStr">
        <is>
          <t>https</t>
        </is>
      </c>
      <c r="R21" s="6" t="n">
        <v>0</v>
      </c>
      <c r="S21" s="6" t="inlineStr">
        <is>
          <t>text/html; charset=UTF-8</t>
        </is>
      </c>
      <c r="T21" s="30" t="inlineStr">
        <is>
          <t>HTTP/1.1</t>
        </is>
      </c>
      <c r="U21" s="6" t="b">
        <v>0</v>
      </c>
      <c r="V21" s="6" t="inlineStr">
        <is>
          <t>text/html; charset=UTF-8</t>
        </is>
      </c>
      <c r="W21" s="6" t="inlineStr">
        <is>
          <t>HTTP/1.1</t>
        </is>
      </c>
      <c r="X21" s="6" t="n">
        <v>543.08</v>
      </c>
      <c r="Y21" s="25" t="b">
        <v>0</v>
      </c>
      <c r="Z21" s="6" t="n"/>
      <c r="AA21" s="6" t="n"/>
      <c r="AB21" s="6" t="n"/>
      <c r="AC21" s="6" t="n"/>
      <c r="AD21" s="30" t="n"/>
      <c r="AE21" s="30" t="n"/>
      <c r="AF21" s="25" t="b">
        <v>0</v>
      </c>
      <c r="AG21" s="25" t="b">
        <v>0</v>
      </c>
      <c r="AH21" s="6" t="n">
        <v>0</v>
      </c>
      <c r="AI21" s="6" t="b">
        <v>0</v>
      </c>
      <c r="AJ21" s="6" t="n"/>
      <c r="AK21" s="6" t="b">
        <v>0</v>
      </c>
      <c r="AL21" s="25" t="b">
        <v>0</v>
      </c>
      <c r="AM21" s="6" t="b">
        <v>0</v>
      </c>
      <c r="AN21" s="6" t="b">
        <v>0</v>
      </c>
      <c r="AO21" s="6" t="n"/>
      <c r="AP21" s="6" t="n"/>
      <c r="AQ21" s="6" t="inlineStr">
        <is>
          <t>2025-09-04T11:53:34+00:00</t>
        </is>
      </c>
      <c r="AR21" s="6" t="inlineStr">
        <is>
          <t>2025-09-04T11:53:34+00:00</t>
        </is>
      </c>
      <c r="AS21" s="6" t="inlineStr">
        <is>
          <t>weekly</t>
        </is>
      </c>
      <c r="AT21" s="6" t="inlineStr">
        <is>
          <t>0.7</t>
        </is>
      </c>
      <c r="AU21" s="6" t="n">
        <v>0</v>
      </c>
      <c r="AV21" s="6" t="n">
        <v>2</v>
      </c>
      <c r="AW21" s="6" t="n">
        <v>7</v>
      </c>
      <c r="AX21" s="6" t="inlineStr">
        <is>
          <t>0</t>
        </is>
      </c>
      <c r="AY21" s="6" t="b">
        <v>1</v>
      </c>
      <c r="AZ21" s="6" t="b">
        <v>0</v>
      </c>
      <c r="BA21" s="6" t="b">
        <v>0</v>
      </c>
      <c r="BB21" s="6" t="n">
        <v>424</v>
      </c>
      <c r="BC21" s="6" t="n">
        <v>2337</v>
      </c>
      <c r="BD21" s="6" t="n"/>
      <c r="BE21" s="6" t="inlineStr">
        <is>
          <t>https://africanmarketingconfederation.org/amc-conference-2024-recap/::multiple_h1 | https://africanmarketingconfederation.org/amc-conference-2024-recap/::low_aeo_readiness_score | https://africanmarketingconfederation.org/amc-conference-2024-recap/::no_compression_header | https://africanmarketingconfederation.org/amc-conference-2024-recap/::no_cache-control_header | https://africanmarketingconfederation.org/amc-conference-2024-recap/::no_etag_header | https://africanmarketingconfederation.org/amc-conference-2024-recap/::no_faq_qa_schema | https://africanmarketingconfederation.org/amc-conference-2024-recap/::no_question_headings | https://africanmarketingconfederation.org/amc-conference-2024-recap/::no_answer-friendly_structure | https://africanmarketingconfederation.org/amc-conference-2024-recap/::no_40-60_word_answer_paragraphs</t>
        </is>
      </c>
      <c r="BF21" s="30" t="n">
        <v>1</v>
      </c>
      <c r="BG21" s="30" t="b">
        <v>0</v>
      </c>
      <c r="BH21">
        <f>IFERROR(HYPERLINK("#Main!A"&amp;MATCH(A21,Main!A:A,0),"Open"),HYPERLINK("#Main!A1","Open"))</f>
        <v/>
      </c>
    </row>
    <row r="22" ht="30" customHeight="1">
      <c r="A22" s="33" t="inlineStr">
        <is>
          <t>https://africanmarketingconfederation.org/amc-conference-2024-sponsors-packages/</t>
        </is>
      </c>
      <c r="B22" s="4" t="n">
        <v>200</v>
      </c>
      <c r="C22" s="24" t="inlineStr">
        <is>
          <t>2xx</t>
        </is>
      </c>
      <c r="D22" s="24" t="n">
        <v>59</v>
      </c>
      <c r="E22" s="25" t="inlineStr">
        <is>
          <t>Warning</t>
        </is>
      </c>
      <c r="F22" s="24" t="inlineStr">
        <is>
          <t>Yes</t>
        </is>
      </c>
      <c r="G22" s="4" t="inlineStr">
        <is>
          <t>Indexable</t>
        </is>
      </c>
      <c r="H22" s="24" t="n">
        <v>58.9</v>
      </c>
      <c r="I22" s="24" t="n">
        <v>100.68</v>
      </c>
      <c r="J22" s="27" t="inlineStr">
        <is>
          <t>https://africanmarketingconfederation.org/amc-conference-2024-sponsors-packages/</t>
        </is>
      </c>
      <c r="K22" s="27" t="inlineStr">
        <is>
          <t>https</t>
        </is>
      </c>
      <c r="L22" s="24" t="n">
        <v>0</v>
      </c>
      <c r="M22" s="24" t="inlineStr">
        <is>
          <t>Copy Writer</t>
        </is>
      </c>
      <c r="N22" s="25" t="inlineStr">
        <is>
          <t>Open</t>
        </is>
      </c>
      <c r="O22" s="24" t="inlineStr"/>
      <c r="P22" s="24" t="inlineStr">
        <is>
          <t>WARN 🟡</t>
        </is>
      </c>
      <c r="Q22" s="24" t="inlineStr">
        <is>
          <t>https</t>
        </is>
      </c>
      <c r="R22" s="24" t="n">
        <v>0</v>
      </c>
      <c r="S22" s="24" t="inlineStr">
        <is>
          <t>text/html; charset=UTF-8</t>
        </is>
      </c>
      <c r="T22" s="27" t="inlineStr">
        <is>
          <t>HTTP/1.1</t>
        </is>
      </c>
      <c r="U22" s="24" t="b">
        <v>0</v>
      </c>
      <c r="V22" s="24" t="inlineStr">
        <is>
          <t>text/html; charset=UTF-8</t>
        </is>
      </c>
      <c r="W22" s="24" t="inlineStr">
        <is>
          <t>HTTP/1.1</t>
        </is>
      </c>
      <c r="X22" s="24" t="n">
        <v>414.5</v>
      </c>
      <c r="Y22" s="25" t="b">
        <v>0</v>
      </c>
      <c r="Z22" s="24" t="n"/>
      <c r="AA22" s="24" t="n"/>
      <c r="AB22" s="24" t="n"/>
      <c r="AC22" s="24" t="n"/>
      <c r="AD22" s="27" t="n"/>
      <c r="AE22" s="27" t="n"/>
      <c r="AF22" s="25" t="b">
        <v>0</v>
      </c>
      <c r="AG22" s="25" t="b">
        <v>0</v>
      </c>
      <c r="AH22" s="24" t="n">
        <v>0</v>
      </c>
      <c r="AI22" s="24" t="b">
        <v>0</v>
      </c>
      <c r="AJ22" s="24" t="n"/>
      <c r="AK22" s="24" t="b">
        <v>0</v>
      </c>
      <c r="AL22" s="25" t="b">
        <v>0</v>
      </c>
      <c r="AM22" s="24" t="b">
        <v>0</v>
      </c>
      <c r="AN22" s="24" t="b">
        <v>0</v>
      </c>
      <c r="AO22" s="24" t="n"/>
      <c r="AP22" s="24" t="n"/>
      <c r="AQ22" s="24" t="inlineStr">
        <is>
          <t>2024-06-10T14:12:23+00:00</t>
        </is>
      </c>
      <c r="AR22" s="24" t="inlineStr">
        <is>
          <t>2024-06-10T14:12:23+00:00</t>
        </is>
      </c>
      <c r="AS22" s="24" t="inlineStr">
        <is>
          <t>weekly</t>
        </is>
      </c>
      <c r="AT22" s="24" t="inlineStr">
        <is>
          <t>0.7</t>
        </is>
      </c>
      <c r="AU22" s="24" t="n">
        <v>0</v>
      </c>
      <c r="AV22" s="24" t="n">
        <v>2</v>
      </c>
      <c r="AW22" s="24" t="n">
        <v>7</v>
      </c>
      <c r="AX22" s="24" t="inlineStr">
        <is>
          <t>0</t>
        </is>
      </c>
      <c r="AY22" s="24" t="b">
        <v>1</v>
      </c>
      <c r="AZ22" s="24" t="b">
        <v>0</v>
      </c>
      <c r="BA22" s="24" t="b">
        <v>0</v>
      </c>
      <c r="BB22" s="24" t="n">
        <v>367</v>
      </c>
      <c r="BC22" s="24" t="n">
        <v>2101</v>
      </c>
      <c r="BD22" s="24" t="n"/>
      <c r="BE22" s="24" t="inlineStr">
        <is>
          <t>https://africanmarketingconfederation.org/amc-conference-2024-sponsors-packages/::thin_content | https://africanmarketingconfederation.org/amc-conference-2024-sponsors-packages/::low_aeo_readiness_score | https://africanmarketingconfederation.org/amc-conference-2024-sponsors-packages/::no_compression_header | https://africanmarketingconfederation.org/amc-conference-2024-sponsors-packages/::no_cache-control_header | https://africanmarketingconfederation.org/amc-conference-2024-sponsors-packages/::no_etag_header | https://africanmarketingconfederation.org/amc-conference-2024-sponsors-packages/::no_faq_qa_schema | https://africanmarketingconfederation.org/amc-conference-2024-sponsors-packages/::no_question_headings | https://africanmarketingconfederation.org/amc-conference-2024-sponsors-packages/::no_answer-friendly_structure | https://africanmarketingconfederation.org/amc-conference-2024-sponsors-packages/::no_40-60_word_answer_paragraphs</t>
        </is>
      </c>
      <c r="BF22" s="27" t="n">
        <v>1</v>
      </c>
      <c r="BG22" s="27" t="b">
        <v>0</v>
      </c>
      <c r="BH22">
        <f>IFERROR(HYPERLINK("#Main!A"&amp;MATCH(A22,Main!A:A,0),"Open"),HYPERLINK("#Main!A1","Open"))</f>
        <v/>
      </c>
    </row>
    <row r="23" ht="30" customHeight="1">
      <c r="A23" s="33" t="inlineStr">
        <is>
          <t>https://africanmarketingconfederation.org/amc-conference-2025-highlights/</t>
        </is>
      </c>
      <c r="B23" s="4" t="n">
        <v>200</v>
      </c>
      <c r="C23" s="6" t="inlineStr">
        <is>
          <t>2xx</t>
        </is>
      </c>
      <c r="D23" s="6" t="n">
        <v>56</v>
      </c>
      <c r="E23" s="25" t="inlineStr">
        <is>
          <t>Warning</t>
        </is>
      </c>
      <c r="F23" s="6" t="inlineStr">
        <is>
          <t>Yes</t>
        </is>
      </c>
      <c r="G23" s="4" t="inlineStr">
        <is>
          <t>Indexable</t>
        </is>
      </c>
      <c r="H23" s="6" t="n">
        <v>160.04</v>
      </c>
      <c r="I23" s="6" t="n">
        <v>161.04</v>
      </c>
      <c r="J23" s="30" t="inlineStr">
        <is>
          <t>https://africanmarketingconfederation.org/amc-conference-2025-highlights/</t>
        </is>
      </c>
      <c r="K23" s="30" t="inlineStr">
        <is>
          <t>https</t>
        </is>
      </c>
      <c r="L23" s="6" t="n">
        <v>0</v>
      </c>
      <c r="M23" s="6" t="inlineStr">
        <is>
          <t>Copy Writer</t>
        </is>
      </c>
      <c r="N23" s="25" t="inlineStr">
        <is>
          <t>Open</t>
        </is>
      </c>
      <c r="O23" s="6" t="inlineStr"/>
      <c r="P23" s="6" t="inlineStr">
        <is>
          <t>WARN 🟡</t>
        </is>
      </c>
      <c r="Q23" s="6" t="inlineStr">
        <is>
          <t>https</t>
        </is>
      </c>
      <c r="R23" s="6" t="n">
        <v>0</v>
      </c>
      <c r="S23" s="6" t="inlineStr">
        <is>
          <t>text/html; charset=UTF-8</t>
        </is>
      </c>
      <c r="T23" s="30" t="inlineStr">
        <is>
          <t>HTTP/1.1</t>
        </is>
      </c>
      <c r="U23" s="6" t="b">
        <v>0</v>
      </c>
      <c r="V23" s="6" t="inlineStr">
        <is>
          <t>text/html; charset=UTF-8</t>
        </is>
      </c>
      <c r="W23" s="6" t="inlineStr">
        <is>
          <t>HTTP/1.1</t>
        </is>
      </c>
      <c r="X23" s="6" t="n">
        <v>596.01</v>
      </c>
      <c r="Y23" s="25" t="b">
        <v>0</v>
      </c>
      <c r="Z23" s="6" t="n"/>
      <c r="AA23" s="6" t="n"/>
      <c r="AB23" s="6" t="n"/>
      <c r="AC23" s="6" t="n"/>
      <c r="AD23" s="30" t="n"/>
      <c r="AE23" s="30" t="n"/>
      <c r="AF23" s="25" t="b">
        <v>0</v>
      </c>
      <c r="AG23" s="25" t="b">
        <v>0</v>
      </c>
      <c r="AH23" s="6" t="n">
        <v>0</v>
      </c>
      <c r="AI23" s="6" t="b">
        <v>0</v>
      </c>
      <c r="AJ23" s="6" t="n"/>
      <c r="AK23" s="6" t="b">
        <v>0</v>
      </c>
      <c r="AL23" s="25" t="b">
        <v>0</v>
      </c>
      <c r="AM23" s="6" t="b">
        <v>0</v>
      </c>
      <c r="AN23" s="6" t="b">
        <v>0</v>
      </c>
      <c r="AO23" s="6" t="n"/>
      <c r="AP23" s="6" t="n"/>
      <c r="AQ23" s="6" t="inlineStr">
        <is>
          <t>2026-01-28T11:37:11+00:00</t>
        </is>
      </c>
      <c r="AR23" s="6" t="inlineStr">
        <is>
          <t>2026-01-28T11:37:11+00:00</t>
        </is>
      </c>
      <c r="AS23" s="6" t="inlineStr">
        <is>
          <t>weekly</t>
        </is>
      </c>
      <c r="AT23" s="6" t="inlineStr">
        <is>
          <t>0.7</t>
        </is>
      </c>
      <c r="AU23" s="6" t="n">
        <v>0</v>
      </c>
      <c r="AV23" s="6" t="n">
        <v>2</v>
      </c>
      <c r="AW23" s="6" t="n">
        <v>8</v>
      </c>
      <c r="AX23" s="6" t="inlineStr">
        <is>
          <t>0</t>
        </is>
      </c>
      <c r="AY23" s="6" t="b">
        <v>1</v>
      </c>
      <c r="AZ23" s="6" t="b">
        <v>0</v>
      </c>
      <c r="BA23" s="6" t="b">
        <v>0</v>
      </c>
      <c r="BB23" s="6" t="n">
        <v>460</v>
      </c>
      <c r="BC23" s="6" t="n">
        <v>2709</v>
      </c>
      <c r="BD23" s="6" t="n"/>
      <c r="BE23" s="6" t="inlineStr">
        <is>
          <t>https://africanmarketingconfederation.org/amc-conference-2025-highlights/::multiple_h1 | https://africanmarketingconfederation.org/amc-conference-2025-highlights/::low_aeo_readiness_score | https://africanmarketingconfederation.org/amc-conference-2025-highlights/::image_filename_quality_issues | https://africanmarketingconfederation.org/amc-conference-2025-highlights/::no_compression_header | https://africanmarketingconfederation.org/amc-conference-2025-highlights/::no_cache-control_header | https://africanmarketingconfederation.org/amc-conference-2025-highlights/::no_etag_header | https://africanmarketingconfederation.org/amc-conference-2025-highlights/::no_faq_qa_schema | https://africanmarketingconfederation.org/amc-conference-2025-highlights/::no_question_headings | https://africanmarketingconfederation.org/amc-conference-2025-highlights/::no_answer-friendly_structure | https://africanmarketingconfederation.org/amc-conference-2025-highlights/::no_40-60_word_answer_paragraphs</t>
        </is>
      </c>
      <c r="BF23" s="30" t="n">
        <v>1</v>
      </c>
      <c r="BG23" s="30" t="b">
        <v>0</v>
      </c>
      <c r="BH23">
        <f>IFERROR(HYPERLINK("#Main!A"&amp;MATCH(A23,Main!A:A,0),"Open"),HYPERLINK("#Main!A1","Open"))</f>
        <v/>
      </c>
    </row>
    <row r="24" ht="30" customHeight="1">
      <c r="A24" s="33" t="inlineStr">
        <is>
          <t>https://africanmarketingconfederation.org/amc-conference-2025/</t>
        </is>
      </c>
      <c r="B24" s="4" t="n">
        <v>200</v>
      </c>
      <c r="C24" s="24" t="inlineStr">
        <is>
          <t>2xx</t>
        </is>
      </c>
      <c r="D24" s="24" t="n">
        <v>59</v>
      </c>
      <c r="E24" s="25" t="inlineStr">
        <is>
          <t>Warning</t>
        </is>
      </c>
      <c r="F24" s="24" t="inlineStr">
        <is>
          <t>Yes</t>
        </is>
      </c>
      <c r="G24" s="4" t="inlineStr">
        <is>
          <t>Indexable</t>
        </is>
      </c>
      <c r="H24" s="24" t="n">
        <v>77.11</v>
      </c>
      <c r="I24" s="24" t="n">
        <v>101.59</v>
      </c>
      <c r="J24" s="27" t="inlineStr">
        <is>
          <t>https://africanmarketingconfederation.org/amc-conference-2025/</t>
        </is>
      </c>
      <c r="K24" s="27" t="inlineStr">
        <is>
          <t>https</t>
        </is>
      </c>
      <c r="L24" s="24" t="n">
        <v>0</v>
      </c>
      <c r="M24" s="24" t="inlineStr">
        <is>
          <t>Copy Writer</t>
        </is>
      </c>
      <c r="N24" s="25" t="inlineStr">
        <is>
          <t>Open</t>
        </is>
      </c>
      <c r="O24" s="24" t="inlineStr"/>
      <c r="P24" s="24" t="inlineStr">
        <is>
          <t>WARN 🟡</t>
        </is>
      </c>
      <c r="Q24" s="24" t="inlineStr">
        <is>
          <t>https</t>
        </is>
      </c>
      <c r="R24" s="24" t="n">
        <v>0</v>
      </c>
      <c r="S24" s="24" t="inlineStr">
        <is>
          <t>text/html; charset=UTF-8</t>
        </is>
      </c>
      <c r="T24" s="27" t="inlineStr">
        <is>
          <t>HTTP/1.1</t>
        </is>
      </c>
      <c r="U24" s="24" t="b">
        <v>0</v>
      </c>
      <c r="V24" s="24" t="inlineStr">
        <is>
          <t>text/html; charset=UTF-8</t>
        </is>
      </c>
      <c r="W24" s="24" t="inlineStr">
        <is>
          <t>HTTP/1.1</t>
        </is>
      </c>
      <c r="X24" s="24" t="n">
        <v>547.03</v>
      </c>
      <c r="Y24" s="25" t="b">
        <v>0</v>
      </c>
      <c r="Z24" s="24" t="n"/>
      <c r="AA24" s="24" t="n"/>
      <c r="AB24" s="24" t="n"/>
      <c r="AC24" s="24" t="n"/>
      <c r="AD24" s="27" t="n"/>
      <c r="AE24" s="27" t="n"/>
      <c r="AF24" s="25" t="b">
        <v>0</v>
      </c>
      <c r="AG24" s="25" t="b">
        <v>0</v>
      </c>
      <c r="AH24" s="24" t="n">
        <v>0</v>
      </c>
      <c r="AI24" s="24" t="b">
        <v>0</v>
      </c>
      <c r="AJ24" s="24" t="n"/>
      <c r="AK24" s="24" t="b">
        <v>0</v>
      </c>
      <c r="AL24" s="25" t="b">
        <v>0</v>
      </c>
      <c r="AM24" s="24" t="b">
        <v>0</v>
      </c>
      <c r="AN24" s="24" t="b">
        <v>0</v>
      </c>
      <c r="AO24" s="24" t="n"/>
      <c r="AP24" s="24" t="n"/>
      <c r="AQ24" s="24" t="inlineStr">
        <is>
          <t>2025-08-19T11:23:21+00:00</t>
        </is>
      </c>
      <c r="AR24" s="24" t="inlineStr">
        <is>
          <t>2025-08-19T11:23:21+00:00</t>
        </is>
      </c>
      <c r="AS24" s="24" t="inlineStr">
        <is>
          <t>weekly</t>
        </is>
      </c>
      <c r="AT24" s="24" t="inlineStr">
        <is>
          <t>0.7</t>
        </is>
      </c>
      <c r="AU24" s="24" t="n">
        <v>0</v>
      </c>
      <c r="AV24" s="24" t="n">
        <v>2</v>
      </c>
      <c r="AW24" s="24" t="n">
        <v>7</v>
      </c>
      <c r="AX24" s="24" t="inlineStr">
        <is>
          <t>0</t>
        </is>
      </c>
      <c r="AY24" s="24" t="b">
        <v>1</v>
      </c>
      <c r="AZ24" s="24" t="b">
        <v>0</v>
      </c>
      <c r="BA24" s="24" t="b">
        <v>0</v>
      </c>
      <c r="BB24" s="24" t="n">
        <v>136</v>
      </c>
      <c r="BC24" s="24" t="n">
        <v>905</v>
      </c>
      <c r="BD24" s="24" t="n"/>
      <c r="BE24" s="24" t="inlineStr">
        <is>
          <t>https://africanmarketingconfederation.org/amc-conference-2025/::multiple_h1 | https://africanmarketingconfederation.org/amc-conference-2025/::low_aeo_readiness_score | https://africanmarketingconfederation.org/amc-conference-2025/::no_compression_header | https://africanmarketingconfederation.org/amc-conference-2025/::no_cache-control_header | https://africanmarketingconfederation.org/amc-conference-2025/::no_etag_header | https://africanmarketingconfederation.org/amc-conference-2025/::no_faq_qa_schema | https://africanmarketingconfederation.org/amc-conference-2025/::no_question_headings | https://africanmarketingconfederation.org/amc-conference-2025/::no_answer-friendly_structure | https://africanmarketingconfederation.org/amc-conference-2025/::no_40-60_word_answer_paragraphs</t>
        </is>
      </c>
      <c r="BF24" s="27" t="n">
        <v>1</v>
      </c>
      <c r="BG24" s="27" t="b">
        <v>0</v>
      </c>
      <c r="BH24">
        <f>IFERROR(HYPERLINK("#Main!A"&amp;MATCH(A24,Main!A:A,0),"Open"),HYPERLINK("#Main!A1","Open"))</f>
        <v/>
      </c>
    </row>
    <row r="25" ht="30" customHeight="1">
      <c r="A25" s="33" t="inlineStr">
        <is>
          <t>https://africanmarketingconfederation.org/amc-conference-2026-awards-nominations-thank-you/</t>
        </is>
      </c>
      <c r="B25" s="4" t="n">
        <v>200</v>
      </c>
      <c r="C25" s="6" t="inlineStr">
        <is>
          <t>2xx</t>
        </is>
      </c>
      <c r="D25" s="6" t="n">
        <v>49</v>
      </c>
      <c r="E25" s="25" t="inlineStr">
        <is>
          <t>Warning</t>
        </is>
      </c>
      <c r="F25" s="6" t="inlineStr">
        <is>
          <t>Yes</t>
        </is>
      </c>
      <c r="G25" s="4" t="inlineStr">
        <is>
          <t>Indexable</t>
        </is>
      </c>
      <c r="H25" s="6" t="n">
        <v>65.05</v>
      </c>
      <c r="I25" s="6" t="n">
        <v>87.40000000000001</v>
      </c>
      <c r="J25" s="30" t="inlineStr">
        <is>
          <t>https://africanmarketingconfederation.org/amc-conference-2026-awards-nominations-thank-you/</t>
        </is>
      </c>
      <c r="K25" s="30" t="inlineStr">
        <is>
          <t>https</t>
        </is>
      </c>
      <c r="L25" s="6" t="n">
        <v>0</v>
      </c>
      <c r="M25" s="6" t="inlineStr">
        <is>
          <t>Copy Writer</t>
        </is>
      </c>
      <c r="N25" s="25" t="inlineStr">
        <is>
          <t>Open</t>
        </is>
      </c>
      <c r="O25" s="6" t="inlineStr"/>
      <c r="P25" s="6" t="inlineStr">
        <is>
          <t>WARN 🟡</t>
        </is>
      </c>
      <c r="Q25" s="6" t="inlineStr">
        <is>
          <t>https</t>
        </is>
      </c>
      <c r="R25" s="6" t="n">
        <v>0</v>
      </c>
      <c r="S25" s="6" t="inlineStr">
        <is>
          <t>text/html; charset=UTF-8</t>
        </is>
      </c>
      <c r="T25" s="30" t="inlineStr">
        <is>
          <t>HTTP/1.1</t>
        </is>
      </c>
      <c r="U25" s="6" t="b">
        <v>0</v>
      </c>
      <c r="V25" s="6" t="inlineStr">
        <is>
          <t>text/html; charset=UTF-8</t>
        </is>
      </c>
      <c r="W25" s="6" t="inlineStr">
        <is>
          <t>HTTP/1.1</t>
        </is>
      </c>
      <c r="X25" s="6" t="n">
        <v>309.63</v>
      </c>
      <c r="Y25" s="25" t="b">
        <v>0</v>
      </c>
      <c r="Z25" s="6" t="n"/>
      <c r="AA25" s="6" t="n"/>
      <c r="AB25" s="6" t="n"/>
      <c r="AC25" s="6" t="n"/>
      <c r="AD25" s="30" t="n"/>
      <c r="AE25" s="30" t="n"/>
      <c r="AF25" s="25" t="b">
        <v>0</v>
      </c>
      <c r="AG25" s="25" t="b">
        <v>0</v>
      </c>
      <c r="AH25" s="6" t="n">
        <v>0</v>
      </c>
      <c r="AI25" s="6" t="b">
        <v>0</v>
      </c>
      <c r="AJ25" s="6" t="n"/>
      <c r="AK25" s="6" t="b">
        <v>0</v>
      </c>
      <c r="AL25" s="25" t="b">
        <v>0</v>
      </c>
      <c r="AM25" s="6" t="b">
        <v>0</v>
      </c>
      <c r="AN25" s="6" t="b">
        <v>0</v>
      </c>
      <c r="AO25" s="6" t="n"/>
      <c r="AP25" s="6" t="n"/>
      <c r="AQ25" s="6" t="inlineStr">
        <is>
          <t>2026-03-04T07:14:00+00:00</t>
        </is>
      </c>
      <c r="AR25" s="6" t="inlineStr">
        <is>
          <t>2026-03-04T07:14:00+00:00</t>
        </is>
      </c>
      <c r="AS25" s="6" t="inlineStr">
        <is>
          <t>weekly</t>
        </is>
      </c>
      <c r="AT25" s="6" t="inlineStr">
        <is>
          <t>0.7</t>
        </is>
      </c>
      <c r="AU25" s="6" t="n">
        <v>0</v>
      </c>
      <c r="AV25" s="6" t="n">
        <v>3</v>
      </c>
      <c r="AW25" s="6" t="n">
        <v>7</v>
      </c>
      <c r="AX25" s="6" t="inlineStr">
        <is>
          <t>0</t>
        </is>
      </c>
      <c r="AY25" s="6" t="b">
        <v>1</v>
      </c>
      <c r="AZ25" s="6" t="b">
        <v>0</v>
      </c>
      <c r="BA25" s="6" t="b">
        <v>0</v>
      </c>
      <c r="BB25" s="6" t="n">
        <v>590</v>
      </c>
      <c r="BC25" s="6" t="n">
        <v>2188</v>
      </c>
      <c r="BD25" s="6" t="n"/>
      <c r="BE25" s="6" t="inlineStr">
        <is>
          <t>https://africanmarketingconfederation.org/amc-conference-2026-awards-nominations-thank-you/::multiple_h1 | https://africanmarketingconfederation.org/amc-conference-2026-awards-nominations-thank-you/::thin_content | https://africanmarketingconfederation.org/amc-conference-2026-awards-nominations-thank-you/::low_aeo_readiness_score | https://africanmarketingconfederation.org/amc-conference-2026-awards-nominations-thank-you/::no_compression_header | https://africanmarketingconfederation.org/amc-conference-2026-awards-nominations-thank-you/::no_cache-control_header | https://africanmarketingconfederation.org/amc-conference-2026-awards-nominations-thank-you/::no_etag_header | https://africanmarketingconfederation.org/amc-conference-2026-awards-nominations-thank-you/::no_faq_qa_schema | https://africanmarketingconfederation.org/amc-conference-2026-awards-nominations-thank-you/::no_question_headings | https://africanmarketingconfederation.org/amc-conference-2026-awards-nominations-thank-you/::no_answer-friendly_structure | https://africanmarketingconfederation.org/amc-conference-2026-awards-nominations-thank-you/::no_40-60_word_answer_paragraphs</t>
        </is>
      </c>
      <c r="BF25" s="30" t="n">
        <v>1</v>
      </c>
      <c r="BG25" s="30" t="b">
        <v>0</v>
      </c>
      <c r="BH25">
        <f>IFERROR(HYPERLINK("#Main!A"&amp;MATCH(A25,Main!A:A,0),"Open"),HYPERLINK("#Main!A1","Open"))</f>
        <v/>
      </c>
    </row>
    <row r="26" ht="30" customHeight="1">
      <c r="A26" s="33" t="inlineStr">
        <is>
          <t>https://africanmarketingconfederation.org/amc-conference-2026-zambia-thank-you/</t>
        </is>
      </c>
      <c r="B26" s="4" t="n">
        <v>200</v>
      </c>
      <c r="C26" s="24" t="inlineStr">
        <is>
          <t>2xx</t>
        </is>
      </c>
      <c r="D26" s="24" t="n">
        <v>49</v>
      </c>
      <c r="E26" s="25" t="inlineStr">
        <is>
          <t>Warning</t>
        </is>
      </c>
      <c r="F26" s="24" t="inlineStr">
        <is>
          <t>Yes</t>
        </is>
      </c>
      <c r="G26" s="4" t="inlineStr">
        <is>
          <t>Indexable</t>
        </is>
      </c>
      <c r="H26" s="24" t="n">
        <v>199.69</v>
      </c>
      <c r="I26" s="24" t="n">
        <v>200.69</v>
      </c>
      <c r="J26" s="27" t="inlineStr">
        <is>
          <t>https://africanmarketingconfederation.org/amc-conference-2026-zambia-thank-you/</t>
        </is>
      </c>
      <c r="K26" s="27" t="inlineStr">
        <is>
          <t>https</t>
        </is>
      </c>
      <c r="L26" s="24" t="n">
        <v>0</v>
      </c>
      <c r="M26" s="24" t="inlineStr">
        <is>
          <t>Copy Writer</t>
        </is>
      </c>
      <c r="N26" s="25" t="inlineStr">
        <is>
          <t>Open</t>
        </is>
      </c>
      <c r="O26" s="24" t="inlineStr"/>
      <c r="P26" s="24" t="inlineStr">
        <is>
          <t>WARN 🟡</t>
        </is>
      </c>
      <c r="Q26" s="24" t="inlineStr">
        <is>
          <t>https</t>
        </is>
      </c>
      <c r="R26" s="24" t="n">
        <v>0</v>
      </c>
      <c r="S26" s="24" t="inlineStr">
        <is>
          <t>text/html; charset=UTF-8</t>
        </is>
      </c>
      <c r="T26" s="27" t="inlineStr">
        <is>
          <t>HTTP/1.1</t>
        </is>
      </c>
      <c r="U26" s="24" t="b">
        <v>0</v>
      </c>
      <c r="V26" s="24" t="inlineStr">
        <is>
          <t>text/html; charset=UTF-8</t>
        </is>
      </c>
      <c r="W26" s="24" t="inlineStr">
        <is>
          <t>HTTP/1.1</t>
        </is>
      </c>
      <c r="X26" s="24" t="n">
        <v>309.38</v>
      </c>
      <c r="Y26" s="25" t="b">
        <v>0</v>
      </c>
      <c r="Z26" s="24" t="n"/>
      <c r="AA26" s="24" t="n"/>
      <c r="AB26" s="24" t="n"/>
      <c r="AC26" s="24" t="n"/>
      <c r="AD26" s="27" t="n"/>
      <c r="AE26" s="27" t="n"/>
      <c r="AF26" s="25" t="b">
        <v>0</v>
      </c>
      <c r="AG26" s="25" t="b">
        <v>0</v>
      </c>
      <c r="AH26" s="24" t="n">
        <v>0</v>
      </c>
      <c r="AI26" s="24" t="b">
        <v>0</v>
      </c>
      <c r="AJ26" s="24" t="n"/>
      <c r="AK26" s="24" t="b">
        <v>0</v>
      </c>
      <c r="AL26" s="25" t="b">
        <v>0</v>
      </c>
      <c r="AM26" s="24" t="b">
        <v>0</v>
      </c>
      <c r="AN26" s="24" t="b">
        <v>0</v>
      </c>
      <c r="AO26" s="24" t="n"/>
      <c r="AP26" s="24" t="n"/>
      <c r="AQ26" s="24" t="inlineStr">
        <is>
          <t>2026-03-04T06:43:52+00:00</t>
        </is>
      </c>
      <c r="AR26" s="24" t="inlineStr">
        <is>
          <t>2026-03-04T06:43:52+00:00</t>
        </is>
      </c>
      <c r="AS26" s="24" t="inlineStr">
        <is>
          <t>weekly</t>
        </is>
      </c>
      <c r="AT26" s="24" t="inlineStr">
        <is>
          <t>0.7</t>
        </is>
      </c>
      <c r="AU26" s="24" t="n">
        <v>0</v>
      </c>
      <c r="AV26" s="24" t="n">
        <v>3</v>
      </c>
      <c r="AW26" s="24" t="n">
        <v>7</v>
      </c>
      <c r="AX26" s="24" t="inlineStr">
        <is>
          <t>0</t>
        </is>
      </c>
      <c r="AY26" s="24" t="b">
        <v>1</v>
      </c>
      <c r="AZ26" s="24" t="b">
        <v>0</v>
      </c>
      <c r="BA26" s="24" t="b">
        <v>0</v>
      </c>
      <c r="BB26" s="24" t="n">
        <v>504</v>
      </c>
      <c r="BC26" s="24" t="n">
        <v>2548</v>
      </c>
      <c r="BD26" s="24" t="n"/>
      <c r="BE26" s="24" t="inlineStr">
        <is>
          <t>https://africanmarketingconfederation.org/amc-conference-2026-zambia-thank-you/::multiple_h1 | https://africanmarketingconfederation.org/amc-conference-2026-zambia-thank-you/::thin_content | https://africanmarketingconfederation.org/amc-conference-2026-zambia-thank-you/::low_aeo_readiness_score | https://africanmarketingconfederation.org/amc-conference-2026-zambia-thank-you/::no_compression_header | https://africanmarketingconfederation.org/amc-conference-2026-zambia-thank-you/::no_cache-control_header | https://africanmarketingconfederation.org/amc-conference-2026-zambia-thank-you/::no_etag_header | https://africanmarketingconfederation.org/amc-conference-2026-zambia-thank-you/::no_faq_qa_schema | https://africanmarketingconfederation.org/amc-conference-2026-zambia-thank-you/::no_question_headings | https://africanmarketingconfederation.org/amc-conference-2026-zambia-thank-you/::no_answer-friendly_structure | https://africanmarketingconfederation.org/amc-conference-2026-zambia-thank-you/::no_40-60_word_answer_paragraphs</t>
        </is>
      </c>
      <c r="BF26" s="27" t="n">
        <v>1</v>
      </c>
      <c r="BG26" s="27" t="b">
        <v>0</v>
      </c>
      <c r="BH26">
        <f>IFERROR(HYPERLINK("#Main!A"&amp;MATCH(A26,Main!A:A,0),"Open"),HYPERLINK("#Main!A1","Open"))</f>
        <v/>
      </c>
    </row>
    <row r="27" ht="30" customHeight="1">
      <c r="A27" s="33" t="inlineStr">
        <is>
          <t>https://africanmarketingconfederation.org/amc-conference-2026/</t>
        </is>
      </c>
      <c r="B27" s="4" t="n">
        <v>200</v>
      </c>
      <c r="C27" s="6" t="inlineStr">
        <is>
          <t>2xx</t>
        </is>
      </c>
      <c r="D27" s="6" t="n">
        <v>66</v>
      </c>
      <c r="E27" s="25" t="inlineStr">
        <is>
          <t>Warning</t>
        </is>
      </c>
      <c r="F27" s="6" t="inlineStr">
        <is>
          <t>Yes</t>
        </is>
      </c>
      <c r="G27" s="4" t="inlineStr">
        <is>
          <t>Indexable</t>
        </is>
      </c>
      <c r="H27" s="6" t="n">
        <v>66.56</v>
      </c>
      <c r="I27" s="6" t="n">
        <v>103.56</v>
      </c>
      <c r="J27" s="30" t="inlineStr">
        <is>
          <t>https://africanmarketingconfederation.org/amc-conference-2026/</t>
        </is>
      </c>
      <c r="K27" s="30" t="inlineStr">
        <is>
          <t>https</t>
        </is>
      </c>
      <c r="L27" s="6" t="n">
        <v>0</v>
      </c>
      <c r="M27" s="6" t="inlineStr">
        <is>
          <t>Copy Writer</t>
        </is>
      </c>
      <c r="N27" s="25" t="inlineStr">
        <is>
          <t>Open</t>
        </is>
      </c>
      <c r="O27" s="6" t="inlineStr"/>
      <c r="P27" s="6" t="inlineStr">
        <is>
          <t>WARN 🟡</t>
        </is>
      </c>
      <c r="Q27" s="6" t="inlineStr">
        <is>
          <t>https</t>
        </is>
      </c>
      <c r="R27" s="6" t="n">
        <v>0</v>
      </c>
      <c r="S27" s="6" t="inlineStr">
        <is>
          <t>text/html; charset=UTF-8</t>
        </is>
      </c>
      <c r="T27" s="30" t="inlineStr">
        <is>
          <t>HTTP/1.1</t>
        </is>
      </c>
      <c r="U27" s="6" t="b">
        <v>0</v>
      </c>
      <c r="V27" s="6" t="inlineStr">
        <is>
          <t>text/html; charset=UTF-8</t>
        </is>
      </c>
      <c r="W27" s="6" t="inlineStr">
        <is>
          <t>HTTP/1.1</t>
        </is>
      </c>
      <c r="X27" s="6" t="n">
        <v>528.39</v>
      </c>
      <c r="Y27" s="25" t="b">
        <v>0</v>
      </c>
      <c r="Z27" s="6" t="n"/>
      <c r="AA27" s="6" t="n"/>
      <c r="AB27" s="6" t="n"/>
      <c r="AC27" s="6" t="n"/>
      <c r="AD27" s="30" t="n"/>
      <c r="AE27" s="30" t="n"/>
      <c r="AF27" s="25" t="b">
        <v>0</v>
      </c>
      <c r="AG27" s="25" t="b">
        <v>0</v>
      </c>
      <c r="AH27" s="6" t="n">
        <v>0</v>
      </c>
      <c r="AI27" s="6" t="b">
        <v>0</v>
      </c>
      <c r="AJ27" s="6" t="n"/>
      <c r="AK27" s="6" t="b">
        <v>0</v>
      </c>
      <c r="AL27" s="25" t="b">
        <v>0</v>
      </c>
      <c r="AM27" s="6" t="b">
        <v>0</v>
      </c>
      <c r="AN27" s="6" t="b">
        <v>0</v>
      </c>
      <c r="AO27" s="6" t="n"/>
      <c r="AP27" s="6" t="n"/>
      <c r="AQ27" s="6" t="inlineStr">
        <is>
          <t>2026-04-24T06:54:40+00:00</t>
        </is>
      </c>
      <c r="AR27" s="6" t="inlineStr">
        <is>
          <t>2026-04-24T06:54:40+00:00</t>
        </is>
      </c>
      <c r="AS27" s="6" t="inlineStr">
        <is>
          <t>weekly</t>
        </is>
      </c>
      <c r="AT27" s="6" t="inlineStr">
        <is>
          <t>0.7</t>
        </is>
      </c>
      <c r="AU27" s="6" t="n">
        <v>0</v>
      </c>
      <c r="AV27" s="6" t="n">
        <v>1</v>
      </c>
      <c r="AW27" s="6" t="n">
        <v>8</v>
      </c>
      <c r="AX27" s="6" t="inlineStr">
        <is>
          <t>0</t>
        </is>
      </c>
      <c r="AY27" s="6" t="b">
        <v>1</v>
      </c>
      <c r="AZ27" s="6" t="b">
        <v>0</v>
      </c>
      <c r="BA27" s="6" t="b">
        <v>0</v>
      </c>
      <c r="BB27" s="6" t="n">
        <v>381</v>
      </c>
      <c r="BC27" s="6" t="n">
        <v>2213</v>
      </c>
      <c r="BD27" s="6" t="n"/>
      <c r="BE27" s="6" t="inlineStr">
        <is>
          <t>https://africanmarketingconfederation.org/amc-conference-2026/::low_aeo_readiness_score | https://africanmarketingconfederation.org/amc-conference-2026/::image_filename_quality_issues | https://africanmarketingconfederation.org/amc-conference-2026/::no_compression_header | https://africanmarketingconfederation.org/amc-conference-2026/::no_cache-control_header | https://africanmarketingconfederation.org/amc-conference-2026/::no_etag_header | https://africanmarketingconfederation.org/amc-conference-2026/::no_faq_qa_schema | https://africanmarketingconfederation.org/amc-conference-2026/::no_question_headings | https://africanmarketingconfederation.org/amc-conference-2026/::no_answer-friendly_structure | https://africanmarketingconfederation.org/amc-conference-2026/::no_40-60_word_answer_paragraphs</t>
        </is>
      </c>
      <c r="BF27" s="30" t="n">
        <v>1</v>
      </c>
      <c r="BG27" s="30" t="b">
        <v>0</v>
      </c>
      <c r="BH27">
        <f>IFERROR(HYPERLINK("#Main!A"&amp;MATCH(A27,Main!A:A,0),"Open"),HYPERLINK("#Main!A1","Open"))</f>
        <v/>
      </c>
    </row>
    <row r="28" ht="30" customHeight="1">
      <c r="A28" s="33" t="inlineStr">
        <is>
          <t>https://africanmarketingconfederation.org/amc-conference-programme/</t>
        </is>
      </c>
      <c r="B28" s="4" t="n">
        <v>200</v>
      </c>
      <c r="C28" s="24" t="inlineStr">
        <is>
          <t>2xx</t>
        </is>
      </c>
      <c r="D28" s="24" t="n">
        <v>59</v>
      </c>
      <c r="E28" s="25" t="inlineStr">
        <is>
          <t>Warning</t>
        </is>
      </c>
      <c r="F28" s="24" t="inlineStr">
        <is>
          <t>Yes</t>
        </is>
      </c>
      <c r="G28" s="4" t="inlineStr">
        <is>
          <t>Indexable</t>
        </is>
      </c>
      <c r="H28" s="24" t="n">
        <v>43.89</v>
      </c>
      <c r="I28" s="24" t="n">
        <v>94.48</v>
      </c>
      <c r="J28" s="27" t="inlineStr">
        <is>
          <t>https://africanmarketingconfederation.org/amc-conference-programme/</t>
        </is>
      </c>
      <c r="K28" s="27" t="inlineStr">
        <is>
          <t>https</t>
        </is>
      </c>
      <c r="L28" s="24" t="n">
        <v>0</v>
      </c>
      <c r="M28" s="24" t="inlineStr">
        <is>
          <t>Copy Writer</t>
        </is>
      </c>
      <c r="N28" s="25" t="inlineStr">
        <is>
          <t>Open</t>
        </is>
      </c>
      <c r="O28" s="24" t="inlineStr"/>
      <c r="P28" s="24" t="inlineStr">
        <is>
          <t>WARN 🟡</t>
        </is>
      </c>
      <c r="Q28" s="24" t="inlineStr">
        <is>
          <t>https</t>
        </is>
      </c>
      <c r="R28" s="24" t="n">
        <v>0</v>
      </c>
      <c r="S28" s="24" t="inlineStr">
        <is>
          <t>text/html; charset=UTF-8</t>
        </is>
      </c>
      <c r="T28" s="27" t="inlineStr">
        <is>
          <t>HTTP/1.1</t>
        </is>
      </c>
      <c r="U28" s="24" t="b">
        <v>0</v>
      </c>
      <c r="V28" s="24" t="inlineStr">
        <is>
          <t>text/html; charset=UTF-8</t>
        </is>
      </c>
      <c r="W28" s="24" t="inlineStr">
        <is>
          <t>HTTP/1.1</t>
        </is>
      </c>
      <c r="X28" s="24" t="n">
        <v>367.68</v>
      </c>
      <c r="Y28" s="25" t="b">
        <v>0</v>
      </c>
      <c r="Z28" s="24" t="n"/>
      <c r="AA28" s="24" t="n"/>
      <c r="AB28" s="24" t="n"/>
      <c r="AC28" s="24" t="n"/>
      <c r="AD28" s="27" t="n"/>
      <c r="AE28" s="27" t="n"/>
      <c r="AF28" s="25" t="b">
        <v>0</v>
      </c>
      <c r="AG28" s="25" t="b">
        <v>0</v>
      </c>
      <c r="AH28" s="24" t="n">
        <v>0</v>
      </c>
      <c r="AI28" s="24" t="b">
        <v>0</v>
      </c>
      <c r="AJ28" s="24" t="n"/>
      <c r="AK28" s="24" t="b">
        <v>0</v>
      </c>
      <c r="AL28" s="25" t="b">
        <v>0</v>
      </c>
      <c r="AM28" s="24" t="b">
        <v>0</v>
      </c>
      <c r="AN28" s="24" t="b">
        <v>0</v>
      </c>
      <c r="AO28" s="24" t="n"/>
      <c r="AP28" s="24" t="n"/>
      <c r="AQ28" s="24" t="inlineStr">
        <is>
          <t>2022-01-17T12:56:25+00:00</t>
        </is>
      </c>
      <c r="AR28" s="24" t="inlineStr">
        <is>
          <t>2022-01-17T12:56:25+00:00</t>
        </is>
      </c>
      <c r="AS28" s="24" t="inlineStr">
        <is>
          <t>weekly</t>
        </is>
      </c>
      <c r="AT28" s="24" t="inlineStr">
        <is>
          <t>0.7</t>
        </is>
      </c>
      <c r="AU28" s="24" t="n">
        <v>0</v>
      </c>
      <c r="AV28" s="24" t="n">
        <v>2</v>
      </c>
      <c r="AW28" s="24" t="n">
        <v>7</v>
      </c>
      <c r="AX28" s="24" t="inlineStr">
        <is>
          <t>0</t>
        </is>
      </c>
      <c r="AY28" s="24" t="b">
        <v>1</v>
      </c>
      <c r="AZ28" s="24" t="b">
        <v>0</v>
      </c>
      <c r="BA28" s="24" t="b">
        <v>0</v>
      </c>
      <c r="BB28" s="24" t="n">
        <v>367</v>
      </c>
      <c r="BC28" s="24" t="n">
        <v>2151</v>
      </c>
      <c r="BD28" s="24" t="n"/>
      <c r="BE28" s="24" t="inlineStr">
        <is>
          <t>https://africanmarketingconfederation.org/amc-conference-programme/::missing_h1 | https://africanmarketingconfederation.org/amc-conference-programme/::low_aeo_readiness_score | https://africanmarketingconfederation.org/amc-conference-programme/::no_compression_header | https://africanmarketingconfederation.org/amc-conference-programme/::no_cache-control_header | https://africanmarketingconfederation.org/amc-conference-programme/::no_etag_header | https://africanmarketingconfederation.org/amc-conference-programme/::no_faq_qa_schema | https://africanmarketingconfederation.org/amc-conference-programme/::no_question_headings | https://africanmarketingconfederation.org/amc-conference-programme/::no_answer-friendly_structure | https://africanmarketingconfederation.org/amc-conference-programme/::no_40-60_word_answer_paragraphs</t>
        </is>
      </c>
      <c r="BF28" s="27" t="n">
        <v>1</v>
      </c>
      <c r="BG28" s="27" t="b">
        <v>0</v>
      </c>
      <c r="BH28">
        <f>IFERROR(HYPERLINK("#Main!A"&amp;MATCH(A28,Main!A:A,0),"Open"),HYPERLINK("#Main!A1","Open"))</f>
        <v/>
      </c>
    </row>
    <row r="29" ht="30" customHeight="1">
      <c r="A29" s="33" t="inlineStr">
        <is>
          <t>https://africanmarketingconfederation.org/amc-conference-thank-you/</t>
        </is>
      </c>
      <c r="B29" s="4" t="n">
        <v>200</v>
      </c>
      <c r="C29" s="6" t="inlineStr">
        <is>
          <t>2xx</t>
        </is>
      </c>
      <c r="D29" s="6" t="n">
        <v>69</v>
      </c>
      <c r="E29" s="25" t="inlineStr">
        <is>
          <t>Warning</t>
        </is>
      </c>
      <c r="F29" s="6" t="inlineStr">
        <is>
          <t>Yes</t>
        </is>
      </c>
      <c r="G29" s="4" t="inlineStr">
        <is>
          <t>Indexable</t>
        </is>
      </c>
      <c r="H29" s="6" t="n">
        <v>56.08</v>
      </c>
      <c r="I29" s="6" t="n">
        <v>114.41</v>
      </c>
      <c r="J29" s="30" t="inlineStr">
        <is>
          <t>https://africanmarketingconfederation.org/amc-conference-thank-you/</t>
        </is>
      </c>
      <c r="K29" s="30" t="inlineStr">
        <is>
          <t>https</t>
        </is>
      </c>
      <c r="L29" s="6" t="n">
        <v>0</v>
      </c>
      <c r="M29" s="6" t="inlineStr">
        <is>
          <t>Copy Writer</t>
        </is>
      </c>
      <c r="N29" s="25" t="inlineStr">
        <is>
          <t>Open</t>
        </is>
      </c>
      <c r="O29" s="6" t="inlineStr"/>
      <c r="P29" s="6" t="inlineStr">
        <is>
          <t>WARN 🟡</t>
        </is>
      </c>
      <c r="Q29" s="6" t="inlineStr">
        <is>
          <t>https</t>
        </is>
      </c>
      <c r="R29" s="6" t="n">
        <v>0</v>
      </c>
      <c r="S29" s="6" t="inlineStr">
        <is>
          <t>text/html; charset=UTF-8</t>
        </is>
      </c>
      <c r="T29" s="30" t="inlineStr">
        <is>
          <t>HTTP/1.1</t>
        </is>
      </c>
      <c r="U29" s="6" t="b">
        <v>0</v>
      </c>
      <c r="V29" s="6" t="inlineStr">
        <is>
          <t>text/html; charset=UTF-8</t>
        </is>
      </c>
      <c r="W29" s="6" t="inlineStr">
        <is>
          <t>HTTP/1.1</t>
        </is>
      </c>
      <c r="X29" s="6" t="n">
        <v>302.48</v>
      </c>
      <c r="Y29" s="25" t="b">
        <v>0</v>
      </c>
      <c r="Z29" s="6" t="n"/>
      <c r="AA29" s="6" t="n"/>
      <c r="AB29" s="6" t="n"/>
      <c r="AC29" s="6" t="n"/>
      <c r="AD29" s="30" t="n"/>
      <c r="AE29" s="30" t="n"/>
      <c r="AF29" s="25" t="b">
        <v>0</v>
      </c>
      <c r="AG29" s="25" t="b">
        <v>0</v>
      </c>
      <c r="AH29" s="6" t="n">
        <v>0</v>
      </c>
      <c r="AI29" s="6" t="b">
        <v>0</v>
      </c>
      <c r="AJ29" s="6" t="n"/>
      <c r="AK29" s="6" t="b">
        <v>0</v>
      </c>
      <c r="AL29" s="25" t="b">
        <v>0</v>
      </c>
      <c r="AM29" s="6" t="b">
        <v>0</v>
      </c>
      <c r="AN29" s="6" t="b">
        <v>0</v>
      </c>
      <c r="AO29" s="6" t="n"/>
      <c r="AP29" s="6" t="n"/>
      <c r="AQ29" s="6" t="inlineStr">
        <is>
          <t>2023-07-03T08:39:05+00:00</t>
        </is>
      </c>
      <c r="AR29" s="6" t="inlineStr">
        <is>
          <t>2023-07-03T08:39:05+00:00</t>
        </is>
      </c>
      <c r="AS29" s="6" t="inlineStr">
        <is>
          <t>weekly</t>
        </is>
      </c>
      <c r="AT29" s="6" t="inlineStr">
        <is>
          <t>0.7</t>
        </is>
      </c>
      <c r="AU29" s="6" t="n">
        <v>0</v>
      </c>
      <c r="AV29" s="6" t="n">
        <v>1</v>
      </c>
      <c r="AW29" s="6" t="n">
        <v>7</v>
      </c>
      <c r="AX29" s="6" t="inlineStr">
        <is>
          <t>0</t>
        </is>
      </c>
      <c r="AY29" s="6" t="b">
        <v>1</v>
      </c>
      <c r="AZ29" s="6" t="b">
        <v>0</v>
      </c>
      <c r="BA29" s="6" t="b">
        <v>0</v>
      </c>
      <c r="BB29" s="6" t="n">
        <v>432</v>
      </c>
      <c r="BC29" s="6" t="n">
        <v>2349</v>
      </c>
      <c r="BD29" s="6" t="n"/>
      <c r="BE29" s="6" t="inlineStr">
        <is>
          <t>https://africanmarketingconfederation.org/amc-conference-thank-you/::low_aeo_readiness_score | https://africanmarketingconfederation.org/amc-conference-thank-you/::no_compression_header | https://africanmarketingconfederation.org/amc-conference-thank-you/::no_cache-control_header | https://africanmarketingconfederation.org/amc-conference-thank-you/::no_etag_header | https://africanmarketingconfederation.org/amc-conference-thank-you/::no_faq_qa_schema | https://africanmarketingconfederation.org/amc-conference-thank-you/::no_question_headings | https://africanmarketingconfederation.org/amc-conference-thank-you/::no_answer-friendly_structure | https://africanmarketingconfederation.org/amc-conference-thank-you/::no_40-60_word_answer_paragraphs</t>
        </is>
      </c>
      <c r="BF29" s="30" t="n">
        <v>1</v>
      </c>
      <c r="BG29" s="30" t="b">
        <v>0</v>
      </c>
      <c r="BH29">
        <f>IFERROR(HYPERLINK("#Main!A"&amp;MATCH(A29,Main!A:A,0),"Open"),HYPERLINK("#Main!A1","Open"))</f>
        <v/>
      </c>
    </row>
    <row r="30" ht="30" customHeight="1">
      <c r="A30" s="33" t="inlineStr">
        <is>
          <t>https://africanmarketingconfederation.org/amc-forum-mombasa/</t>
        </is>
      </c>
      <c r="B30" s="4" t="n">
        <v>200</v>
      </c>
      <c r="C30" s="24" t="inlineStr">
        <is>
          <t>2xx</t>
        </is>
      </c>
      <c r="D30" s="24" t="n">
        <v>69</v>
      </c>
      <c r="E30" s="25" t="inlineStr">
        <is>
          <t>Warning</t>
        </is>
      </c>
      <c r="F30" s="24" t="inlineStr">
        <is>
          <t>Yes</t>
        </is>
      </c>
      <c r="G30" s="4" t="inlineStr">
        <is>
          <t>Indexable</t>
        </is>
      </c>
      <c r="H30" s="24" t="n">
        <v>66.33</v>
      </c>
      <c r="I30" s="24" t="n">
        <v>93.33</v>
      </c>
      <c r="J30" s="27" t="inlineStr">
        <is>
          <t>https://africanmarketingconfederation.org/amc-forum-mombasa/</t>
        </is>
      </c>
      <c r="K30" s="27" t="inlineStr">
        <is>
          <t>https</t>
        </is>
      </c>
      <c r="L30" s="24" t="n">
        <v>0</v>
      </c>
      <c r="M30" s="24" t="inlineStr">
        <is>
          <t>Copy Writer</t>
        </is>
      </c>
      <c r="N30" s="25" t="inlineStr">
        <is>
          <t>Open</t>
        </is>
      </c>
      <c r="O30" s="24" t="inlineStr"/>
      <c r="P30" s="24" t="inlineStr">
        <is>
          <t>WARN 🟡</t>
        </is>
      </c>
      <c r="Q30" s="24" t="inlineStr">
        <is>
          <t>https</t>
        </is>
      </c>
      <c r="R30" s="24" t="n">
        <v>0</v>
      </c>
      <c r="S30" s="24" t="inlineStr">
        <is>
          <t>text/html; charset=UTF-8</t>
        </is>
      </c>
      <c r="T30" s="27" t="inlineStr">
        <is>
          <t>HTTP/1.1</t>
        </is>
      </c>
      <c r="U30" s="24" t="b">
        <v>0</v>
      </c>
      <c r="V30" s="24" t="inlineStr">
        <is>
          <t>text/html; charset=UTF-8</t>
        </is>
      </c>
      <c r="W30" s="24" t="inlineStr">
        <is>
          <t>HTTP/1.1</t>
        </is>
      </c>
      <c r="X30" s="24" t="n">
        <v>629.88</v>
      </c>
      <c r="Y30" s="25" t="b">
        <v>0</v>
      </c>
      <c r="Z30" s="24" t="n"/>
      <c r="AA30" s="24" t="n"/>
      <c r="AB30" s="24" t="n"/>
      <c r="AC30" s="24" t="n"/>
      <c r="AD30" s="27" t="n"/>
      <c r="AE30" s="27" t="n"/>
      <c r="AF30" s="25" t="b">
        <v>0</v>
      </c>
      <c r="AG30" s="25" t="b">
        <v>0</v>
      </c>
      <c r="AH30" s="24" t="n">
        <v>0</v>
      </c>
      <c r="AI30" s="24" t="b">
        <v>0</v>
      </c>
      <c r="AJ30" s="24" t="n"/>
      <c r="AK30" s="24" t="b">
        <v>0</v>
      </c>
      <c r="AL30" s="25" t="b">
        <v>0</v>
      </c>
      <c r="AM30" s="24" t="b">
        <v>0</v>
      </c>
      <c r="AN30" s="24" t="b">
        <v>0</v>
      </c>
      <c r="AO30" s="24" t="n"/>
      <c r="AP30" s="24" t="n"/>
      <c r="AQ30" s="24" t="inlineStr">
        <is>
          <t>2025-02-18T07:06:42+00:00</t>
        </is>
      </c>
      <c r="AR30" s="24" t="inlineStr">
        <is>
          <t>2025-02-18T07:06:42+00:00</t>
        </is>
      </c>
      <c r="AS30" s="24" t="inlineStr">
        <is>
          <t>weekly</t>
        </is>
      </c>
      <c r="AT30" s="24" t="inlineStr">
        <is>
          <t>0.7</t>
        </is>
      </c>
      <c r="AU30" s="24" t="n">
        <v>0</v>
      </c>
      <c r="AV30" s="24" t="n">
        <v>1</v>
      </c>
      <c r="AW30" s="24" t="n">
        <v>7</v>
      </c>
      <c r="AX30" s="24" t="inlineStr">
        <is>
          <t>0</t>
        </is>
      </c>
      <c r="AY30" s="24" t="b">
        <v>1</v>
      </c>
      <c r="AZ30" s="24" t="b">
        <v>0</v>
      </c>
      <c r="BA30" s="24" t="b">
        <v>0</v>
      </c>
      <c r="BB30" s="24" t="n">
        <v>367</v>
      </c>
      <c r="BC30" s="24" t="n">
        <v>2356</v>
      </c>
      <c r="BD30" s="24" t="inlineStr">
        <is>
          <t>Near-duplicate title cluster | Near-duplicate meta description cluster</t>
        </is>
      </c>
      <c r="BE30" s="24" t="inlineStr">
        <is>
          <t>https://africanmarketingconfederation.org/amc-forum-mombasa/::low_aeo_readiness_score | https://africanmarketingconfederation.org/amc-forum-mombasa/::no_compression_header | https://africanmarketingconfederation.org/amc-forum-mombasa/::no_cache-control_header | https://africanmarketingconfederation.org/amc-forum-mombasa/::no_etag_header | https://africanmarketingconfederation.org/amc-forum-mombasa/::no_faq_qa_schema | https://africanmarketingconfederation.org/amc-forum-mombasa/::no_question_headings | https://africanmarketingconfederation.org/amc-forum-mombasa/::no_answer-friendly_structure | https://africanmarketingconfederation.org/amc-forum-mombasa/::no_40-60_word_answer_paragraphs</t>
        </is>
      </c>
      <c r="BF30" s="27" t="n">
        <v>1</v>
      </c>
      <c r="BG30" s="27" t="b">
        <v>0</v>
      </c>
      <c r="BH30">
        <f>IFERROR(HYPERLINK("#Main!A"&amp;MATCH(A30,Main!A:A,0),"Open"),HYPERLINK("#Main!A1","Open"))</f>
        <v/>
      </c>
    </row>
    <row r="31" ht="30" customHeight="1">
      <c r="A31" s="33" t="inlineStr">
        <is>
          <t>https://africanmarketingconfederation.org/amc-forum-payments/</t>
        </is>
      </c>
      <c r="B31" s="4" t="n">
        <v>200</v>
      </c>
      <c r="C31" s="6" t="inlineStr">
        <is>
          <t>2xx</t>
        </is>
      </c>
      <c r="D31" s="6" t="n">
        <v>49</v>
      </c>
      <c r="E31" s="25" t="inlineStr">
        <is>
          <t>Warning</t>
        </is>
      </c>
      <c r="F31" s="6" t="inlineStr">
        <is>
          <t>Yes</t>
        </is>
      </c>
      <c r="G31" s="4" t="inlineStr">
        <is>
          <t>Indexable</t>
        </is>
      </c>
      <c r="H31" s="6" t="n">
        <v>62.66</v>
      </c>
      <c r="I31" s="6" t="n">
        <v>97.44</v>
      </c>
      <c r="J31" s="30" t="inlineStr">
        <is>
          <t>https://africanmarketingconfederation.org/amc-forum-payments/</t>
        </is>
      </c>
      <c r="K31" s="30" t="inlineStr">
        <is>
          <t>https</t>
        </is>
      </c>
      <c r="L31" s="6" t="n">
        <v>0</v>
      </c>
      <c r="M31" s="6" t="inlineStr">
        <is>
          <t>Copy Writer</t>
        </is>
      </c>
      <c r="N31" s="25" t="inlineStr">
        <is>
          <t>Open</t>
        </is>
      </c>
      <c r="O31" s="6" t="inlineStr"/>
      <c r="P31" s="6" t="inlineStr">
        <is>
          <t>WARN 🟡</t>
        </is>
      </c>
      <c r="Q31" s="6" t="inlineStr">
        <is>
          <t>https</t>
        </is>
      </c>
      <c r="R31" s="6" t="n">
        <v>0</v>
      </c>
      <c r="S31" s="6" t="inlineStr">
        <is>
          <t>text/html; charset=UTF-8</t>
        </is>
      </c>
      <c r="T31" s="30" t="inlineStr">
        <is>
          <t>HTTP/1.1</t>
        </is>
      </c>
      <c r="U31" s="6" t="b">
        <v>0</v>
      </c>
      <c r="V31" s="6" t="inlineStr">
        <is>
          <t>text/html; charset=UTF-8</t>
        </is>
      </c>
      <c r="W31" s="6" t="inlineStr">
        <is>
          <t>HTTP/1.1</t>
        </is>
      </c>
      <c r="X31" s="6" t="n">
        <v>393.95</v>
      </c>
      <c r="Y31" s="25" t="b">
        <v>0</v>
      </c>
      <c r="Z31" s="6" t="n"/>
      <c r="AA31" s="6" t="n"/>
      <c r="AB31" s="6" t="n"/>
      <c r="AC31" s="6" t="n"/>
      <c r="AD31" s="30" t="n"/>
      <c r="AE31" s="30" t="n"/>
      <c r="AF31" s="25" t="b">
        <v>0</v>
      </c>
      <c r="AG31" s="25" t="b">
        <v>0</v>
      </c>
      <c r="AH31" s="6" t="n">
        <v>0</v>
      </c>
      <c r="AI31" s="6" t="b">
        <v>0</v>
      </c>
      <c r="AJ31" s="6" t="n"/>
      <c r="AK31" s="6" t="b">
        <v>0</v>
      </c>
      <c r="AL31" s="25" t="b">
        <v>0</v>
      </c>
      <c r="AM31" s="6" t="b">
        <v>0</v>
      </c>
      <c r="AN31" s="6" t="b">
        <v>0</v>
      </c>
      <c r="AO31" s="6" t="n"/>
      <c r="AP31" s="6" t="n"/>
      <c r="AQ31" s="6" t="inlineStr">
        <is>
          <t>2025-05-14T06:45:46+00:00</t>
        </is>
      </c>
      <c r="AR31" s="6" t="inlineStr">
        <is>
          <t>2025-05-14T06:45:46+00:00</t>
        </is>
      </c>
      <c r="AS31" s="6" t="inlineStr">
        <is>
          <t>weekly</t>
        </is>
      </c>
      <c r="AT31" s="6" t="inlineStr">
        <is>
          <t>0.7</t>
        </is>
      </c>
      <c r="AU31" s="6" t="n">
        <v>0</v>
      </c>
      <c r="AV31" s="6" t="n">
        <v>3</v>
      </c>
      <c r="AW31" s="6" t="n">
        <v>7</v>
      </c>
      <c r="AX31" s="6" t="inlineStr">
        <is>
          <t>0</t>
        </is>
      </c>
      <c r="AY31" s="6" t="b">
        <v>1</v>
      </c>
      <c r="AZ31" s="6" t="b">
        <v>0</v>
      </c>
      <c r="BA31" s="6" t="b">
        <v>0</v>
      </c>
      <c r="BB31" s="6" t="n">
        <v>374</v>
      </c>
      <c r="BC31" s="6" t="n">
        <v>1698</v>
      </c>
      <c r="BD31" s="6" t="n"/>
      <c r="BE31" s="6" t="inlineStr">
        <is>
          <t>https://africanmarketingconfederation.org/amc-forum-payments/::missing_h1 | https://africanmarketingconfederation.org/amc-forum-payments/::thin_content | https://africanmarketingconfederation.org/amc-forum-payments/::low_aeo_readiness_score | https://africanmarketingconfederation.org/amc-forum-payments/::no_compression_header | https://africanmarketingconfederation.org/amc-forum-payments/::no_cache-control_header | https://africanmarketingconfederation.org/amc-forum-payments/::no_etag_header | https://africanmarketingconfederation.org/amc-forum-payments/::no_faq_qa_schema | https://africanmarketingconfederation.org/amc-forum-payments/::no_question_headings | https://africanmarketingconfederation.org/amc-forum-payments/::no_answer-friendly_structure | https://africanmarketingconfederation.org/amc-forum-payments/::no_40-60_word_answer_paragraphs</t>
        </is>
      </c>
      <c r="BF31" s="30" t="n">
        <v>1</v>
      </c>
      <c r="BG31" s="30" t="b">
        <v>0</v>
      </c>
      <c r="BH31">
        <f>IFERROR(HYPERLINK("#Main!A"&amp;MATCH(A31,Main!A:A,0),"Open"),HYPERLINK("#Main!A1","Open"))</f>
        <v/>
      </c>
    </row>
    <row r="32" ht="30" customHeight="1">
      <c r="A32" s="33" t="inlineStr">
        <is>
          <t>https://africanmarketingconfederation.org/amc-launch-event-zambia-thank-you-2026/</t>
        </is>
      </c>
      <c r="B32" s="4" t="n">
        <v>200</v>
      </c>
      <c r="C32" s="24" t="inlineStr">
        <is>
          <t>2xx</t>
        </is>
      </c>
      <c r="D32" s="24" t="n">
        <v>49</v>
      </c>
      <c r="E32" s="25" t="inlineStr">
        <is>
          <t>Warning</t>
        </is>
      </c>
      <c r="F32" s="24" t="inlineStr">
        <is>
          <t>Yes</t>
        </is>
      </c>
      <c r="G32" s="4" t="inlineStr">
        <is>
          <t>Indexable</t>
        </is>
      </c>
      <c r="H32" s="24" t="n">
        <v>54.33</v>
      </c>
      <c r="I32" s="24" t="n">
        <v>93.36</v>
      </c>
      <c r="J32" s="27" t="inlineStr">
        <is>
          <t>https://africanmarketingconfederation.org/amc-launch-event-zambia-thank-you-2026/</t>
        </is>
      </c>
      <c r="K32" s="27" t="inlineStr">
        <is>
          <t>https</t>
        </is>
      </c>
      <c r="L32" s="24" t="n">
        <v>0</v>
      </c>
      <c r="M32" s="24" t="inlineStr">
        <is>
          <t>Copy Writer</t>
        </is>
      </c>
      <c r="N32" s="25" t="inlineStr">
        <is>
          <t>Open</t>
        </is>
      </c>
      <c r="O32" s="24" t="inlineStr"/>
      <c r="P32" s="24" t="inlineStr">
        <is>
          <t>WARN 🟡</t>
        </is>
      </c>
      <c r="Q32" s="24" t="inlineStr">
        <is>
          <t>https</t>
        </is>
      </c>
      <c r="R32" s="24" t="n">
        <v>0</v>
      </c>
      <c r="S32" s="24" t="inlineStr">
        <is>
          <t>text/html; charset=UTF-8</t>
        </is>
      </c>
      <c r="T32" s="27" t="inlineStr">
        <is>
          <t>HTTP/1.1</t>
        </is>
      </c>
      <c r="U32" s="24" t="b">
        <v>0</v>
      </c>
      <c r="V32" s="24" t="inlineStr">
        <is>
          <t>text/html; charset=UTF-8</t>
        </is>
      </c>
      <c r="W32" s="24" t="inlineStr">
        <is>
          <t>HTTP/1.1</t>
        </is>
      </c>
      <c r="X32" s="24" t="n">
        <v>309.25</v>
      </c>
      <c r="Y32" s="25" t="b">
        <v>0</v>
      </c>
      <c r="Z32" s="24" t="n"/>
      <c r="AA32" s="24" t="n"/>
      <c r="AB32" s="24" t="n"/>
      <c r="AC32" s="24" t="n"/>
      <c r="AD32" s="27" t="n"/>
      <c r="AE32" s="27" t="n"/>
      <c r="AF32" s="25" t="b">
        <v>0</v>
      </c>
      <c r="AG32" s="25" t="b">
        <v>0</v>
      </c>
      <c r="AH32" s="24" t="n">
        <v>0</v>
      </c>
      <c r="AI32" s="24" t="b">
        <v>0</v>
      </c>
      <c r="AJ32" s="24" t="n"/>
      <c r="AK32" s="24" t="b">
        <v>0</v>
      </c>
      <c r="AL32" s="25" t="b">
        <v>0</v>
      </c>
      <c r="AM32" s="24" t="b">
        <v>0</v>
      </c>
      <c r="AN32" s="24" t="b">
        <v>0</v>
      </c>
      <c r="AO32" s="24" t="n"/>
      <c r="AP32" s="24" t="n"/>
      <c r="AQ32" s="24" t="inlineStr">
        <is>
          <t>2026-03-04T06:43:51+00:00</t>
        </is>
      </c>
      <c r="AR32" s="24" t="inlineStr">
        <is>
          <t>2026-03-04T06:43:51+00:00</t>
        </is>
      </c>
      <c r="AS32" s="24" t="inlineStr">
        <is>
          <t>weekly</t>
        </is>
      </c>
      <c r="AT32" s="24" t="inlineStr">
        <is>
          <t>0.7</t>
        </is>
      </c>
      <c r="AU32" s="24" t="n">
        <v>0</v>
      </c>
      <c r="AV32" s="24" t="n">
        <v>3</v>
      </c>
      <c r="AW32" s="24" t="n">
        <v>7</v>
      </c>
      <c r="AX32" s="24" t="inlineStr">
        <is>
          <t>0</t>
        </is>
      </c>
      <c r="AY32" s="24" t="b">
        <v>1</v>
      </c>
      <c r="AZ32" s="24" t="b">
        <v>0</v>
      </c>
      <c r="BA32" s="24" t="b">
        <v>0</v>
      </c>
      <c r="BB32" s="24" t="n">
        <v>518</v>
      </c>
      <c r="BC32" s="24" t="n">
        <v>2151</v>
      </c>
      <c r="BD32" s="24" t="n"/>
      <c r="BE32" s="24" t="inlineStr">
        <is>
          <t>https://africanmarketingconfederation.org/amc-launch-event-zambia-thank-you-2026/::multiple_h1 | https://africanmarketingconfederation.org/amc-launch-event-zambia-thank-you-2026/::thin_content | https://africanmarketingconfederation.org/amc-launch-event-zambia-thank-you-2026/::low_aeo_readiness_score | https://africanmarketingconfederation.org/amc-launch-event-zambia-thank-you-2026/::no_compression_header | https://africanmarketingconfederation.org/amc-launch-event-zambia-thank-you-2026/::no_cache-control_header | https://africanmarketingconfederation.org/amc-launch-event-zambia-thank-you-2026/::no_etag_header | https://africanmarketingconfederation.org/amc-launch-event-zambia-thank-you-2026/::no_faq_qa_schema | https://africanmarketingconfederation.org/amc-launch-event-zambia-thank-you-2026/::no_question_headings | https://africanmarketingconfederation.org/amc-launch-event-zambia-thank-you-2026/::no_answer-friendly_structure | https://africanmarketingconfederation.org/amc-launch-event-zambia-thank-you-2026/::no_40-60_word_answer_paragraphs</t>
        </is>
      </c>
      <c r="BF32" s="27" t="n">
        <v>1</v>
      </c>
      <c r="BG32" s="27" t="b">
        <v>0</v>
      </c>
      <c r="BH32">
        <f>IFERROR(HYPERLINK("#Main!A"&amp;MATCH(A32,Main!A:A,0),"Open"),HYPERLINK("#Main!A1","Open"))</f>
        <v/>
      </c>
    </row>
    <row r="33" ht="30" customHeight="1">
      <c r="A33" s="33" t="inlineStr">
        <is>
          <t>https://africanmarketingconfederation.org/amc-marketing-conference-2024/</t>
        </is>
      </c>
      <c r="B33" s="4" t="n">
        <v>200</v>
      </c>
      <c r="C33" s="6" t="inlineStr">
        <is>
          <t>2xx</t>
        </is>
      </c>
      <c r="D33" s="6" t="n">
        <v>69</v>
      </c>
      <c r="E33" s="25" t="inlineStr">
        <is>
          <t>Warning</t>
        </is>
      </c>
      <c r="F33" s="6" t="inlineStr">
        <is>
          <t>Yes</t>
        </is>
      </c>
      <c r="G33" s="4" t="inlineStr">
        <is>
          <t>Indexable</t>
        </is>
      </c>
      <c r="H33" s="6" t="n">
        <v>1594.89</v>
      </c>
      <c r="I33" s="6" t="n">
        <v>1666.55</v>
      </c>
      <c r="J33" s="30" t="inlineStr">
        <is>
          <t>https://africanmarketingconfederation.org/amc-forum-mombasa/</t>
        </is>
      </c>
      <c r="K33" s="30" t="inlineStr">
        <is>
          <t>https</t>
        </is>
      </c>
      <c r="L33" s="6" t="n">
        <v>1</v>
      </c>
      <c r="M33" s="6" t="inlineStr">
        <is>
          <t>Copy Writer</t>
        </is>
      </c>
      <c r="N33" s="25" t="inlineStr">
        <is>
          <t>Open</t>
        </is>
      </c>
      <c r="O33" s="6" t="inlineStr"/>
      <c r="P33" s="6" t="inlineStr">
        <is>
          <t>WARN 🟡</t>
        </is>
      </c>
      <c r="Q33" s="6" t="inlineStr">
        <is>
          <t>https</t>
        </is>
      </c>
      <c r="R33" s="6" t="n">
        <v>1</v>
      </c>
      <c r="S33" s="6" t="inlineStr">
        <is>
          <t>text/html; charset=UTF-8</t>
        </is>
      </c>
      <c r="T33" s="30" t="inlineStr">
        <is>
          <t>HTTP/1.1</t>
        </is>
      </c>
      <c r="U33" s="6" t="b">
        <v>0</v>
      </c>
      <c r="V33" s="6" t="inlineStr">
        <is>
          <t>text/html; charset=UTF-8</t>
        </is>
      </c>
      <c r="W33" s="6" t="inlineStr">
        <is>
          <t>HTTP/1.1</t>
        </is>
      </c>
      <c r="X33" s="6" t="n">
        <v>629.88</v>
      </c>
      <c r="Y33" s="25" t="b">
        <v>0</v>
      </c>
      <c r="Z33" s="6" t="n"/>
      <c r="AA33" s="6" t="n"/>
      <c r="AB33" s="6" t="n"/>
      <c r="AC33" s="6" t="n"/>
      <c r="AD33" s="30" t="n"/>
      <c r="AE33" s="30" t="n"/>
      <c r="AF33" s="25" t="b">
        <v>0</v>
      </c>
      <c r="AG33" s="25" t="b">
        <v>0</v>
      </c>
      <c r="AH33" s="6" t="n">
        <v>0</v>
      </c>
      <c r="AI33" s="6" t="b">
        <v>0</v>
      </c>
      <c r="AJ33" s="6" t="n"/>
      <c r="AK33" s="6" t="b">
        <v>0</v>
      </c>
      <c r="AL33" s="25" t="b">
        <v>0</v>
      </c>
      <c r="AM33" s="6" t="b">
        <v>0</v>
      </c>
      <c r="AN33" s="6" t="b">
        <v>0</v>
      </c>
      <c r="AO33" s="6" t="n"/>
      <c r="AP33" s="6" t="n"/>
      <c r="AQ33" s="6" t="inlineStr">
        <is>
          <t>2025-02-10T13:53:27+00:00</t>
        </is>
      </c>
      <c r="AR33" s="6" t="inlineStr">
        <is>
          <t>2025-02-10T13:53:27+00:00</t>
        </is>
      </c>
      <c r="AS33" s="6" t="inlineStr">
        <is>
          <t>weekly</t>
        </is>
      </c>
      <c r="AT33" s="6" t="inlineStr">
        <is>
          <t>0.7</t>
        </is>
      </c>
      <c r="AU33" s="6" t="n">
        <v>0</v>
      </c>
      <c r="AV33" s="6" t="n">
        <v>1</v>
      </c>
      <c r="AW33" s="6" t="n">
        <v>7</v>
      </c>
      <c r="AX33" s="6" t="inlineStr">
        <is>
          <t>0</t>
        </is>
      </c>
      <c r="AY33" s="6" t="b">
        <v>1</v>
      </c>
      <c r="AZ33" s="6" t="b">
        <v>0</v>
      </c>
      <c r="BA33" s="6" t="b">
        <v>0</v>
      </c>
      <c r="BB33" s="6" t="n">
        <v>367</v>
      </c>
      <c r="BC33" s="6" t="n">
        <v>2356</v>
      </c>
      <c r="BD33" s="6" t="inlineStr">
        <is>
          <t>Near-duplicate title cluster | Near-duplicate meta description cluster</t>
        </is>
      </c>
      <c r="BE33" s="6" t="inlineStr">
        <is>
          <t>https://africanmarketingconfederation.org/amc-marketing-conference-2024/::low_aeo_readiness_score | https://africanmarketingconfederation.org/amc-marketing-conference-2024/::no_compression_header | https://africanmarketingconfederation.org/amc-marketing-conference-2024/::no_cache-control_header | https://africanmarketingconfederation.org/amc-marketing-conference-2024/::no_etag_header | https://africanmarketingconfederation.org/amc-marketing-conference-2024/::no_faq_qa_schema | https://africanmarketingconfederation.org/amc-marketing-conference-2024/::no_question_headings | https://africanmarketingconfederation.org/amc-marketing-conference-2024/::no_answer-friendly_structure | https://africanmarketingconfederation.org/amc-marketing-conference-2024/::no_40-60_word_answer_paragraphs</t>
        </is>
      </c>
      <c r="BF33" s="30" t="n">
        <v>1</v>
      </c>
      <c r="BG33" s="30" t="b">
        <v>0</v>
      </c>
      <c r="BH33">
        <f>IFERROR(HYPERLINK("#Main!A"&amp;MATCH(A33,Main!A:A,0),"Open"),HYPERLINK("#Main!A1","Open"))</f>
        <v/>
      </c>
    </row>
    <row r="34" ht="45" customHeight="1">
      <c r="A34" s="33" t="inlineStr">
        <is>
          <t>https://africanmarketingconfederation.org/amc-marketing-conference-2024/amc-conference-2025-ghana-sponsors/</t>
        </is>
      </c>
      <c r="B34" s="4" t="n">
        <v>200</v>
      </c>
      <c r="C34" s="24" t="inlineStr">
        <is>
          <t>2xx</t>
        </is>
      </c>
      <c r="D34" s="24" t="n">
        <v>59</v>
      </c>
      <c r="E34" s="25" t="inlineStr">
        <is>
          <t>Warning</t>
        </is>
      </c>
      <c r="F34" s="24" t="inlineStr">
        <is>
          <t>Yes</t>
        </is>
      </c>
      <c r="G34" s="4" t="inlineStr">
        <is>
          <t>Indexable</t>
        </is>
      </c>
      <c r="H34" s="24" t="n">
        <v>53.12</v>
      </c>
      <c r="I34" s="24" t="n">
        <v>81.63</v>
      </c>
      <c r="J34" s="27" t="inlineStr">
        <is>
          <t>https://africanmarketingconfederation.org/amc-marketing-conference-2024/amc-conference-2025-ghana-sponsors/</t>
        </is>
      </c>
      <c r="K34" s="27" t="inlineStr">
        <is>
          <t>https</t>
        </is>
      </c>
      <c r="L34" s="24" t="n">
        <v>0</v>
      </c>
      <c r="M34" s="24" t="inlineStr">
        <is>
          <t>Copy Writer</t>
        </is>
      </c>
      <c r="N34" s="25" t="inlineStr">
        <is>
          <t>Open</t>
        </is>
      </c>
      <c r="O34" s="24" t="inlineStr"/>
      <c r="P34" s="24" t="inlineStr">
        <is>
          <t>WARN 🟡</t>
        </is>
      </c>
      <c r="Q34" s="24" t="inlineStr">
        <is>
          <t>https</t>
        </is>
      </c>
      <c r="R34" s="24" t="n">
        <v>0</v>
      </c>
      <c r="S34" s="24" t="inlineStr">
        <is>
          <t>text/html; charset=UTF-8</t>
        </is>
      </c>
      <c r="T34" s="27" t="inlineStr">
        <is>
          <t>HTTP/1.1</t>
        </is>
      </c>
      <c r="U34" s="24" t="b">
        <v>0</v>
      </c>
      <c r="V34" s="24" t="inlineStr">
        <is>
          <t>text/html; charset=UTF-8</t>
        </is>
      </c>
      <c r="W34" s="24" t="inlineStr">
        <is>
          <t>HTTP/1.1</t>
        </is>
      </c>
      <c r="X34" s="24" t="n">
        <v>246.64</v>
      </c>
      <c r="Y34" s="25" t="b">
        <v>0</v>
      </c>
      <c r="Z34" s="24" t="n"/>
      <c r="AA34" s="24" t="n"/>
      <c r="AB34" s="24" t="n"/>
      <c r="AC34" s="24" t="n"/>
      <c r="AD34" s="27" t="n"/>
      <c r="AE34" s="27" t="n"/>
      <c r="AF34" s="25" t="b">
        <v>0</v>
      </c>
      <c r="AG34" s="25" t="b">
        <v>0</v>
      </c>
      <c r="AH34" s="24" t="n">
        <v>0</v>
      </c>
      <c r="AI34" s="24" t="b">
        <v>0</v>
      </c>
      <c r="AJ34" s="24" t="n"/>
      <c r="AK34" s="24" t="b">
        <v>0</v>
      </c>
      <c r="AL34" s="25" t="b">
        <v>0</v>
      </c>
      <c r="AM34" s="24" t="b">
        <v>0</v>
      </c>
      <c r="AN34" s="24" t="b">
        <v>0</v>
      </c>
      <c r="AO34" s="24" t="n"/>
      <c r="AP34" s="24" t="n"/>
      <c r="AQ34" s="24" t="inlineStr">
        <is>
          <t>2025-05-15T13:46:52+00:00</t>
        </is>
      </c>
      <c r="AR34" s="24" t="inlineStr">
        <is>
          <t>2025-05-15T13:46:52+00:00</t>
        </is>
      </c>
      <c r="AS34" s="24" t="inlineStr">
        <is>
          <t>weekly</t>
        </is>
      </c>
      <c r="AT34" s="24" t="inlineStr">
        <is>
          <t>0.7</t>
        </is>
      </c>
      <c r="AU34" s="24" t="n">
        <v>0</v>
      </c>
      <c r="AV34" s="24" t="n">
        <v>2</v>
      </c>
      <c r="AW34" s="24" t="n">
        <v>7</v>
      </c>
      <c r="AX34" s="24" t="inlineStr">
        <is>
          <t>0</t>
        </is>
      </c>
      <c r="AY34" s="24" t="b">
        <v>1</v>
      </c>
      <c r="AZ34" s="24" t="b">
        <v>0</v>
      </c>
      <c r="BA34" s="24" t="b">
        <v>0</v>
      </c>
      <c r="BB34" s="24" t="n">
        <v>489</v>
      </c>
      <c r="BC34" s="24" t="n">
        <v>2145</v>
      </c>
      <c r="BD34" s="24" t="n"/>
      <c r="BE34" s="24" t="inlineStr">
        <is>
          <t>https://africanmarketingconfederation.org/amc-marketing-conference-2024/amc-conference-2025-ghana-sponsors/::thin_content | https://africanmarketingconfederation.org/amc-marketing-conference-2024/amc-conference-2025-ghana-sponsors/::low_aeo_readiness_score | https://africanmarketingconfederation.org/amc-marketing-conference-2024/amc-conference-2025-ghana-sponsors/::no_compression_header | https://africanmarketingconfederation.org/amc-marketing-conference-2024/amc-conference-2025-ghana-sponsors/::no_cache-control_header | https://africanmarketingconfederation.org/amc-marketing-conference-2024/amc-conference-2025-ghana-sponsors/::no_etag_header | https://africanmarketingconfederation.org/amc-marketing-conference-2024/amc-conference-2025-ghana-sponsors/::no_faq_qa_schema | https://africanmarketingconfederation.org/amc-marketing-conference-2024/amc-conference-2025-ghana-sponsors/::no_question_headings | https://africanmarketingconfederation.org/amc-marketing-conference-2024/amc-conference-2025-ghana-sponsors/::no_answer-friendly_structure | https://africanmarketingconfederation.org/amc-marketing-conference-2024/amc-conference-2025-ghana-sponsors/::no_40-60_word_answer_paragraphs</t>
        </is>
      </c>
      <c r="BF34" s="27" t="n">
        <v>2</v>
      </c>
      <c r="BG34" s="27" t="b">
        <v>0</v>
      </c>
      <c r="BH34">
        <f>IFERROR(HYPERLINK("#Main!A"&amp;MATCH(A34,Main!A:A,0),"Open"),HYPERLINK("#Main!A1","Open"))</f>
        <v/>
      </c>
    </row>
    <row r="35" ht="30" customHeight="1">
      <c r="A35" s="33" t="inlineStr">
        <is>
          <t>https://africanmarketingconfederation.org/amc-marketing-conference-2024/amc-launch-event-2025/</t>
        </is>
      </c>
      <c r="B35" s="4" t="n">
        <v>200</v>
      </c>
      <c r="C35" s="6" t="inlineStr">
        <is>
          <t>2xx</t>
        </is>
      </c>
      <c r="D35" s="6" t="n">
        <v>69</v>
      </c>
      <c r="E35" s="25" t="inlineStr">
        <is>
          <t>Warning</t>
        </is>
      </c>
      <c r="F35" s="6" t="inlineStr">
        <is>
          <t>Yes</t>
        </is>
      </c>
      <c r="G35" s="4" t="inlineStr">
        <is>
          <t>Indexable</t>
        </is>
      </c>
      <c r="H35" s="6" t="n">
        <v>44.33</v>
      </c>
      <c r="I35" s="6" t="n">
        <v>59.33</v>
      </c>
      <c r="J35" s="30" t="inlineStr">
        <is>
          <t>https://africanmarketingconfederation.org/amc-marketing-conference-2024/amc-launch-event-2025/</t>
        </is>
      </c>
      <c r="K35" s="30" t="inlineStr">
        <is>
          <t>https</t>
        </is>
      </c>
      <c r="L35" s="6" t="n">
        <v>0</v>
      </c>
      <c r="M35" s="6" t="inlineStr">
        <is>
          <t>Copy Writer</t>
        </is>
      </c>
      <c r="N35" s="25" t="inlineStr">
        <is>
          <t>Open</t>
        </is>
      </c>
      <c r="O35" s="6" t="inlineStr"/>
      <c r="P35" s="6" t="inlineStr">
        <is>
          <t>WARN 🟡</t>
        </is>
      </c>
      <c r="Q35" s="6" t="inlineStr">
        <is>
          <t>https</t>
        </is>
      </c>
      <c r="R35" s="6" t="n">
        <v>0</v>
      </c>
      <c r="S35" s="6" t="inlineStr">
        <is>
          <t>text/html; charset=UTF-8</t>
        </is>
      </c>
      <c r="T35" s="30" t="inlineStr">
        <is>
          <t>HTTP/1.1</t>
        </is>
      </c>
      <c r="U35" s="6" t="b">
        <v>0</v>
      </c>
      <c r="V35" s="6" t="inlineStr">
        <is>
          <t>text/html; charset=UTF-8</t>
        </is>
      </c>
      <c r="W35" s="6" t="inlineStr">
        <is>
          <t>HTTP/1.1</t>
        </is>
      </c>
      <c r="X35" s="6" t="n">
        <v>375.39</v>
      </c>
      <c r="Y35" s="25" t="b">
        <v>0</v>
      </c>
      <c r="Z35" s="6" t="n"/>
      <c r="AA35" s="6" t="n"/>
      <c r="AB35" s="6" t="n"/>
      <c r="AC35" s="6" t="n"/>
      <c r="AD35" s="30" t="n"/>
      <c r="AE35" s="30" t="n"/>
      <c r="AF35" s="25" t="b">
        <v>0</v>
      </c>
      <c r="AG35" s="25" t="b">
        <v>0</v>
      </c>
      <c r="AH35" s="6" t="n">
        <v>0</v>
      </c>
      <c r="AI35" s="6" t="b">
        <v>0</v>
      </c>
      <c r="AJ35" s="6" t="n"/>
      <c r="AK35" s="6" t="b">
        <v>0</v>
      </c>
      <c r="AL35" s="25" t="b">
        <v>0</v>
      </c>
      <c r="AM35" s="6" t="b">
        <v>0</v>
      </c>
      <c r="AN35" s="6" t="b">
        <v>0</v>
      </c>
      <c r="AO35" s="6" t="n"/>
      <c r="AP35" s="6" t="n"/>
      <c r="AQ35" s="6" t="inlineStr">
        <is>
          <t>2025-05-06T09:54:46+00:00</t>
        </is>
      </c>
      <c r="AR35" s="6" t="inlineStr">
        <is>
          <t>2025-05-06T09:54:46+00:00</t>
        </is>
      </c>
      <c r="AS35" s="6" t="inlineStr">
        <is>
          <t>weekly</t>
        </is>
      </c>
      <c r="AT35" s="6" t="inlineStr">
        <is>
          <t>0.7</t>
        </is>
      </c>
      <c r="AU35" s="6" t="n">
        <v>0</v>
      </c>
      <c r="AV35" s="6" t="n">
        <v>1</v>
      </c>
      <c r="AW35" s="6" t="n">
        <v>7</v>
      </c>
      <c r="AX35" s="6" t="inlineStr">
        <is>
          <t>0</t>
        </is>
      </c>
      <c r="AY35" s="6" t="b">
        <v>1</v>
      </c>
      <c r="AZ35" s="6" t="b">
        <v>0</v>
      </c>
      <c r="BA35" s="6" t="b">
        <v>0</v>
      </c>
      <c r="BB35" s="6" t="n">
        <v>396</v>
      </c>
      <c r="BC35" s="6" t="n">
        <v>4352</v>
      </c>
      <c r="BD35" s="6" t="n"/>
      <c r="BE35" s="6" t="inlineStr">
        <is>
          <t>https://africanmarketingconfederation.org/amc-marketing-conference-2024/amc-launch-event-2025/::low_aeo_readiness_score | https://africanmarketingconfederation.org/amc-marketing-conference-2024/amc-launch-event-2025/::no_compression_header | https://africanmarketingconfederation.org/amc-marketing-conference-2024/amc-launch-event-2025/::no_cache-control_header | https://africanmarketingconfederation.org/amc-marketing-conference-2024/amc-launch-event-2025/::no_etag_header | https://africanmarketingconfederation.org/amc-marketing-conference-2024/amc-launch-event-2025/::no_faq_qa_schema | https://africanmarketingconfederation.org/amc-marketing-conference-2024/amc-launch-event-2025/::no_question_headings | https://africanmarketingconfederation.org/amc-marketing-conference-2024/amc-launch-event-2025/::no_answer-friendly_structure | https://africanmarketingconfederation.org/amc-marketing-conference-2024/amc-launch-event-2025/::no_40-60_word_answer_paragraphs</t>
        </is>
      </c>
      <c r="BF35" s="30" t="n">
        <v>2</v>
      </c>
      <c r="BG35" s="30" t="b">
        <v>0</v>
      </c>
      <c r="BH35">
        <f>IFERROR(HYPERLINK("#Main!A"&amp;MATCH(A35,Main!A:A,0),"Open"),HYPERLINK("#Main!A1","Open"))</f>
        <v/>
      </c>
    </row>
    <row r="36" ht="30" customHeight="1">
      <c r="A36" s="33" t="inlineStr">
        <is>
          <t>https://africanmarketingconfederation.org/amc-marketing-conference-2024/amc-preregister-2025/</t>
        </is>
      </c>
      <c r="B36" s="4" t="n">
        <v>200</v>
      </c>
      <c r="C36" s="24" t="inlineStr">
        <is>
          <t>2xx</t>
        </is>
      </c>
      <c r="D36" s="24" t="n">
        <v>69</v>
      </c>
      <c r="E36" s="25" t="inlineStr">
        <is>
          <t>Warning</t>
        </is>
      </c>
      <c r="F36" s="24" t="inlineStr">
        <is>
          <t>Yes</t>
        </is>
      </c>
      <c r="G36" s="4" t="inlineStr">
        <is>
          <t>Indexable</t>
        </is>
      </c>
      <c r="H36" s="24" t="n">
        <v>54.34</v>
      </c>
      <c r="I36" s="24" t="n">
        <v>78.77</v>
      </c>
      <c r="J36" s="27" t="inlineStr">
        <is>
          <t>https://africanmarketingconfederation.org/amc-marketing-conference-2024/amc-preregister-2025/</t>
        </is>
      </c>
      <c r="K36" s="27" t="inlineStr">
        <is>
          <t>https</t>
        </is>
      </c>
      <c r="L36" s="24" t="n">
        <v>0</v>
      </c>
      <c r="M36" s="24" t="inlineStr">
        <is>
          <t>Copy Writer</t>
        </is>
      </c>
      <c r="N36" s="25" t="inlineStr">
        <is>
          <t>Open</t>
        </is>
      </c>
      <c r="O36" s="24" t="inlineStr"/>
      <c r="P36" s="24" t="inlineStr">
        <is>
          <t>WARN 🟡</t>
        </is>
      </c>
      <c r="Q36" s="24" t="inlineStr">
        <is>
          <t>https</t>
        </is>
      </c>
      <c r="R36" s="24" t="n">
        <v>0</v>
      </c>
      <c r="S36" s="24" t="inlineStr">
        <is>
          <t>text/html; charset=UTF-8</t>
        </is>
      </c>
      <c r="T36" s="27" t="inlineStr">
        <is>
          <t>HTTP/1.1</t>
        </is>
      </c>
      <c r="U36" s="24" t="b">
        <v>0</v>
      </c>
      <c r="V36" s="24" t="inlineStr">
        <is>
          <t>text/html; charset=UTF-8</t>
        </is>
      </c>
      <c r="W36" s="24" t="inlineStr">
        <is>
          <t>HTTP/1.1</t>
        </is>
      </c>
      <c r="X36" s="24" t="n">
        <v>374.4</v>
      </c>
      <c r="Y36" s="25" t="b">
        <v>0</v>
      </c>
      <c r="Z36" s="24" t="n"/>
      <c r="AA36" s="24" t="n"/>
      <c r="AB36" s="24" t="n"/>
      <c r="AC36" s="24" t="n"/>
      <c r="AD36" s="27" t="n"/>
      <c r="AE36" s="27" t="n"/>
      <c r="AF36" s="25" t="b">
        <v>0</v>
      </c>
      <c r="AG36" s="25" t="b">
        <v>0</v>
      </c>
      <c r="AH36" s="24" t="n">
        <v>0</v>
      </c>
      <c r="AI36" s="24" t="b">
        <v>0</v>
      </c>
      <c r="AJ36" s="24" t="n"/>
      <c r="AK36" s="24" t="b">
        <v>0</v>
      </c>
      <c r="AL36" s="25" t="b">
        <v>0</v>
      </c>
      <c r="AM36" s="24" t="b">
        <v>0</v>
      </c>
      <c r="AN36" s="24" t="b">
        <v>0</v>
      </c>
      <c r="AO36" s="24" t="n"/>
      <c r="AP36" s="24" t="n"/>
      <c r="AQ36" s="24" t="inlineStr">
        <is>
          <t>2025-05-21T07:15:39+00:00</t>
        </is>
      </c>
      <c r="AR36" s="24" t="inlineStr">
        <is>
          <t>2025-05-21T07:15:39+00:00</t>
        </is>
      </c>
      <c r="AS36" s="24" t="inlineStr">
        <is>
          <t>weekly</t>
        </is>
      </c>
      <c r="AT36" s="24" t="inlineStr">
        <is>
          <t>0.7</t>
        </is>
      </c>
      <c r="AU36" s="24" t="n">
        <v>0</v>
      </c>
      <c r="AV36" s="24" t="n">
        <v>1</v>
      </c>
      <c r="AW36" s="24" t="n">
        <v>7</v>
      </c>
      <c r="AX36" s="24" t="inlineStr">
        <is>
          <t>0</t>
        </is>
      </c>
      <c r="AY36" s="24" t="b">
        <v>1</v>
      </c>
      <c r="AZ36" s="24" t="b">
        <v>0</v>
      </c>
      <c r="BA36" s="24" t="b">
        <v>0</v>
      </c>
      <c r="BB36" s="24" t="n">
        <v>388</v>
      </c>
      <c r="BC36" s="24" t="n">
        <v>3571</v>
      </c>
      <c r="BD36" s="24" t="n"/>
      <c r="BE36" s="24" t="inlineStr">
        <is>
          <t>https://africanmarketingconfederation.org/amc-marketing-conference-2024/amc-preregister-2025/::low_aeo_readiness_score | https://africanmarketingconfederation.org/amc-marketing-conference-2024/amc-preregister-2025/::no_compression_header | https://africanmarketingconfederation.org/amc-marketing-conference-2024/amc-preregister-2025/::no_cache-control_header | https://africanmarketingconfederation.org/amc-marketing-conference-2024/amc-preregister-2025/::no_etag_header | https://africanmarketingconfederation.org/amc-marketing-conference-2024/amc-preregister-2025/::no_faq_qa_schema | https://africanmarketingconfederation.org/amc-marketing-conference-2024/amc-preregister-2025/::no_question_headings | https://africanmarketingconfederation.org/amc-marketing-conference-2024/amc-preregister-2025/::no_answer-friendly_structure | https://africanmarketingconfederation.org/amc-marketing-conference-2024/amc-preregister-2025/::no_40-60_word_answer_paragraphs</t>
        </is>
      </c>
      <c r="BF36" s="27" t="n">
        <v>2</v>
      </c>
      <c r="BG36" s="27" t="b">
        <v>0</v>
      </c>
      <c r="BH36">
        <f>IFERROR(HYPERLINK("#Main!A"&amp;MATCH(A36,Main!A:A,0),"Open"),HYPERLINK("#Main!A1","Open"))</f>
        <v/>
      </c>
    </row>
    <row r="37" ht="30" customHeight="1">
      <c r="A37" s="33" t="inlineStr">
        <is>
          <t>https://africanmarketingconfederation.org/amc-marketing-conference-2024/amc-programme-2025/</t>
        </is>
      </c>
      <c r="B37" s="4" t="n">
        <v>200</v>
      </c>
      <c r="C37" s="6" t="inlineStr">
        <is>
          <t>2xx</t>
        </is>
      </c>
      <c r="D37" s="6" t="n">
        <v>49</v>
      </c>
      <c r="E37" s="25" t="inlineStr">
        <is>
          <t>Warning</t>
        </is>
      </c>
      <c r="F37" s="6" t="inlineStr">
        <is>
          <t>Yes</t>
        </is>
      </c>
      <c r="G37" s="4" t="inlineStr">
        <is>
          <t>Indexable</t>
        </is>
      </c>
      <c r="H37" s="6" t="n">
        <v>69.69</v>
      </c>
      <c r="I37" s="6" t="n">
        <v>107.78</v>
      </c>
      <c r="J37" s="30" t="inlineStr">
        <is>
          <t>https://africanmarketingconfederation.org/amc-marketing-conference-2024/amc-programme-2025/</t>
        </is>
      </c>
      <c r="K37" s="30" t="inlineStr">
        <is>
          <t>https</t>
        </is>
      </c>
      <c r="L37" s="6" t="n">
        <v>0</v>
      </c>
      <c r="M37" s="6" t="inlineStr">
        <is>
          <t>Copy Writer</t>
        </is>
      </c>
      <c r="N37" s="25" t="inlineStr">
        <is>
          <t>Open</t>
        </is>
      </c>
      <c r="O37" s="6" t="inlineStr"/>
      <c r="P37" s="6" t="inlineStr">
        <is>
          <t>WARN 🟡</t>
        </is>
      </c>
      <c r="Q37" s="6" t="inlineStr">
        <is>
          <t>https</t>
        </is>
      </c>
      <c r="R37" s="6" t="n">
        <v>0</v>
      </c>
      <c r="S37" s="6" t="inlineStr">
        <is>
          <t>text/html; charset=UTF-8</t>
        </is>
      </c>
      <c r="T37" s="30" t="inlineStr">
        <is>
          <t>HTTP/1.1</t>
        </is>
      </c>
      <c r="U37" s="6" t="b">
        <v>0</v>
      </c>
      <c r="V37" s="6" t="inlineStr">
        <is>
          <t>text/html; charset=UTF-8</t>
        </is>
      </c>
      <c r="W37" s="6" t="inlineStr">
        <is>
          <t>HTTP/1.1</t>
        </is>
      </c>
      <c r="X37" s="6" t="n">
        <v>274.38</v>
      </c>
      <c r="Y37" s="25" t="b">
        <v>0</v>
      </c>
      <c r="Z37" s="6" t="n"/>
      <c r="AA37" s="6" t="n"/>
      <c r="AB37" s="6" t="n"/>
      <c r="AC37" s="6" t="n"/>
      <c r="AD37" s="30" t="n"/>
      <c r="AE37" s="30" t="n"/>
      <c r="AF37" s="25" t="b">
        <v>0</v>
      </c>
      <c r="AG37" s="25" t="b">
        <v>0</v>
      </c>
      <c r="AH37" s="6" t="n">
        <v>0</v>
      </c>
      <c r="AI37" s="6" t="b">
        <v>0</v>
      </c>
      <c r="AJ37" s="6" t="n"/>
      <c r="AK37" s="6" t="b">
        <v>0</v>
      </c>
      <c r="AL37" s="25" t="b">
        <v>0</v>
      </c>
      <c r="AM37" s="6" t="b">
        <v>0</v>
      </c>
      <c r="AN37" s="6" t="b">
        <v>0</v>
      </c>
      <c r="AO37" s="6" t="n"/>
      <c r="AP37" s="6" t="n"/>
      <c r="AQ37" s="6" t="inlineStr">
        <is>
          <t>2025-08-22T08:14:01+00:00</t>
        </is>
      </c>
      <c r="AR37" s="6" t="inlineStr">
        <is>
          <t>2025-08-22T08:14:01+00:00</t>
        </is>
      </c>
      <c r="AS37" s="6" t="inlineStr">
        <is>
          <t>weekly</t>
        </is>
      </c>
      <c r="AT37" s="6" t="inlineStr">
        <is>
          <t>0.7</t>
        </is>
      </c>
      <c r="AU37" s="6" t="n">
        <v>0</v>
      </c>
      <c r="AV37" s="6" t="n">
        <v>3</v>
      </c>
      <c r="AW37" s="6" t="n">
        <v>7</v>
      </c>
      <c r="AX37" s="6" t="inlineStr">
        <is>
          <t>0</t>
        </is>
      </c>
      <c r="AY37" s="6" t="b">
        <v>1</v>
      </c>
      <c r="AZ37" s="6" t="b">
        <v>0</v>
      </c>
      <c r="BA37" s="6" t="b">
        <v>0</v>
      </c>
      <c r="BB37" s="6" t="n">
        <v>187</v>
      </c>
      <c r="BC37" s="6" t="n">
        <v>936</v>
      </c>
      <c r="BD37" s="6" t="n"/>
      <c r="BE37" s="6" t="inlineStr">
        <is>
          <t>https://africanmarketingconfederation.org/amc-marketing-conference-2024/amc-programme-2025/::multiple_h1 | https://africanmarketingconfederation.org/amc-marketing-conference-2024/amc-programme-2025/::thin_content | https://africanmarketingconfederation.org/amc-marketing-conference-2024/amc-programme-2025/::low_aeo_readiness_score | https://africanmarketingconfederation.org/amc-marketing-conference-2024/amc-programme-2025/::no_compression_header | https://africanmarketingconfederation.org/amc-marketing-conference-2024/amc-programme-2025/::no_cache-control_header | https://africanmarketingconfederation.org/amc-marketing-conference-2024/amc-programme-2025/::no_etag_header | https://africanmarketingconfederation.org/amc-marketing-conference-2024/amc-programme-2025/::no_faq_qa_schema | https://africanmarketingconfederation.org/amc-marketing-conference-2024/amc-programme-2025/::no_question_headings | https://africanmarketingconfederation.org/amc-marketing-conference-2024/amc-programme-2025/::no_answer-friendly_structure | https://africanmarketingconfederation.org/amc-marketing-conference-2024/amc-programme-2025/::no_40-60_word_answer_paragraphs</t>
        </is>
      </c>
      <c r="BF37" s="30" t="n">
        <v>2</v>
      </c>
      <c r="BG37" s="30" t="b">
        <v>0</v>
      </c>
      <c r="BH37">
        <f>IFERROR(HYPERLINK("#Main!A"&amp;MATCH(A37,Main!A:A,0),"Open"),HYPERLINK("#Main!A1","Open"))</f>
        <v/>
      </c>
    </row>
    <row r="38" ht="45" customHeight="1">
      <c r="A38" s="33" t="inlineStr">
        <is>
          <t>https://africanmarketingconfederation.org/amc-marketing-conference-2024/amc-speakers-presentations-2024/</t>
        </is>
      </c>
      <c r="B38" s="4" t="n">
        <v>200</v>
      </c>
      <c r="C38" s="24" t="inlineStr">
        <is>
          <t>2xx</t>
        </is>
      </c>
      <c r="D38" s="24" t="n">
        <v>49</v>
      </c>
      <c r="E38" s="25" t="inlineStr">
        <is>
          <t>Warning</t>
        </is>
      </c>
      <c r="F38" s="24" t="inlineStr">
        <is>
          <t>Yes</t>
        </is>
      </c>
      <c r="G38" s="4" t="inlineStr">
        <is>
          <t>Indexable</t>
        </is>
      </c>
      <c r="H38" s="24" t="n">
        <v>38.01</v>
      </c>
      <c r="I38" s="24" t="n">
        <v>71.05</v>
      </c>
      <c r="J38" s="27" t="inlineStr">
        <is>
          <t>https://africanmarketingconfederation.org/amc-marketing-conference-2024/amc-speakers-presentations-2024/</t>
        </is>
      </c>
      <c r="K38" s="27" t="inlineStr">
        <is>
          <t>https</t>
        </is>
      </c>
      <c r="L38" s="24" t="n">
        <v>0</v>
      </c>
      <c r="M38" s="24" t="inlineStr">
        <is>
          <t>Copy Writer</t>
        </is>
      </c>
      <c r="N38" s="25" t="inlineStr">
        <is>
          <t>Open</t>
        </is>
      </c>
      <c r="O38" s="24" t="inlineStr"/>
      <c r="P38" s="24" t="inlineStr">
        <is>
          <t>WARN 🟡</t>
        </is>
      </c>
      <c r="Q38" s="24" t="inlineStr">
        <is>
          <t>https</t>
        </is>
      </c>
      <c r="R38" s="24" t="n">
        <v>0</v>
      </c>
      <c r="S38" s="24" t="inlineStr">
        <is>
          <t>text/html; charset=UTF-8</t>
        </is>
      </c>
      <c r="T38" s="27" t="inlineStr">
        <is>
          <t>HTTP/1.1</t>
        </is>
      </c>
      <c r="U38" s="24" t="b">
        <v>0</v>
      </c>
      <c r="V38" s="24" t="inlineStr">
        <is>
          <t>text/html; charset=UTF-8</t>
        </is>
      </c>
      <c r="W38" s="24" t="inlineStr">
        <is>
          <t>HTTP/1.1</t>
        </is>
      </c>
      <c r="X38" s="24" t="n">
        <v>277.32</v>
      </c>
      <c r="Y38" s="25" t="b">
        <v>0</v>
      </c>
      <c r="Z38" s="24" t="n"/>
      <c r="AA38" s="24" t="n"/>
      <c r="AB38" s="24" t="n"/>
      <c r="AC38" s="24" t="n"/>
      <c r="AD38" s="27" t="n"/>
      <c r="AE38" s="27" t="n"/>
      <c r="AF38" s="25" t="b">
        <v>0</v>
      </c>
      <c r="AG38" s="25" t="b">
        <v>0</v>
      </c>
      <c r="AH38" s="24" t="n">
        <v>0</v>
      </c>
      <c r="AI38" s="24" t="b">
        <v>0</v>
      </c>
      <c r="AJ38" s="24" t="n"/>
      <c r="AK38" s="24" t="b">
        <v>0</v>
      </c>
      <c r="AL38" s="25" t="b">
        <v>0</v>
      </c>
      <c r="AM38" s="24" t="b">
        <v>0</v>
      </c>
      <c r="AN38" s="24" t="b">
        <v>0</v>
      </c>
      <c r="AO38" s="24" t="n"/>
      <c r="AP38" s="24" t="n"/>
      <c r="AQ38" s="24" t="inlineStr">
        <is>
          <t>2024-11-15T12:51:27+00:00</t>
        </is>
      </c>
      <c r="AR38" s="24" t="inlineStr">
        <is>
          <t>2024-11-15T12:51:27+00:00</t>
        </is>
      </c>
      <c r="AS38" s="24" t="inlineStr">
        <is>
          <t>weekly</t>
        </is>
      </c>
      <c r="AT38" s="24" t="inlineStr">
        <is>
          <t>0.7</t>
        </is>
      </c>
      <c r="AU38" s="24" t="n">
        <v>0</v>
      </c>
      <c r="AV38" s="24" t="n">
        <v>3</v>
      </c>
      <c r="AW38" s="24" t="n">
        <v>7</v>
      </c>
      <c r="AX38" s="24" t="inlineStr">
        <is>
          <t>0</t>
        </is>
      </c>
      <c r="AY38" s="24" t="b">
        <v>1</v>
      </c>
      <c r="AZ38" s="24" t="b">
        <v>0</v>
      </c>
      <c r="BA38" s="24" t="b">
        <v>0</v>
      </c>
      <c r="BB38" s="24" t="n">
        <v>468</v>
      </c>
      <c r="BC38" s="24" t="n">
        <v>1723</v>
      </c>
      <c r="BD38" s="24" t="n"/>
      <c r="BE38" s="24" t="inlineStr">
        <is>
          <t>https://africanmarketingconfederation.org/amc-marketing-conference-2024/amc-speakers-presentations-2024/::multiple_h1 | https://africanmarketingconfederation.org/amc-marketing-conference-2024/amc-speakers-presentations-2024/::thin_content | https://africanmarketingconfederation.org/amc-marketing-conference-2024/amc-speakers-presentations-2024/::low_aeo_readiness_score | https://africanmarketingconfederation.org/amc-marketing-conference-2024/amc-speakers-presentations-2024/::no_compression_header | https://africanmarketingconfederation.org/amc-marketing-conference-2024/amc-speakers-presentations-2024/::no_cache-control_header | https://africanmarketingconfederation.org/amc-marketing-conference-2024/amc-speakers-presentations-2024/::no_etag_header | https://africanmarketingconfederation.org/amc-marketing-conference-2024/amc-speakers-presentations-2024/::no_faq_qa_schema | https://africanmarketingconfederation.org/amc-marketing-conference-2024/amc-speakers-presentations-2024/::no_question_headings | https://africanmarketingconfederation.org/amc-marketing-conference-2024/amc-speakers-presentations-2024/::no_answer-friendly_structure | https://africanmarketingconfederation.org/amc-marketing-conference-2024/amc-speakers-presentations-2024/::no_40-60_word_answer_paragraphs</t>
        </is>
      </c>
      <c r="BF38" s="27" t="n">
        <v>2</v>
      </c>
      <c r="BG38" s="27" t="b">
        <v>0</v>
      </c>
      <c r="BH38">
        <f>IFERROR(HYPERLINK("#Main!A"&amp;MATCH(A38,Main!A:A,0),"Open"),HYPERLINK("#Main!A1","Open"))</f>
        <v/>
      </c>
    </row>
    <row r="39" ht="30" customHeight="1">
      <c r="A39" s="33" t="inlineStr">
        <is>
          <t>https://africanmarketingconfederation.org/amc-marketing-conference-2024/awards-2025/</t>
        </is>
      </c>
      <c r="B39" s="4" t="n">
        <v>200</v>
      </c>
      <c r="C39" s="6" t="inlineStr">
        <is>
          <t>2xx</t>
        </is>
      </c>
      <c r="D39" s="6" t="n">
        <v>69</v>
      </c>
      <c r="E39" s="25" t="inlineStr">
        <is>
          <t>Warning</t>
        </is>
      </c>
      <c r="F39" s="6" t="inlineStr">
        <is>
          <t>Yes</t>
        </is>
      </c>
      <c r="G39" s="4" t="inlineStr">
        <is>
          <t>Indexable</t>
        </is>
      </c>
      <c r="H39" s="6" t="n">
        <v>63.98</v>
      </c>
      <c r="I39" s="6" t="n">
        <v>112.5</v>
      </c>
      <c r="J39" s="30" t="inlineStr">
        <is>
          <t>https://africanmarketingconfederation.org/amc-marketing-conference-2024/awards-2025/</t>
        </is>
      </c>
      <c r="K39" s="30" t="inlineStr">
        <is>
          <t>https</t>
        </is>
      </c>
      <c r="L39" s="6" t="n">
        <v>0</v>
      </c>
      <c r="M39" s="6" t="inlineStr">
        <is>
          <t>Copy Writer</t>
        </is>
      </c>
      <c r="N39" s="25" t="inlineStr">
        <is>
          <t>Open</t>
        </is>
      </c>
      <c r="O39" s="6" t="inlineStr"/>
      <c r="P39" s="6" t="inlineStr">
        <is>
          <t>WARN 🟡</t>
        </is>
      </c>
      <c r="Q39" s="6" t="inlineStr">
        <is>
          <t>https</t>
        </is>
      </c>
      <c r="R39" s="6" t="n">
        <v>0</v>
      </c>
      <c r="S39" s="6" t="inlineStr">
        <is>
          <t>text/html; charset=UTF-8</t>
        </is>
      </c>
      <c r="T39" s="30" t="inlineStr">
        <is>
          <t>HTTP/1.1</t>
        </is>
      </c>
      <c r="U39" s="6" t="b">
        <v>0</v>
      </c>
      <c r="V39" s="6" t="inlineStr">
        <is>
          <t>text/html; charset=UTF-8</t>
        </is>
      </c>
      <c r="W39" s="6" t="inlineStr">
        <is>
          <t>HTTP/1.1</t>
        </is>
      </c>
      <c r="X39" s="6" t="n">
        <v>385.9</v>
      </c>
      <c r="Y39" s="25" t="b">
        <v>0</v>
      </c>
      <c r="Z39" s="6" t="n"/>
      <c r="AA39" s="6" t="n"/>
      <c r="AB39" s="6" t="n"/>
      <c r="AC39" s="6" t="n"/>
      <c r="AD39" s="30" t="n"/>
      <c r="AE39" s="30" t="n"/>
      <c r="AF39" s="25" t="b">
        <v>0</v>
      </c>
      <c r="AG39" s="25" t="b">
        <v>0</v>
      </c>
      <c r="AH39" s="6" t="n">
        <v>0</v>
      </c>
      <c r="AI39" s="6" t="b">
        <v>0</v>
      </c>
      <c r="AJ39" s="6" t="n"/>
      <c r="AK39" s="6" t="b">
        <v>0</v>
      </c>
      <c r="AL39" s="25" t="b">
        <v>0</v>
      </c>
      <c r="AM39" s="6" t="b">
        <v>0</v>
      </c>
      <c r="AN39" s="6" t="b">
        <v>0</v>
      </c>
      <c r="AO39" s="6" t="n"/>
      <c r="AP39" s="6" t="n"/>
      <c r="AQ39" s="6" t="inlineStr">
        <is>
          <t>2026-02-05T07:09:45+00:00</t>
        </is>
      </c>
      <c r="AR39" s="6" t="inlineStr">
        <is>
          <t>2026-02-05T07:09:45+00:00</t>
        </is>
      </c>
      <c r="AS39" s="6" t="inlineStr">
        <is>
          <t>weekly</t>
        </is>
      </c>
      <c r="AT39" s="6" t="inlineStr">
        <is>
          <t>0.7</t>
        </is>
      </c>
      <c r="AU39" s="6" t="n">
        <v>0</v>
      </c>
      <c r="AV39" s="6" t="n">
        <v>1</v>
      </c>
      <c r="AW39" s="6" t="n">
        <v>7</v>
      </c>
      <c r="AX39" s="6" t="inlineStr">
        <is>
          <t>0</t>
        </is>
      </c>
      <c r="AY39" s="6" t="b">
        <v>1</v>
      </c>
      <c r="AZ39" s="6" t="b">
        <v>0</v>
      </c>
      <c r="BA39" s="6" t="b">
        <v>0</v>
      </c>
      <c r="BB39" s="6" t="n">
        <v>324</v>
      </c>
      <c r="BC39" s="6" t="n">
        <v>2306</v>
      </c>
      <c r="BD39" s="6" t="n"/>
      <c r="BE39" s="6" t="inlineStr">
        <is>
          <t>https://africanmarketingconfederation.org/amc-marketing-conference-2024/awards-2025/::low_aeo_readiness_score | https://africanmarketingconfederation.org/amc-marketing-conference-2024/awards-2025/::no_compression_header | https://africanmarketingconfederation.org/amc-marketing-conference-2024/awards-2025/::no_cache-control_header | https://africanmarketingconfederation.org/amc-marketing-conference-2024/awards-2025/::no_etag_header | https://africanmarketingconfederation.org/amc-marketing-conference-2024/awards-2025/::no_faq_qa_schema | https://africanmarketingconfederation.org/amc-marketing-conference-2024/awards-2025/::no_question_headings | https://africanmarketingconfederation.org/amc-marketing-conference-2024/awards-2025/::no_answer-friendly_structure | https://africanmarketingconfederation.org/amc-marketing-conference-2024/awards-2025/::no_40-60_word_answer_paragraphs</t>
        </is>
      </c>
      <c r="BF39" s="30" t="n">
        <v>2</v>
      </c>
      <c r="BG39" s="30" t="b">
        <v>0</v>
      </c>
      <c r="BH39">
        <f>IFERROR(HYPERLINK("#Main!A"&amp;MATCH(A39,Main!A:A,0),"Open"),HYPERLINK("#Main!A1","Open"))</f>
        <v/>
      </c>
    </row>
    <row r="40" ht="30" customHeight="1">
      <c r="A40" s="33" t="inlineStr">
        <is>
          <t>https://africanmarketingconfederation.org/amc-marketing-conference-2024/programme-2024/</t>
        </is>
      </c>
      <c r="B40" s="4" t="n">
        <v>200</v>
      </c>
      <c r="C40" s="24" t="inlineStr">
        <is>
          <t>2xx</t>
        </is>
      </c>
      <c r="D40" s="24" t="n">
        <v>69</v>
      </c>
      <c r="E40" s="25" t="inlineStr">
        <is>
          <t>Warning</t>
        </is>
      </c>
      <c r="F40" s="24" t="inlineStr">
        <is>
          <t>Yes</t>
        </is>
      </c>
      <c r="G40" s="4" t="inlineStr">
        <is>
          <t>Indexable</t>
        </is>
      </c>
      <c r="H40" s="24" t="n">
        <v>68.28</v>
      </c>
      <c r="I40" s="24" t="n">
        <v>104.72</v>
      </c>
      <c r="J40" s="27" t="inlineStr">
        <is>
          <t>https://africanmarketingconfederation.org/amc-marketing-conference-2024/programme-2024/</t>
        </is>
      </c>
      <c r="K40" s="27" t="inlineStr">
        <is>
          <t>https</t>
        </is>
      </c>
      <c r="L40" s="24" t="n">
        <v>0</v>
      </c>
      <c r="M40" s="24" t="inlineStr">
        <is>
          <t>Copy Writer</t>
        </is>
      </c>
      <c r="N40" s="25" t="inlineStr">
        <is>
          <t>Open</t>
        </is>
      </c>
      <c r="O40" s="24" t="inlineStr"/>
      <c r="P40" s="24" t="inlineStr">
        <is>
          <t>WARN 🟡</t>
        </is>
      </c>
      <c r="Q40" s="24" t="inlineStr">
        <is>
          <t>https</t>
        </is>
      </c>
      <c r="R40" s="24" t="n">
        <v>0</v>
      </c>
      <c r="S40" s="24" t="inlineStr">
        <is>
          <t>text/html; charset=UTF-8</t>
        </is>
      </c>
      <c r="T40" s="27" t="inlineStr">
        <is>
          <t>HTTP/1.1</t>
        </is>
      </c>
      <c r="U40" s="24" t="b">
        <v>0</v>
      </c>
      <c r="V40" s="24" t="inlineStr">
        <is>
          <t>text/html; charset=UTF-8</t>
        </is>
      </c>
      <c r="W40" s="24" t="inlineStr">
        <is>
          <t>HTTP/1.1</t>
        </is>
      </c>
      <c r="X40" s="24" t="n">
        <v>456.21</v>
      </c>
      <c r="Y40" s="25" t="b">
        <v>0</v>
      </c>
      <c r="Z40" s="24" t="n"/>
      <c r="AA40" s="24" t="n"/>
      <c r="AB40" s="24" t="n"/>
      <c r="AC40" s="24" t="n"/>
      <c r="AD40" s="27" t="n"/>
      <c r="AE40" s="27" t="n"/>
      <c r="AF40" s="25" t="b">
        <v>0</v>
      </c>
      <c r="AG40" s="25" t="b">
        <v>0</v>
      </c>
      <c r="AH40" s="24" t="n">
        <v>0</v>
      </c>
      <c r="AI40" s="24" t="b">
        <v>0</v>
      </c>
      <c r="AJ40" s="24" t="n"/>
      <c r="AK40" s="24" t="b">
        <v>0</v>
      </c>
      <c r="AL40" s="25" t="b">
        <v>0</v>
      </c>
      <c r="AM40" s="24" t="b">
        <v>0</v>
      </c>
      <c r="AN40" s="24" t="b">
        <v>0</v>
      </c>
      <c r="AO40" s="24" t="n"/>
      <c r="AP40" s="24" t="n"/>
      <c r="AQ40" s="24" t="inlineStr">
        <is>
          <t>2024-02-28T14:18:29+00:00</t>
        </is>
      </c>
      <c r="AR40" s="24" t="inlineStr">
        <is>
          <t>2024-02-28T14:18:29+00:00</t>
        </is>
      </c>
      <c r="AS40" s="24" t="inlineStr">
        <is>
          <t>weekly</t>
        </is>
      </c>
      <c r="AT40" s="24" t="inlineStr">
        <is>
          <t>0.7</t>
        </is>
      </c>
      <c r="AU40" s="24" t="n">
        <v>0</v>
      </c>
      <c r="AV40" s="24" t="n">
        <v>1</v>
      </c>
      <c r="AW40" s="24" t="n">
        <v>7</v>
      </c>
      <c r="AX40" s="24" t="inlineStr">
        <is>
          <t>0</t>
        </is>
      </c>
      <c r="AY40" s="24" t="b">
        <v>1</v>
      </c>
      <c r="AZ40" s="24" t="b">
        <v>0</v>
      </c>
      <c r="BA40" s="24" t="b">
        <v>0</v>
      </c>
      <c r="BB40" s="24" t="n">
        <v>345</v>
      </c>
      <c r="BC40" s="24" t="n">
        <v>2380</v>
      </c>
      <c r="BD40" s="24" t="n"/>
      <c r="BE40" s="24" t="inlineStr">
        <is>
          <t>https://africanmarketingconfederation.org/amc-marketing-conference-2024/programme-2024/::low_aeo_readiness_score | https://africanmarketingconfederation.org/amc-marketing-conference-2024/programme-2024/::no_compression_header | https://africanmarketingconfederation.org/amc-marketing-conference-2024/programme-2024/::no_cache-control_header | https://africanmarketingconfederation.org/amc-marketing-conference-2024/programme-2024/::no_etag_header | https://africanmarketingconfederation.org/amc-marketing-conference-2024/programme-2024/::no_faq_qa_schema | https://africanmarketingconfederation.org/amc-marketing-conference-2024/programme-2024/::no_question_headings | https://africanmarketingconfederation.org/amc-marketing-conference-2024/programme-2024/::no_answer-friendly_structure | https://africanmarketingconfederation.org/amc-marketing-conference-2024/programme-2024/::no_40-60_word_answer_paragraphs</t>
        </is>
      </c>
      <c r="BF40" s="27" t="n">
        <v>2</v>
      </c>
      <c r="BG40" s="27" t="b">
        <v>0</v>
      </c>
      <c r="BH40">
        <f>IFERROR(HYPERLINK("#Main!A"&amp;MATCH(A40,Main!A:A,0),"Open"),HYPERLINK("#Main!A1","Open"))</f>
        <v/>
      </c>
    </row>
    <row r="41" ht="30" customHeight="1">
      <c r="A41" s="33" t="inlineStr">
        <is>
          <t>https://africanmarketingconfederation.org/amc-marketing-conference-2024/testimony-thank-you-page/</t>
        </is>
      </c>
      <c r="B41" s="4" t="n">
        <v>200</v>
      </c>
      <c r="C41" s="6" t="inlineStr">
        <is>
          <t>2xx</t>
        </is>
      </c>
      <c r="D41" s="6" t="n">
        <v>49</v>
      </c>
      <c r="E41" s="25" t="inlineStr">
        <is>
          <t>Warning</t>
        </is>
      </c>
      <c r="F41" s="6" t="inlineStr">
        <is>
          <t>Yes</t>
        </is>
      </c>
      <c r="G41" s="4" t="inlineStr">
        <is>
          <t>Indexable</t>
        </is>
      </c>
      <c r="H41" s="6" t="n">
        <v>177.75</v>
      </c>
      <c r="I41" s="6" t="n">
        <v>220.74</v>
      </c>
      <c r="J41" s="30" t="inlineStr">
        <is>
          <t>https://africanmarketingconfederation.org/amc-marketing-conference-2024/testimony-thank-you-page/</t>
        </is>
      </c>
      <c r="K41" s="30" t="inlineStr">
        <is>
          <t>https</t>
        </is>
      </c>
      <c r="L41" s="6" t="n">
        <v>0</v>
      </c>
      <c r="M41" s="6" t="inlineStr">
        <is>
          <t>Copy Writer</t>
        </is>
      </c>
      <c r="N41" s="25" t="inlineStr">
        <is>
          <t>Open</t>
        </is>
      </c>
      <c r="O41" s="6" t="inlineStr"/>
      <c r="P41" s="6" t="inlineStr">
        <is>
          <t>WARN 🟡</t>
        </is>
      </c>
      <c r="Q41" s="6" t="inlineStr">
        <is>
          <t>https</t>
        </is>
      </c>
      <c r="R41" s="6" t="n">
        <v>0</v>
      </c>
      <c r="S41" s="6" t="inlineStr">
        <is>
          <t>text/html; charset=UTF-8</t>
        </is>
      </c>
      <c r="T41" s="30" t="inlineStr">
        <is>
          <t>HTTP/1.1</t>
        </is>
      </c>
      <c r="U41" s="6" t="b">
        <v>0</v>
      </c>
      <c r="V41" s="6" t="inlineStr">
        <is>
          <t>text/html; charset=UTF-8</t>
        </is>
      </c>
      <c r="W41" s="6" t="inlineStr">
        <is>
          <t>HTTP/1.1</t>
        </is>
      </c>
      <c r="X41" s="6" t="n">
        <v>250.43</v>
      </c>
      <c r="Y41" s="25" t="b">
        <v>0</v>
      </c>
      <c r="Z41" s="6" t="n"/>
      <c r="AA41" s="6" t="n"/>
      <c r="AB41" s="6" t="n"/>
      <c r="AC41" s="6" t="n"/>
      <c r="AD41" s="30" t="n"/>
      <c r="AE41" s="30" t="n"/>
      <c r="AF41" s="25" t="b">
        <v>0</v>
      </c>
      <c r="AG41" s="25" t="b">
        <v>0</v>
      </c>
      <c r="AH41" s="6" t="n">
        <v>0</v>
      </c>
      <c r="AI41" s="6" t="b">
        <v>0</v>
      </c>
      <c r="AJ41" s="6" t="n"/>
      <c r="AK41" s="6" t="b">
        <v>0</v>
      </c>
      <c r="AL41" s="25" t="b">
        <v>0</v>
      </c>
      <c r="AM41" s="6" t="b">
        <v>0</v>
      </c>
      <c r="AN41" s="6" t="b">
        <v>0</v>
      </c>
      <c r="AO41" s="6" t="n"/>
      <c r="AP41" s="6" t="n"/>
      <c r="AQ41" s="6" t="inlineStr">
        <is>
          <t>2024-11-07T06:26:44+00:00</t>
        </is>
      </c>
      <c r="AR41" s="6" t="inlineStr">
        <is>
          <t>2024-11-07T06:26:44+00:00</t>
        </is>
      </c>
      <c r="AS41" s="6" t="inlineStr">
        <is>
          <t>weekly</t>
        </is>
      </c>
      <c r="AT41" s="6" t="inlineStr">
        <is>
          <t>0.7</t>
        </is>
      </c>
      <c r="AU41" s="6" t="n">
        <v>0</v>
      </c>
      <c r="AV41" s="6" t="n">
        <v>3</v>
      </c>
      <c r="AW41" s="6" t="n">
        <v>7</v>
      </c>
      <c r="AX41" s="6" t="inlineStr">
        <is>
          <t>0</t>
        </is>
      </c>
      <c r="AY41" s="6" t="b">
        <v>1</v>
      </c>
      <c r="AZ41" s="6" t="b">
        <v>0</v>
      </c>
      <c r="BA41" s="6" t="b">
        <v>0</v>
      </c>
      <c r="BB41" s="6" t="n">
        <v>417</v>
      </c>
      <c r="BC41" s="6" t="n">
        <v>1395</v>
      </c>
      <c r="BD41" s="6" t="n"/>
      <c r="BE41" s="6" t="inlineStr">
        <is>
          <t>https://africanmarketingconfederation.org/amc-marketing-conference-2024/testimony-thank-you-page/::multiple_h1 | https://africanmarketingconfederation.org/amc-marketing-conference-2024/testimony-thank-you-page/::thin_content | https://africanmarketingconfederation.org/amc-marketing-conference-2024/testimony-thank-you-page/::low_aeo_readiness_score | https://africanmarketingconfederation.org/amc-marketing-conference-2024/testimony-thank-you-page/::no_compression_header | https://africanmarketingconfederation.org/amc-marketing-conference-2024/testimony-thank-you-page/::no_cache-control_header | https://africanmarketingconfederation.org/amc-marketing-conference-2024/testimony-thank-you-page/::no_etag_header | https://africanmarketingconfederation.org/amc-marketing-conference-2024/testimony-thank-you-page/::no_faq_qa_schema | https://africanmarketingconfederation.org/amc-marketing-conference-2024/testimony-thank-you-page/::no_question_headings | https://africanmarketingconfederation.org/amc-marketing-conference-2024/testimony-thank-you-page/::no_answer-friendly_structure | https://africanmarketingconfederation.org/amc-marketing-conference-2024/testimony-thank-you-page/::no_40-60_word_answer_paragraphs</t>
        </is>
      </c>
      <c r="BF41" s="30" t="n">
        <v>2</v>
      </c>
      <c r="BG41" s="30" t="b">
        <v>0</v>
      </c>
      <c r="BH41">
        <f>IFERROR(HYPERLINK("#Main!A"&amp;MATCH(A41,Main!A:A,0),"Open"),HYPERLINK("#Main!A1","Open"))</f>
        <v/>
      </c>
    </row>
    <row r="42" ht="30" customHeight="1">
      <c r="A42" s="33" t="inlineStr">
        <is>
          <t>https://africanmarketingconfederation.org/amc-masterclass-bookings/</t>
        </is>
      </c>
      <c r="B42" s="4" t="n">
        <v>200</v>
      </c>
      <c r="C42" s="24" t="inlineStr">
        <is>
          <t>2xx</t>
        </is>
      </c>
      <c r="D42" s="24" t="n">
        <v>39</v>
      </c>
      <c r="E42" s="25" t="inlineStr">
        <is>
          <t>Warning</t>
        </is>
      </c>
      <c r="F42" s="24" t="inlineStr">
        <is>
          <t>Yes</t>
        </is>
      </c>
      <c r="G42" s="4" t="inlineStr">
        <is>
          <t>Indexable</t>
        </is>
      </c>
      <c r="H42" s="24" t="n">
        <v>99.31</v>
      </c>
      <c r="I42" s="24" t="n">
        <v>99.31</v>
      </c>
      <c r="J42" s="27" t="inlineStr">
        <is>
          <t>https://africanmarketingconfederation.org/amc-masterclass-bookings/</t>
        </is>
      </c>
      <c r="K42" s="27" t="inlineStr">
        <is>
          <t>https</t>
        </is>
      </c>
      <c r="L42" s="24" t="n">
        <v>0</v>
      </c>
      <c r="M42" s="24" t="inlineStr">
        <is>
          <t>Copy Writer</t>
        </is>
      </c>
      <c r="N42" s="25" t="inlineStr">
        <is>
          <t>Open</t>
        </is>
      </c>
      <c r="O42" s="24" t="inlineStr"/>
      <c r="P42" s="24" t="inlineStr">
        <is>
          <t>WARN 🟡</t>
        </is>
      </c>
      <c r="Q42" s="24" t="inlineStr">
        <is>
          <t>https</t>
        </is>
      </c>
      <c r="R42" s="24" t="n">
        <v>0</v>
      </c>
      <c r="S42" s="24" t="inlineStr">
        <is>
          <t>text/html; charset=UTF-8</t>
        </is>
      </c>
      <c r="T42" s="27" t="inlineStr">
        <is>
          <t>HTTP/1.1</t>
        </is>
      </c>
      <c r="U42" s="24" t="b">
        <v>0</v>
      </c>
      <c r="V42" s="24" t="inlineStr">
        <is>
          <t>text/html; charset=UTF-8</t>
        </is>
      </c>
      <c r="W42" s="24" t="inlineStr">
        <is>
          <t>HTTP/1.1</t>
        </is>
      </c>
      <c r="X42" s="24" t="n">
        <v>231.24</v>
      </c>
      <c r="Y42" s="25" t="b">
        <v>0</v>
      </c>
      <c r="Z42" s="24" t="n"/>
      <c r="AA42" s="24" t="n"/>
      <c r="AB42" s="24" t="n"/>
      <c r="AC42" s="24" t="n"/>
      <c r="AD42" s="27" t="n"/>
      <c r="AE42" s="27" t="n"/>
      <c r="AF42" s="25" t="b">
        <v>0</v>
      </c>
      <c r="AG42" s="25" t="b">
        <v>0</v>
      </c>
      <c r="AH42" s="24" t="n">
        <v>0</v>
      </c>
      <c r="AI42" s="24" t="b">
        <v>0</v>
      </c>
      <c r="AJ42" s="24" t="n"/>
      <c r="AK42" s="24" t="b">
        <v>0</v>
      </c>
      <c r="AL42" s="25" t="b">
        <v>0</v>
      </c>
      <c r="AM42" s="24" t="b">
        <v>0</v>
      </c>
      <c r="AN42" s="24" t="b">
        <v>0</v>
      </c>
      <c r="AO42" s="24" t="n"/>
      <c r="AP42" s="24" t="n"/>
      <c r="AQ42" s="24" t="inlineStr">
        <is>
          <t>2022-04-22T10:58:21+00:00</t>
        </is>
      </c>
      <c r="AR42" s="24" t="inlineStr">
        <is>
          <t>2022-04-22T10:58:21+00:00</t>
        </is>
      </c>
      <c r="AS42" s="24" t="inlineStr">
        <is>
          <t>weekly</t>
        </is>
      </c>
      <c r="AT42" s="24" t="inlineStr">
        <is>
          <t>0.7</t>
        </is>
      </c>
      <c r="AU42" s="24" t="n">
        <v>0</v>
      </c>
      <c r="AV42" s="24" t="n">
        <v>4</v>
      </c>
      <c r="AW42" s="24" t="n">
        <v>7</v>
      </c>
      <c r="AX42" s="24" t="inlineStr">
        <is>
          <t>0</t>
        </is>
      </c>
      <c r="AY42" s="24" t="b">
        <v>1</v>
      </c>
      <c r="AZ42" s="24" t="b">
        <v>0</v>
      </c>
      <c r="BA42" s="24" t="b">
        <v>0</v>
      </c>
      <c r="BB42" s="24" t="n">
        <v>432</v>
      </c>
      <c r="BC42" s="24" t="n">
        <v>0</v>
      </c>
      <c r="BD42" s="24" t="n"/>
      <c r="BE42" s="24" t="inlineStr">
        <is>
          <t>https://africanmarketingconfederation.org/amc-masterclass-bookings/::missing_meta_description | https://africanmarketingconfederation.org/amc-masterclass-bookings/::missing_h1 | https://africanmarketingconfederation.org/amc-masterclass-bookings/::thin_content | https://africanmarketingconfederation.org/amc-masterclass-bookings/::low_aeo_readiness_score | https://africanmarketingconfederation.org/amc-masterclass-bookings/::no_compression_header | https://africanmarketingconfederation.org/amc-masterclass-bookings/::no_cache-control_header | https://africanmarketingconfederation.org/amc-masterclass-bookings/::no_etag_header | https://africanmarketingconfederation.org/amc-masterclass-bookings/::no_faq_qa_schema | https://africanmarketingconfederation.org/amc-masterclass-bookings/::no_question_headings | https://africanmarketingconfederation.org/amc-masterclass-bookings/::no_answer-friendly_structure | https://africanmarketingconfederation.org/amc-masterclass-bookings/::no_40-60_word_answer_paragraphs</t>
        </is>
      </c>
      <c r="BF42" s="27" t="n">
        <v>1</v>
      </c>
      <c r="BG42" s="27" t="b">
        <v>0</v>
      </c>
      <c r="BH42">
        <f>IFERROR(HYPERLINK("#Main!A"&amp;MATCH(A42,Main!A:A,0),"Open"),HYPERLINK("#Main!A1","Open"))</f>
        <v/>
      </c>
    </row>
    <row r="43" ht="30" customHeight="1">
      <c r="A43" s="33" t="inlineStr">
        <is>
          <t>https://africanmarketingconfederation.org/amc-masterclass-thank-you/</t>
        </is>
      </c>
      <c r="B43" s="4" t="n">
        <v>200</v>
      </c>
      <c r="C43" s="6" t="inlineStr">
        <is>
          <t>2xx</t>
        </is>
      </c>
      <c r="D43" s="6" t="n">
        <v>49</v>
      </c>
      <c r="E43" s="25" t="inlineStr">
        <is>
          <t>Warning</t>
        </is>
      </c>
      <c r="F43" s="6" t="inlineStr">
        <is>
          <t>Yes</t>
        </is>
      </c>
      <c r="G43" s="4" t="inlineStr">
        <is>
          <t>Indexable</t>
        </is>
      </c>
      <c r="H43" s="6" t="n">
        <v>52.79</v>
      </c>
      <c r="I43" s="6" t="n">
        <v>53.78</v>
      </c>
      <c r="J43" s="30" t="inlineStr">
        <is>
          <t>https://africanmarketingconfederation.org/amc-masterclass-thank-you/</t>
        </is>
      </c>
      <c r="K43" s="30" t="inlineStr">
        <is>
          <t>https</t>
        </is>
      </c>
      <c r="L43" s="6" t="n">
        <v>0</v>
      </c>
      <c r="M43" s="6" t="inlineStr">
        <is>
          <t>Copy Writer</t>
        </is>
      </c>
      <c r="N43" s="25" t="inlineStr">
        <is>
          <t>Open</t>
        </is>
      </c>
      <c r="O43" s="6" t="inlineStr"/>
      <c r="P43" s="6" t="inlineStr">
        <is>
          <t>WARN 🟡</t>
        </is>
      </c>
      <c r="Q43" s="6" t="inlineStr">
        <is>
          <t>https</t>
        </is>
      </c>
      <c r="R43" s="6" t="n">
        <v>0</v>
      </c>
      <c r="S43" s="6" t="inlineStr">
        <is>
          <t>text/html; charset=UTF-8</t>
        </is>
      </c>
      <c r="T43" s="30" t="inlineStr">
        <is>
          <t>HTTP/1.1</t>
        </is>
      </c>
      <c r="U43" s="6" t="b">
        <v>0</v>
      </c>
      <c r="V43" s="6" t="inlineStr">
        <is>
          <t>text/html; charset=UTF-8</t>
        </is>
      </c>
      <c r="W43" s="6" t="inlineStr">
        <is>
          <t>HTTP/1.1</t>
        </is>
      </c>
      <c r="X43" s="6" t="n">
        <v>195.34</v>
      </c>
      <c r="Y43" s="25" t="b">
        <v>0</v>
      </c>
      <c r="Z43" s="6" t="n"/>
      <c r="AA43" s="6" t="n"/>
      <c r="AB43" s="6" t="n"/>
      <c r="AC43" s="6" t="n"/>
      <c r="AD43" s="30" t="n"/>
      <c r="AE43" s="30" t="n"/>
      <c r="AF43" s="25" t="b">
        <v>0</v>
      </c>
      <c r="AG43" s="25" t="b">
        <v>0</v>
      </c>
      <c r="AH43" s="6" t="n">
        <v>0</v>
      </c>
      <c r="AI43" s="6" t="b">
        <v>0</v>
      </c>
      <c r="AJ43" s="6" t="n"/>
      <c r="AK43" s="6" t="b">
        <v>0</v>
      </c>
      <c r="AL43" s="25" t="b">
        <v>0</v>
      </c>
      <c r="AM43" s="6" t="b">
        <v>0</v>
      </c>
      <c r="AN43" s="6" t="b">
        <v>0</v>
      </c>
      <c r="AO43" s="6" t="n"/>
      <c r="AP43" s="6" t="n"/>
      <c r="AQ43" s="6" t="inlineStr">
        <is>
          <t>2022-04-22T11:41:56+00:00</t>
        </is>
      </c>
      <c r="AR43" s="6" t="inlineStr">
        <is>
          <t>2022-04-22T11:41:56+00:00</t>
        </is>
      </c>
      <c r="AS43" s="6" t="inlineStr">
        <is>
          <t>weekly</t>
        </is>
      </c>
      <c r="AT43" s="6" t="inlineStr">
        <is>
          <t>0.7</t>
        </is>
      </c>
      <c r="AU43" s="6" t="n">
        <v>0</v>
      </c>
      <c r="AV43" s="6" t="n">
        <v>3</v>
      </c>
      <c r="AW43" s="6" t="n">
        <v>7</v>
      </c>
      <c r="AX43" s="6" t="inlineStr">
        <is>
          <t>0</t>
        </is>
      </c>
      <c r="AY43" s="6" t="b">
        <v>1</v>
      </c>
      <c r="AZ43" s="6" t="b">
        <v>0</v>
      </c>
      <c r="BA43" s="6" t="b">
        <v>0</v>
      </c>
      <c r="BB43" s="6" t="n">
        <v>439</v>
      </c>
      <c r="BC43" s="6" t="n">
        <v>725</v>
      </c>
      <c r="BD43" s="6" t="inlineStr">
        <is>
          <t>Near-duplicate title cluster | Near-duplicate meta description cluster</t>
        </is>
      </c>
      <c r="BE43" s="6" t="inlineStr">
        <is>
          <t>https://africanmarketingconfederation.org/amc-masterclass-thank-you/::missing_h1 | https://africanmarketingconfederation.org/amc-masterclass-thank-you/::thin_content | https://africanmarketingconfederation.org/amc-masterclass-thank-you/::low_aeo_readiness_score | https://africanmarketingconfederation.org/amc-masterclass-thank-you/::no_compression_header | https://africanmarketingconfederation.org/amc-masterclass-thank-you/::no_cache-control_header | https://africanmarketingconfederation.org/amc-masterclass-thank-you/::no_etag_header | https://africanmarketingconfederation.org/amc-masterclass-thank-you/::no_faq_qa_schema | https://africanmarketingconfederation.org/amc-masterclass-thank-you/::no_question_headings | https://africanmarketingconfederation.org/amc-masterclass-thank-you/::no_answer-friendly_structure | https://africanmarketingconfederation.org/amc-masterclass-thank-you/::no_40-60_word_answer_paragraphs</t>
        </is>
      </c>
      <c r="BF43" s="30" t="n">
        <v>1</v>
      </c>
      <c r="BG43" s="30" t="b">
        <v>0</v>
      </c>
      <c r="BH43">
        <f>IFERROR(HYPERLINK("#Main!A"&amp;MATCH(A43,Main!A:A,0),"Open"),HYPERLINK("#Main!A1","Open"))</f>
        <v/>
      </c>
    </row>
    <row r="44" ht="30" customHeight="1">
      <c r="A44" s="33" t="inlineStr">
        <is>
          <t>https://africanmarketingconfederation.org/amc-masterclass/</t>
        </is>
      </c>
      <c r="B44" s="4" t="n">
        <v>200</v>
      </c>
      <c r="C44" s="24" t="inlineStr">
        <is>
          <t>2xx</t>
        </is>
      </c>
      <c r="D44" s="24" t="n">
        <v>49</v>
      </c>
      <c r="E44" s="25" t="inlineStr">
        <is>
          <t>Warning</t>
        </is>
      </c>
      <c r="F44" s="24" t="inlineStr">
        <is>
          <t>Yes</t>
        </is>
      </c>
      <c r="G44" s="4" t="inlineStr">
        <is>
          <t>Indexable</t>
        </is>
      </c>
      <c r="H44" s="24" t="n">
        <v>114.73</v>
      </c>
      <c r="I44" s="24" t="n">
        <v>115.73</v>
      </c>
      <c r="J44" s="27" t="inlineStr">
        <is>
          <t>https://africanmarketingconfederation.org/amc-masterclass/</t>
        </is>
      </c>
      <c r="K44" s="27" t="inlineStr">
        <is>
          <t>https</t>
        </is>
      </c>
      <c r="L44" s="24" t="n">
        <v>0</v>
      </c>
      <c r="M44" s="24" t="inlineStr">
        <is>
          <t>Copy Writer</t>
        </is>
      </c>
      <c r="N44" s="25" t="inlineStr">
        <is>
          <t>Open</t>
        </is>
      </c>
      <c r="O44" s="24" t="inlineStr"/>
      <c r="P44" s="24" t="inlineStr">
        <is>
          <t>WARN 🟡</t>
        </is>
      </c>
      <c r="Q44" s="24" t="inlineStr">
        <is>
          <t>https</t>
        </is>
      </c>
      <c r="R44" s="24" t="n">
        <v>0</v>
      </c>
      <c r="S44" s="24" t="inlineStr">
        <is>
          <t>text/html; charset=UTF-8</t>
        </is>
      </c>
      <c r="T44" s="27" t="inlineStr">
        <is>
          <t>HTTP/1.1</t>
        </is>
      </c>
      <c r="U44" s="24" t="b">
        <v>0</v>
      </c>
      <c r="V44" s="24" t="inlineStr">
        <is>
          <t>text/html; charset=UTF-8</t>
        </is>
      </c>
      <c r="W44" s="24" t="inlineStr">
        <is>
          <t>HTTP/1.1</t>
        </is>
      </c>
      <c r="X44" s="24" t="n">
        <v>272.12</v>
      </c>
      <c r="Y44" s="25" t="b">
        <v>0</v>
      </c>
      <c r="Z44" s="24" t="n"/>
      <c r="AA44" s="24" t="n"/>
      <c r="AB44" s="24" t="n"/>
      <c r="AC44" s="24" t="n"/>
      <c r="AD44" s="27" t="n"/>
      <c r="AE44" s="27" t="n"/>
      <c r="AF44" s="25" t="b">
        <v>0</v>
      </c>
      <c r="AG44" s="25" t="b">
        <v>0</v>
      </c>
      <c r="AH44" s="24" t="n">
        <v>0</v>
      </c>
      <c r="AI44" s="24" t="b">
        <v>0</v>
      </c>
      <c r="AJ44" s="24" t="n"/>
      <c r="AK44" s="24" t="b">
        <v>0</v>
      </c>
      <c r="AL44" s="25" t="b">
        <v>0</v>
      </c>
      <c r="AM44" s="24" t="b">
        <v>0</v>
      </c>
      <c r="AN44" s="24" t="b">
        <v>0</v>
      </c>
      <c r="AO44" s="24" t="n"/>
      <c r="AP44" s="24" t="n"/>
      <c r="AQ44" s="24" t="inlineStr">
        <is>
          <t>2022-06-02T12:03:41+00:00</t>
        </is>
      </c>
      <c r="AR44" s="24" t="inlineStr">
        <is>
          <t>2022-06-02T12:03:41+00:00</t>
        </is>
      </c>
      <c r="AS44" s="24" t="inlineStr">
        <is>
          <t>weekly</t>
        </is>
      </c>
      <c r="AT44" s="24" t="inlineStr">
        <is>
          <t>0.7</t>
        </is>
      </c>
      <c r="AU44" s="24" t="n">
        <v>0</v>
      </c>
      <c r="AV44" s="24" t="n">
        <v>3</v>
      </c>
      <c r="AW44" s="24" t="n">
        <v>7</v>
      </c>
      <c r="AX44" s="24" t="inlineStr">
        <is>
          <t>0</t>
        </is>
      </c>
      <c r="AY44" s="24" t="b">
        <v>1</v>
      </c>
      <c r="AZ44" s="24" t="b">
        <v>0</v>
      </c>
      <c r="BA44" s="24" t="b">
        <v>0</v>
      </c>
      <c r="BB44" s="24" t="n">
        <v>352</v>
      </c>
      <c r="BC44" s="24" t="n">
        <v>2213</v>
      </c>
      <c r="BD44" s="24" t="n"/>
      <c r="BE44" s="24" t="inlineStr">
        <is>
          <t>https://africanmarketingconfederation.org/amc-masterclass/::missing_h1 | https://africanmarketingconfederation.org/amc-masterclass/::thin_content | https://africanmarketingconfederation.org/amc-masterclass/::low_aeo_readiness_score | https://africanmarketingconfederation.org/amc-masterclass/::no_compression_header | https://africanmarketingconfederation.org/amc-masterclass/::no_cache-control_header | https://africanmarketingconfederation.org/amc-masterclass/::no_etag_header | https://africanmarketingconfederation.org/amc-masterclass/::no_faq_qa_schema | https://africanmarketingconfederation.org/amc-masterclass/::no_question_headings | https://africanmarketingconfederation.org/amc-masterclass/::no_answer-friendly_structure | https://africanmarketingconfederation.org/amc-masterclass/::no_40-60_word_answer_paragraphs</t>
        </is>
      </c>
      <c r="BF44" s="27" t="n">
        <v>1</v>
      </c>
      <c r="BG44" s="27" t="b">
        <v>0</v>
      </c>
      <c r="BH44">
        <f>IFERROR(HYPERLINK("#Main!A"&amp;MATCH(A44,Main!A:A,0),"Open"),HYPERLINK("#Main!A1","Open"))</f>
        <v/>
      </c>
    </row>
    <row r="45" ht="30" customHeight="1">
      <c r="A45" s="33" t="inlineStr">
        <is>
          <t>https://africanmarketingconfederation.org/amc-relaunch-programme/</t>
        </is>
      </c>
      <c r="B45" s="4" t="n">
        <v>200</v>
      </c>
      <c r="C45" s="6" t="inlineStr">
        <is>
          <t>2xx</t>
        </is>
      </c>
      <c r="D45" s="6" t="n">
        <v>59</v>
      </c>
      <c r="E45" s="25" t="inlineStr">
        <is>
          <t>Warning</t>
        </is>
      </c>
      <c r="F45" s="6" t="inlineStr">
        <is>
          <t>Yes</t>
        </is>
      </c>
      <c r="G45" s="4" t="inlineStr">
        <is>
          <t>Indexable</t>
        </is>
      </c>
      <c r="H45" s="6" t="n">
        <v>47.85</v>
      </c>
      <c r="I45" s="6" t="n">
        <v>104.41</v>
      </c>
      <c r="J45" s="30" t="inlineStr">
        <is>
          <t>https://africanmarketingconfederation.org/amc-relaunch-programme/</t>
        </is>
      </c>
      <c r="K45" s="30" t="inlineStr">
        <is>
          <t>https</t>
        </is>
      </c>
      <c r="L45" s="6" t="n">
        <v>0</v>
      </c>
      <c r="M45" s="6" t="inlineStr">
        <is>
          <t>Copy Writer</t>
        </is>
      </c>
      <c r="N45" s="25" t="inlineStr">
        <is>
          <t>Open</t>
        </is>
      </c>
      <c r="O45" s="6" t="inlineStr"/>
      <c r="P45" s="6" t="inlineStr">
        <is>
          <t>WARN 🟡</t>
        </is>
      </c>
      <c r="Q45" s="6" t="inlineStr">
        <is>
          <t>https</t>
        </is>
      </c>
      <c r="R45" s="6" t="n">
        <v>0</v>
      </c>
      <c r="S45" s="6" t="inlineStr">
        <is>
          <t>text/html; charset=UTF-8</t>
        </is>
      </c>
      <c r="T45" s="30" t="inlineStr">
        <is>
          <t>HTTP/1.1</t>
        </is>
      </c>
      <c r="U45" s="6" t="b">
        <v>0</v>
      </c>
      <c r="V45" s="6" t="inlineStr">
        <is>
          <t>text/html; charset=UTF-8</t>
        </is>
      </c>
      <c r="W45" s="6" t="inlineStr">
        <is>
          <t>HTTP/1.1</t>
        </is>
      </c>
      <c r="X45" s="6" t="n">
        <v>314.42</v>
      </c>
      <c r="Y45" s="25" t="b">
        <v>0</v>
      </c>
      <c r="Z45" s="6" t="n"/>
      <c r="AA45" s="6" t="n"/>
      <c r="AB45" s="6" t="n"/>
      <c r="AC45" s="6" t="n"/>
      <c r="AD45" s="30" t="n"/>
      <c r="AE45" s="30" t="n"/>
      <c r="AF45" s="25" t="b">
        <v>0</v>
      </c>
      <c r="AG45" s="25" t="b">
        <v>0</v>
      </c>
      <c r="AH45" s="6" t="n">
        <v>0</v>
      </c>
      <c r="AI45" s="6" t="b">
        <v>0</v>
      </c>
      <c r="AJ45" s="6" t="n"/>
      <c r="AK45" s="6" t="b">
        <v>0</v>
      </c>
      <c r="AL45" s="25" t="b">
        <v>0</v>
      </c>
      <c r="AM45" s="6" t="b">
        <v>0</v>
      </c>
      <c r="AN45" s="6" t="b">
        <v>0</v>
      </c>
      <c r="AO45" s="6" t="n"/>
      <c r="AP45" s="6" t="n"/>
      <c r="AQ45" s="6" t="inlineStr">
        <is>
          <t>2022-06-03T08:52:21+00:00</t>
        </is>
      </c>
      <c r="AR45" s="6" t="inlineStr">
        <is>
          <t>2022-06-03T08:52:21+00:00</t>
        </is>
      </c>
      <c r="AS45" s="6" t="inlineStr">
        <is>
          <t>weekly</t>
        </is>
      </c>
      <c r="AT45" s="6" t="inlineStr">
        <is>
          <t>0.7</t>
        </is>
      </c>
      <c r="AU45" s="6" t="n">
        <v>0</v>
      </c>
      <c r="AV45" s="6" t="n">
        <v>2</v>
      </c>
      <c r="AW45" s="6" t="n">
        <v>7</v>
      </c>
      <c r="AX45" s="6" t="inlineStr">
        <is>
          <t>0</t>
        </is>
      </c>
      <c r="AY45" s="6" t="b">
        <v>1</v>
      </c>
      <c r="AZ45" s="6" t="b">
        <v>0</v>
      </c>
      <c r="BA45" s="6" t="b">
        <v>0</v>
      </c>
      <c r="BB45" s="6" t="n">
        <v>417</v>
      </c>
      <c r="BC45" s="6" t="n">
        <v>2207</v>
      </c>
      <c r="BD45" s="6" t="n"/>
      <c r="BE45" s="6" t="inlineStr">
        <is>
          <t>https://africanmarketingconfederation.org/amc-relaunch-programme/::missing_h1 | https://africanmarketingconfederation.org/amc-relaunch-programme/::low_aeo_readiness_score | https://africanmarketingconfederation.org/amc-relaunch-programme/::no_compression_header | https://africanmarketingconfederation.org/amc-relaunch-programme/::no_cache-control_header | https://africanmarketingconfederation.org/amc-relaunch-programme/::no_etag_header | https://africanmarketingconfederation.org/amc-relaunch-programme/::no_faq_qa_schema | https://africanmarketingconfederation.org/amc-relaunch-programme/::no_question_headings | https://africanmarketingconfederation.org/amc-relaunch-programme/::no_answer-friendly_structure | https://africanmarketingconfederation.org/amc-relaunch-programme/::no_40-60_word_answer_paragraphs</t>
        </is>
      </c>
      <c r="BF45" s="30" t="n">
        <v>1</v>
      </c>
      <c r="BG45" s="30" t="b">
        <v>0</v>
      </c>
      <c r="BH45">
        <f>IFERROR(HYPERLINK("#Main!A"&amp;MATCH(A45,Main!A:A,0),"Open"),HYPERLINK("#Main!A1","Open"))</f>
        <v/>
      </c>
    </row>
    <row r="46" ht="30" customHeight="1">
      <c r="A46" s="33" t="inlineStr">
        <is>
          <t>https://africanmarketingconfederation.org/amc-sign-up-now-form-2025/</t>
        </is>
      </c>
      <c r="B46" s="4" t="n">
        <v>200</v>
      </c>
      <c r="C46" s="24" t="inlineStr">
        <is>
          <t>2xx</t>
        </is>
      </c>
      <c r="D46" s="24" t="n">
        <v>69</v>
      </c>
      <c r="E46" s="25" t="inlineStr">
        <is>
          <t>Warning</t>
        </is>
      </c>
      <c r="F46" s="24" t="inlineStr">
        <is>
          <t>Yes</t>
        </is>
      </c>
      <c r="G46" s="4" t="inlineStr">
        <is>
          <t>Indexable</t>
        </is>
      </c>
      <c r="H46" s="24" t="n">
        <v>52.96</v>
      </c>
      <c r="I46" s="24" t="n">
        <v>76.05</v>
      </c>
      <c r="J46" s="27" t="inlineStr">
        <is>
          <t>https://africanmarketingconfederation.org/amc-sign-up-now-form-2025/</t>
        </is>
      </c>
      <c r="K46" s="27" t="inlineStr">
        <is>
          <t>https</t>
        </is>
      </c>
      <c r="L46" s="24" t="n">
        <v>0</v>
      </c>
      <c r="M46" s="24" t="inlineStr">
        <is>
          <t>Copy Writer</t>
        </is>
      </c>
      <c r="N46" s="25" t="inlineStr">
        <is>
          <t>Open</t>
        </is>
      </c>
      <c r="O46" s="24" t="inlineStr"/>
      <c r="P46" s="24" t="inlineStr">
        <is>
          <t>WARN 🟡</t>
        </is>
      </c>
      <c r="Q46" s="24" t="inlineStr">
        <is>
          <t>https</t>
        </is>
      </c>
      <c r="R46" s="24" t="n">
        <v>0</v>
      </c>
      <c r="S46" s="24" t="inlineStr">
        <is>
          <t>text/html; charset=UTF-8</t>
        </is>
      </c>
      <c r="T46" s="27" t="inlineStr">
        <is>
          <t>HTTP/1.1</t>
        </is>
      </c>
      <c r="U46" s="24" t="b">
        <v>0</v>
      </c>
      <c r="V46" s="24" t="inlineStr">
        <is>
          <t>text/html; charset=UTF-8</t>
        </is>
      </c>
      <c r="W46" s="24" t="inlineStr">
        <is>
          <t>HTTP/1.1</t>
        </is>
      </c>
      <c r="X46" s="24" t="n">
        <v>349.95</v>
      </c>
      <c r="Y46" s="25" t="b">
        <v>0</v>
      </c>
      <c r="Z46" s="24" t="n"/>
      <c r="AA46" s="24" t="n"/>
      <c r="AB46" s="24" t="n"/>
      <c r="AC46" s="24" t="n"/>
      <c r="AD46" s="27" t="n"/>
      <c r="AE46" s="27" t="n"/>
      <c r="AF46" s="25" t="b">
        <v>0</v>
      </c>
      <c r="AG46" s="25" t="b">
        <v>0</v>
      </c>
      <c r="AH46" s="24" t="n">
        <v>0</v>
      </c>
      <c r="AI46" s="24" t="b">
        <v>0</v>
      </c>
      <c r="AJ46" s="24" t="n"/>
      <c r="AK46" s="24" t="b">
        <v>0</v>
      </c>
      <c r="AL46" s="25" t="b">
        <v>0</v>
      </c>
      <c r="AM46" s="24" t="b">
        <v>0</v>
      </c>
      <c r="AN46" s="24" t="b">
        <v>0</v>
      </c>
      <c r="AO46" s="24" t="n"/>
      <c r="AP46" s="24" t="n"/>
      <c r="AQ46" s="24" t="inlineStr">
        <is>
          <t>2024-11-05T13:50:35+00:00</t>
        </is>
      </c>
      <c r="AR46" s="24" t="inlineStr">
        <is>
          <t>2024-11-05T13:50:35+00:00</t>
        </is>
      </c>
      <c r="AS46" s="24" t="inlineStr">
        <is>
          <t>weekly</t>
        </is>
      </c>
      <c r="AT46" s="24" t="inlineStr">
        <is>
          <t>0.7</t>
        </is>
      </c>
      <c r="AU46" s="24" t="n">
        <v>0</v>
      </c>
      <c r="AV46" s="24" t="n">
        <v>1</v>
      </c>
      <c r="AW46" s="24" t="n">
        <v>7</v>
      </c>
      <c r="AX46" s="24" t="inlineStr">
        <is>
          <t>0</t>
        </is>
      </c>
      <c r="AY46" s="24" t="b">
        <v>1</v>
      </c>
      <c r="AZ46" s="24" t="b">
        <v>0</v>
      </c>
      <c r="BA46" s="24" t="b">
        <v>0</v>
      </c>
      <c r="BB46" s="24" t="n">
        <v>424</v>
      </c>
      <c r="BC46" s="24" t="n">
        <v>6677</v>
      </c>
      <c r="BD46" s="24" t="n"/>
      <c r="BE46" s="24" t="inlineStr">
        <is>
          <t>https://africanmarketingconfederation.org/amc-sign-up-now-form-2025/::low_aeo_readiness_score | https://africanmarketingconfederation.org/amc-sign-up-now-form-2025/::no_compression_header | https://africanmarketingconfederation.org/amc-sign-up-now-form-2025/::no_cache-control_header | https://africanmarketingconfederation.org/amc-sign-up-now-form-2025/::no_etag_header | https://africanmarketingconfederation.org/amc-sign-up-now-form-2025/::no_faq_qa_schema | https://africanmarketingconfederation.org/amc-sign-up-now-form-2025/::no_question_headings | https://africanmarketingconfederation.org/amc-sign-up-now-form-2025/::no_answer-friendly_structure | https://africanmarketingconfederation.org/amc-sign-up-now-form-2025/::no_40-60_word_answer_paragraphs</t>
        </is>
      </c>
      <c r="BF46" s="27" t="n">
        <v>1</v>
      </c>
      <c r="BG46" s="27" t="b">
        <v>0</v>
      </c>
      <c r="BH46">
        <f>IFERROR(HYPERLINK("#Main!A"&amp;MATCH(A46,Main!A:A,0),"Open"),HYPERLINK("#Main!A1","Open"))</f>
        <v/>
      </c>
    </row>
    <row r="47" ht="30" customHeight="1">
      <c r="A47" s="33" t="inlineStr">
        <is>
          <t>https://africanmarketingconfederation.org/amc-sponsors-2025/</t>
        </is>
      </c>
      <c r="B47" s="4" t="n">
        <v>200</v>
      </c>
      <c r="C47" s="6" t="inlineStr">
        <is>
          <t>2xx</t>
        </is>
      </c>
      <c r="D47" s="6" t="n">
        <v>69</v>
      </c>
      <c r="E47" s="25" t="inlineStr">
        <is>
          <t>Warning</t>
        </is>
      </c>
      <c r="F47" s="6" t="inlineStr">
        <is>
          <t>Yes</t>
        </is>
      </c>
      <c r="G47" s="4" t="inlineStr">
        <is>
          <t>Indexable</t>
        </is>
      </c>
      <c r="H47" s="6" t="n">
        <v>64.63</v>
      </c>
      <c r="I47" s="6" t="n">
        <v>78.64</v>
      </c>
      <c r="J47" s="30" t="inlineStr">
        <is>
          <t>https://africanmarketingconfederation.org/amc-sponsors-2025/</t>
        </is>
      </c>
      <c r="K47" s="30" t="inlineStr">
        <is>
          <t>https</t>
        </is>
      </c>
      <c r="L47" s="6" t="n">
        <v>0</v>
      </c>
      <c r="M47" s="6" t="inlineStr">
        <is>
          <t>Copy Writer</t>
        </is>
      </c>
      <c r="N47" s="25" t="inlineStr">
        <is>
          <t>Open</t>
        </is>
      </c>
      <c r="O47" s="6" t="inlineStr"/>
      <c r="P47" s="6" t="inlineStr">
        <is>
          <t>WARN 🟡</t>
        </is>
      </c>
      <c r="Q47" s="6" t="inlineStr">
        <is>
          <t>https</t>
        </is>
      </c>
      <c r="R47" s="6" t="n">
        <v>0</v>
      </c>
      <c r="S47" s="6" t="inlineStr">
        <is>
          <t>text/html; charset=UTF-8</t>
        </is>
      </c>
      <c r="T47" s="30" t="inlineStr">
        <is>
          <t>HTTP/1.1</t>
        </is>
      </c>
      <c r="U47" s="6" t="b">
        <v>0</v>
      </c>
      <c r="V47" s="6" t="inlineStr">
        <is>
          <t>text/html; charset=UTF-8</t>
        </is>
      </c>
      <c r="W47" s="6" t="inlineStr">
        <is>
          <t>HTTP/1.1</t>
        </is>
      </c>
      <c r="X47" s="6" t="n">
        <v>444.59</v>
      </c>
      <c r="Y47" s="25" t="b">
        <v>0</v>
      </c>
      <c r="Z47" s="6" t="n"/>
      <c r="AA47" s="6" t="n"/>
      <c r="AB47" s="6" t="n"/>
      <c r="AC47" s="6" t="n"/>
      <c r="AD47" s="30" t="n"/>
      <c r="AE47" s="30" t="n"/>
      <c r="AF47" s="25" t="b">
        <v>0</v>
      </c>
      <c r="AG47" s="25" t="b">
        <v>0</v>
      </c>
      <c r="AH47" s="6" t="n">
        <v>0</v>
      </c>
      <c r="AI47" s="6" t="b">
        <v>0</v>
      </c>
      <c r="AJ47" s="6" t="n"/>
      <c r="AK47" s="6" t="b">
        <v>0</v>
      </c>
      <c r="AL47" s="25" t="b">
        <v>0</v>
      </c>
      <c r="AM47" s="6" t="b">
        <v>0</v>
      </c>
      <c r="AN47" s="6" t="b">
        <v>0</v>
      </c>
      <c r="AO47" s="6" t="n"/>
      <c r="AP47" s="6" t="n"/>
      <c r="AQ47" s="6" t="inlineStr">
        <is>
          <t>2025-08-18T11:53:25+00:00</t>
        </is>
      </c>
      <c r="AR47" s="6" t="inlineStr">
        <is>
          <t>2025-08-18T11:53:25+00:00</t>
        </is>
      </c>
      <c r="AS47" s="6" t="inlineStr">
        <is>
          <t>weekly</t>
        </is>
      </c>
      <c r="AT47" s="6" t="inlineStr">
        <is>
          <t>0.7</t>
        </is>
      </c>
      <c r="AU47" s="6" t="n">
        <v>0</v>
      </c>
      <c r="AV47" s="6" t="n">
        <v>1</v>
      </c>
      <c r="AW47" s="6" t="n">
        <v>7</v>
      </c>
      <c r="AX47" s="6" t="inlineStr">
        <is>
          <t>0</t>
        </is>
      </c>
      <c r="AY47" s="6" t="b">
        <v>1</v>
      </c>
      <c r="AZ47" s="6" t="b">
        <v>0</v>
      </c>
      <c r="BA47" s="6" t="b">
        <v>0</v>
      </c>
      <c r="BB47" s="6" t="n">
        <v>338</v>
      </c>
      <c r="BC47" s="6" t="n">
        <v>998</v>
      </c>
      <c r="BD47" s="6" t="inlineStr">
        <is>
          <t>Near-duplicate title cluster | Near-duplicate meta description cluster</t>
        </is>
      </c>
      <c r="BE47" s="6" t="inlineStr">
        <is>
          <t>https://africanmarketingconfederation.org/amc-sponsors-2025/::low_aeo_readiness_score | https://africanmarketingconfederation.org/amc-sponsors-2025/::no_compression_header | https://africanmarketingconfederation.org/amc-sponsors-2025/::no_cache-control_header | https://africanmarketingconfederation.org/amc-sponsors-2025/::no_etag_header | https://africanmarketingconfederation.org/amc-sponsors-2025/::no_faq_qa_schema | https://africanmarketingconfederation.org/amc-sponsors-2025/::no_question_headings | https://africanmarketingconfederation.org/amc-sponsors-2025/::no_answer-friendly_structure | https://africanmarketingconfederation.org/amc-sponsors-2025/::no_40-60_word_answer_paragraphs</t>
        </is>
      </c>
      <c r="BF47" s="30" t="n">
        <v>1</v>
      </c>
      <c r="BG47" s="30" t="b">
        <v>0</v>
      </c>
      <c r="BH47">
        <f>IFERROR(HYPERLINK("#Main!A"&amp;MATCH(A47,Main!A:A,0),"Open"),HYPERLINK("#Main!A1","Open"))</f>
        <v/>
      </c>
    </row>
    <row r="48" ht="30" customHeight="1">
      <c r="A48" s="33" t="inlineStr">
        <is>
          <t>https://africanmarketingconfederation.org/amc-testimony-page-2024/</t>
        </is>
      </c>
      <c r="B48" s="4" t="n">
        <v>200</v>
      </c>
      <c r="C48" s="24" t="inlineStr">
        <is>
          <t>2xx</t>
        </is>
      </c>
      <c r="D48" s="24" t="n">
        <v>69</v>
      </c>
      <c r="E48" s="25" t="inlineStr">
        <is>
          <t>Warning</t>
        </is>
      </c>
      <c r="F48" s="24" t="inlineStr">
        <is>
          <t>Yes</t>
        </is>
      </c>
      <c r="G48" s="4" t="inlineStr">
        <is>
          <t>Indexable</t>
        </is>
      </c>
      <c r="H48" s="24" t="n">
        <v>61.93</v>
      </c>
      <c r="I48" s="24" t="n">
        <v>113.31</v>
      </c>
      <c r="J48" s="27" t="inlineStr">
        <is>
          <t>https://africanmarketingconfederation.org/amc-testimony-page-2024/</t>
        </is>
      </c>
      <c r="K48" s="27" t="inlineStr">
        <is>
          <t>https</t>
        </is>
      </c>
      <c r="L48" s="24" t="n">
        <v>0</v>
      </c>
      <c r="M48" s="24" t="inlineStr">
        <is>
          <t>Copy Writer</t>
        </is>
      </c>
      <c r="N48" s="25" t="inlineStr">
        <is>
          <t>Open</t>
        </is>
      </c>
      <c r="O48" s="24" t="inlineStr"/>
      <c r="P48" s="24" t="inlineStr">
        <is>
          <t>WARN 🟡</t>
        </is>
      </c>
      <c r="Q48" s="24" t="inlineStr">
        <is>
          <t>https</t>
        </is>
      </c>
      <c r="R48" s="24" t="n">
        <v>0</v>
      </c>
      <c r="S48" s="24" t="inlineStr">
        <is>
          <t>text/html; charset=UTF-8</t>
        </is>
      </c>
      <c r="T48" s="27" t="inlineStr">
        <is>
          <t>HTTP/1.1</t>
        </is>
      </c>
      <c r="U48" s="24" t="b">
        <v>0</v>
      </c>
      <c r="V48" s="24" t="inlineStr">
        <is>
          <t>text/html; charset=UTF-8</t>
        </is>
      </c>
      <c r="W48" s="24" t="inlineStr">
        <is>
          <t>HTTP/1.1</t>
        </is>
      </c>
      <c r="X48" s="24" t="n">
        <v>351.39</v>
      </c>
      <c r="Y48" s="25" t="b">
        <v>0</v>
      </c>
      <c r="Z48" s="24" t="n"/>
      <c r="AA48" s="24" t="n"/>
      <c r="AB48" s="24" t="n"/>
      <c r="AC48" s="24" t="n"/>
      <c r="AD48" s="27" t="n"/>
      <c r="AE48" s="27" t="n"/>
      <c r="AF48" s="25" t="b">
        <v>0</v>
      </c>
      <c r="AG48" s="25" t="b">
        <v>0</v>
      </c>
      <c r="AH48" s="24" t="n">
        <v>0</v>
      </c>
      <c r="AI48" s="24" t="b">
        <v>0</v>
      </c>
      <c r="AJ48" s="24" t="n"/>
      <c r="AK48" s="24" t="b">
        <v>0</v>
      </c>
      <c r="AL48" s="25" t="b">
        <v>0</v>
      </c>
      <c r="AM48" s="24" t="b">
        <v>0</v>
      </c>
      <c r="AN48" s="24" t="b">
        <v>0</v>
      </c>
      <c r="AO48" s="24" t="n"/>
      <c r="AP48" s="24" t="n"/>
      <c r="AQ48" s="24" t="inlineStr">
        <is>
          <t>2024-11-04T11:11:25+00:00</t>
        </is>
      </c>
      <c r="AR48" s="24" t="inlineStr">
        <is>
          <t>2024-11-04T11:11:25+00:00</t>
        </is>
      </c>
      <c r="AS48" s="24" t="inlineStr">
        <is>
          <t>weekly</t>
        </is>
      </c>
      <c r="AT48" s="24" t="inlineStr">
        <is>
          <t>0.7</t>
        </is>
      </c>
      <c r="AU48" s="24" t="n">
        <v>0</v>
      </c>
      <c r="AV48" s="24" t="n">
        <v>1</v>
      </c>
      <c r="AW48" s="24" t="n">
        <v>7</v>
      </c>
      <c r="AX48" s="24" t="inlineStr">
        <is>
          <t>0</t>
        </is>
      </c>
      <c r="AY48" s="24" t="b">
        <v>1</v>
      </c>
      <c r="AZ48" s="24" t="b">
        <v>0</v>
      </c>
      <c r="BA48" s="24" t="b">
        <v>0</v>
      </c>
      <c r="BB48" s="24" t="n">
        <v>410</v>
      </c>
      <c r="BC48" s="24" t="n">
        <v>2331</v>
      </c>
      <c r="BD48" s="24" t="n"/>
      <c r="BE48" s="24" t="inlineStr">
        <is>
          <t>https://africanmarketingconfederation.org/amc-testimony-page-2024/::low_aeo_readiness_score | https://africanmarketingconfederation.org/amc-testimony-page-2024/::no_compression_header | https://africanmarketingconfederation.org/amc-testimony-page-2024/::no_cache-control_header | https://africanmarketingconfederation.org/amc-testimony-page-2024/::no_etag_header | https://africanmarketingconfederation.org/amc-testimony-page-2024/::no_faq_qa_schema | https://africanmarketingconfederation.org/amc-testimony-page-2024/::no_question_headings | https://africanmarketingconfederation.org/amc-testimony-page-2024/::no_answer-friendly_structure | https://africanmarketingconfederation.org/amc-testimony-page-2024/::no_40-60_word_answer_paragraphs</t>
        </is>
      </c>
      <c r="BF48" s="27" t="n">
        <v>1</v>
      </c>
      <c r="BG48" s="27" t="b">
        <v>0</v>
      </c>
      <c r="BH48">
        <f>IFERROR(HYPERLINK("#Main!A"&amp;MATCH(A48,Main!A:A,0),"Open"),HYPERLINK("#Main!A1","Open"))</f>
        <v/>
      </c>
    </row>
    <row r="49" ht="30" customHeight="1">
      <c r="A49" s="33" t="inlineStr">
        <is>
          <t>https://africanmarketingconfederation.org/awards-2026-1/</t>
        </is>
      </c>
      <c r="B49" s="4" t="n">
        <v>200</v>
      </c>
      <c r="C49" s="6" t="inlineStr">
        <is>
          <t>2xx</t>
        </is>
      </c>
      <c r="D49" s="6" t="n">
        <v>59</v>
      </c>
      <c r="E49" s="25" t="inlineStr">
        <is>
          <t>Warning</t>
        </is>
      </c>
      <c r="F49" s="6" t="inlineStr">
        <is>
          <t>Yes</t>
        </is>
      </c>
      <c r="G49" s="4" t="inlineStr">
        <is>
          <t>Indexable</t>
        </is>
      </c>
      <c r="H49" s="6" t="n">
        <v>50.97</v>
      </c>
      <c r="I49" s="6" t="n">
        <v>53.61</v>
      </c>
      <c r="J49" s="30" t="inlineStr">
        <is>
          <t>https://africanmarketingconfederation.org/awards-2026-1/</t>
        </is>
      </c>
      <c r="K49" s="30" t="inlineStr">
        <is>
          <t>https</t>
        </is>
      </c>
      <c r="L49" s="6" t="n">
        <v>0</v>
      </c>
      <c r="M49" s="6" t="inlineStr">
        <is>
          <t>Copy Writer</t>
        </is>
      </c>
      <c r="N49" s="25" t="inlineStr">
        <is>
          <t>Open</t>
        </is>
      </c>
      <c r="O49" s="6" t="inlineStr"/>
      <c r="P49" s="6" t="inlineStr">
        <is>
          <t>WARN 🟡</t>
        </is>
      </c>
      <c r="Q49" s="6" t="inlineStr">
        <is>
          <t>https</t>
        </is>
      </c>
      <c r="R49" s="6" t="n">
        <v>0</v>
      </c>
      <c r="S49" s="6" t="inlineStr">
        <is>
          <t>text/html; charset=UTF-8</t>
        </is>
      </c>
      <c r="T49" s="30" t="inlineStr">
        <is>
          <t>HTTP/1.1</t>
        </is>
      </c>
      <c r="U49" s="6" t="b">
        <v>0</v>
      </c>
      <c r="V49" s="6" t="inlineStr">
        <is>
          <t>text/html; charset=UTF-8</t>
        </is>
      </c>
      <c r="W49" s="6" t="inlineStr">
        <is>
          <t>HTTP/1.1</t>
        </is>
      </c>
      <c r="X49" s="6" t="n">
        <v>457.26</v>
      </c>
      <c r="Y49" s="25" t="b">
        <v>0</v>
      </c>
      <c r="Z49" s="6" t="n"/>
      <c r="AA49" s="6" t="n"/>
      <c r="AB49" s="6" t="n"/>
      <c r="AC49" s="6" t="n"/>
      <c r="AD49" s="30" t="n"/>
      <c r="AE49" s="30" t="n"/>
      <c r="AF49" s="25" t="b">
        <v>0</v>
      </c>
      <c r="AG49" s="25" t="b">
        <v>0</v>
      </c>
      <c r="AH49" s="6" t="n">
        <v>0</v>
      </c>
      <c r="AI49" s="6" t="b">
        <v>0</v>
      </c>
      <c r="AJ49" s="6" t="n"/>
      <c r="AK49" s="6" t="b">
        <v>0</v>
      </c>
      <c r="AL49" s="25" t="b">
        <v>0</v>
      </c>
      <c r="AM49" s="6" t="b">
        <v>0</v>
      </c>
      <c r="AN49" s="6" t="b">
        <v>0</v>
      </c>
      <c r="AO49" s="6" t="n"/>
      <c r="AP49" s="6" t="n"/>
      <c r="AQ49" s="6" t="inlineStr">
        <is>
          <t>2026-04-08T11:43:29+00:00</t>
        </is>
      </c>
      <c r="AR49" s="6" t="inlineStr">
        <is>
          <t>2026-04-08T11:43:29+00:00</t>
        </is>
      </c>
      <c r="AS49" s="6" t="inlineStr">
        <is>
          <t>weekly</t>
        </is>
      </c>
      <c r="AT49" s="6" t="inlineStr">
        <is>
          <t>0.7</t>
        </is>
      </c>
      <c r="AU49" s="6" t="n">
        <v>0</v>
      </c>
      <c r="AV49" s="6" t="n">
        <v>2</v>
      </c>
      <c r="AW49" s="6" t="n">
        <v>7</v>
      </c>
      <c r="AX49" s="6" t="inlineStr">
        <is>
          <t>0</t>
        </is>
      </c>
      <c r="AY49" s="6" t="b">
        <v>1</v>
      </c>
      <c r="AZ49" s="6" t="b">
        <v>0</v>
      </c>
      <c r="BA49" s="6" t="b">
        <v>0</v>
      </c>
      <c r="BB49" s="6" t="n">
        <v>367</v>
      </c>
      <c r="BC49" s="6" t="n">
        <v>967</v>
      </c>
      <c r="BD49" s="6" t="inlineStr">
        <is>
          <t>Near-duplicate meta description cluster</t>
        </is>
      </c>
      <c r="BE49" s="6" t="inlineStr">
        <is>
          <t>https://africanmarketingconfederation.org/awards-2026-1/::multiple_h1 | https://africanmarketingconfederation.org/awards-2026-1/::low_aeo_readiness_score | https://africanmarketingconfederation.org/awards-2026-1/::no_compression_header | https://africanmarketingconfederation.org/awards-2026-1/::no_cache-control_header | https://africanmarketingconfederation.org/awards-2026-1/::no_etag_header | https://africanmarketingconfederation.org/awards-2026-1/::no_faq_qa_schema | https://africanmarketingconfederation.org/awards-2026-1/::no_question_headings | https://africanmarketingconfederation.org/awards-2026-1/::no_answer-friendly_structure | https://africanmarketingconfederation.org/awards-2026-1/::no_40-60_word_answer_paragraphs</t>
        </is>
      </c>
      <c r="BF49" s="30" t="n">
        <v>1</v>
      </c>
      <c r="BG49" s="30" t="b">
        <v>0</v>
      </c>
      <c r="BH49">
        <f>IFERROR(HYPERLINK("#Main!A"&amp;MATCH(A49,Main!A:A,0),"Open"),HYPERLINK("#Main!A1","Open"))</f>
        <v/>
      </c>
    </row>
    <row r="50" ht="30" customHeight="1">
      <c r="A50" s="33" t="inlineStr">
        <is>
          <t>https://africanmarketingconfederation.org/awards-2026-test/</t>
        </is>
      </c>
      <c r="B50" s="4" t="n">
        <v>200</v>
      </c>
      <c r="C50" s="24" t="inlineStr">
        <is>
          <t>2xx</t>
        </is>
      </c>
      <c r="D50" s="24" t="n">
        <v>59</v>
      </c>
      <c r="E50" s="25" t="inlineStr">
        <is>
          <t>Warning</t>
        </is>
      </c>
      <c r="F50" s="24" t="inlineStr">
        <is>
          <t>Yes</t>
        </is>
      </c>
      <c r="G50" s="4" t="inlineStr">
        <is>
          <t>Indexable</t>
        </is>
      </c>
      <c r="H50" s="24" t="n">
        <v>68.09</v>
      </c>
      <c r="I50" s="24" t="n">
        <v>109.38</v>
      </c>
      <c r="J50" s="27" t="inlineStr">
        <is>
          <t>https://africanmarketingconfederation.org/awards-2026-test/</t>
        </is>
      </c>
      <c r="K50" s="27" t="inlineStr">
        <is>
          <t>https</t>
        </is>
      </c>
      <c r="L50" s="24" t="n">
        <v>0</v>
      </c>
      <c r="M50" s="24" t="inlineStr">
        <is>
          <t>Copy Writer</t>
        </is>
      </c>
      <c r="N50" s="25" t="inlineStr">
        <is>
          <t>Open</t>
        </is>
      </c>
      <c r="O50" s="24" t="inlineStr"/>
      <c r="P50" s="24" t="inlineStr">
        <is>
          <t>WARN 🟡</t>
        </is>
      </c>
      <c r="Q50" s="24" t="inlineStr">
        <is>
          <t>https</t>
        </is>
      </c>
      <c r="R50" s="24" t="n">
        <v>0</v>
      </c>
      <c r="S50" s="24" t="inlineStr">
        <is>
          <t>text/html; charset=UTF-8</t>
        </is>
      </c>
      <c r="T50" s="27" t="inlineStr">
        <is>
          <t>HTTP/1.1</t>
        </is>
      </c>
      <c r="U50" s="24" t="b">
        <v>0</v>
      </c>
      <c r="V50" s="24" t="inlineStr">
        <is>
          <t>text/html; charset=UTF-8</t>
        </is>
      </c>
      <c r="W50" s="24" t="inlineStr">
        <is>
          <t>HTTP/1.1</t>
        </is>
      </c>
      <c r="X50" s="24" t="n">
        <v>503.04</v>
      </c>
      <c r="Y50" s="25" t="b">
        <v>0</v>
      </c>
      <c r="Z50" s="24" t="n"/>
      <c r="AA50" s="24" t="n"/>
      <c r="AB50" s="24" t="n"/>
      <c r="AC50" s="24" t="n"/>
      <c r="AD50" s="27" t="n"/>
      <c r="AE50" s="27" t="n"/>
      <c r="AF50" s="25" t="b">
        <v>0</v>
      </c>
      <c r="AG50" s="25" t="b">
        <v>0</v>
      </c>
      <c r="AH50" s="24" t="n">
        <v>0</v>
      </c>
      <c r="AI50" s="24" t="b">
        <v>0</v>
      </c>
      <c r="AJ50" s="24" t="n"/>
      <c r="AK50" s="24" t="b">
        <v>0</v>
      </c>
      <c r="AL50" s="25" t="b">
        <v>0</v>
      </c>
      <c r="AM50" s="24" t="b">
        <v>0</v>
      </c>
      <c r="AN50" s="24" t="b">
        <v>0</v>
      </c>
      <c r="AO50" s="24" t="n"/>
      <c r="AP50" s="24" t="n"/>
      <c r="AQ50" s="24" t="inlineStr">
        <is>
          <t>2026-04-08T09:47:58+00:00</t>
        </is>
      </c>
      <c r="AR50" s="24" t="inlineStr">
        <is>
          <t>2026-04-08T09:47:58+00:00</t>
        </is>
      </c>
      <c r="AS50" s="24" t="inlineStr">
        <is>
          <t>weekly</t>
        </is>
      </c>
      <c r="AT50" s="24" t="inlineStr">
        <is>
          <t>0.7</t>
        </is>
      </c>
      <c r="AU50" s="24" t="n">
        <v>0</v>
      </c>
      <c r="AV50" s="24" t="n">
        <v>2</v>
      </c>
      <c r="AW50" s="24" t="n">
        <v>7</v>
      </c>
      <c r="AX50" s="24" t="inlineStr">
        <is>
          <t>0</t>
        </is>
      </c>
      <c r="AY50" s="24" t="b">
        <v>1</v>
      </c>
      <c r="AZ50" s="24" t="b">
        <v>0</v>
      </c>
      <c r="BA50" s="24" t="b">
        <v>0</v>
      </c>
      <c r="BB50" s="24" t="n">
        <v>360</v>
      </c>
      <c r="BC50" s="24" t="n">
        <v>3261</v>
      </c>
      <c r="BD50" s="24" t="n"/>
      <c r="BE50" s="24" t="inlineStr">
        <is>
          <t>https://africanmarketingconfederation.org/awards-2026-test/::multiple_h1 | https://africanmarketingconfederation.org/awards-2026-test/::low_aeo_readiness_score | https://africanmarketingconfederation.org/awards-2026-test/::no_compression_header | https://africanmarketingconfederation.org/awards-2026-test/::no_cache-control_header | https://africanmarketingconfederation.org/awards-2026-test/::no_etag_header | https://africanmarketingconfederation.org/awards-2026-test/::no_faq_qa_schema | https://africanmarketingconfederation.org/awards-2026-test/::no_question_headings | https://africanmarketingconfederation.org/awards-2026-test/::no_answer-friendly_structure | https://africanmarketingconfederation.org/awards-2026-test/::no_40-60_word_answer_paragraphs</t>
        </is>
      </c>
      <c r="BF50" s="27" t="n">
        <v>1</v>
      </c>
      <c r="BG50" s="27" t="b">
        <v>0</v>
      </c>
      <c r="BH50">
        <f>IFERROR(HYPERLINK("#Main!A"&amp;MATCH(A50,Main!A:A,0),"Open"),HYPERLINK("#Main!A1","Open"))</f>
        <v/>
      </c>
    </row>
    <row r="51" ht="30" customHeight="1">
      <c r="A51" s="33" t="inlineStr">
        <is>
          <t>https://africanmarketingconfederation.org/awards-2026/</t>
        </is>
      </c>
      <c r="B51" s="4" t="n">
        <v>200</v>
      </c>
      <c r="C51" s="6" t="inlineStr">
        <is>
          <t>2xx</t>
        </is>
      </c>
      <c r="D51" s="6" t="n">
        <v>59</v>
      </c>
      <c r="E51" s="25" t="inlineStr">
        <is>
          <t>Warning</t>
        </is>
      </c>
      <c r="F51" s="6" t="inlineStr">
        <is>
          <t>Yes</t>
        </is>
      </c>
      <c r="G51" s="4" t="inlineStr">
        <is>
          <t>Indexable</t>
        </is>
      </c>
      <c r="H51" s="6" t="n">
        <v>60.01</v>
      </c>
      <c r="I51" s="6" t="n">
        <v>99.55</v>
      </c>
      <c r="J51" s="30" t="inlineStr">
        <is>
          <t>https://africanmarketingconfederation.org/awards-2026/</t>
        </is>
      </c>
      <c r="K51" s="30" t="inlineStr">
        <is>
          <t>https</t>
        </is>
      </c>
      <c r="L51" s="6" t="n">
        <v>0</v>
      </c>
      <c r="M51" s="6" t="inlineStr">
        <is>
          <t>Copy Writer</t>
        </is>
      </c>
      <c r="N51" s="25" t="inlineStr">
        <is>
          <t>Open</t>
        </is>
      </c>
      <c r="O51" s="6" t="inlineStr"/>
      <c r="P51" s="6" t="inlineStr">
        <is>
          <t>WARN 🟡</t>
        </is>
      </c>
      <c r="Q51" s="6" t="inlineStr">
        <is>
          <t>https</t>
        </is>
      </c>
      <c r="R51" s="6" t="n">
        <v>0</v>
      </c>
      <c r="S51" s="6" t="inlineStr">
        <is>
          <t>text/html; charset=UTF-8</t>
        </is>
      </c>
      <c r="T51" s="30" t="inlineStr">
        <is>
          <t>HTTP/1.1</t>
        </is>
      </c>
      <c r="U51" s="6" t="b">
        <v>0</v>
      </c>
      <c r="V51" s="6" t="inlineStr">
        <is>
          <t>text/html; charset=UTF-8</t>
        </is>
      </c>
      <c r="W51" s="6" t="inlineStr">
        <is>
          <t>HTTP/1.1</t>
        </is>
      </c>
      <c r="X51" s="6" t="n">
        <v>472.12</v>
      </c>
      <c r="Y51" s="25" t="b">
        <v>0</v>
      </c>
      <c r="Z51" s="6" t="n"/>
      <c r="AA51" s="6" t="n"/>
      <c r="AB51" s="6" t="n"/>
      <c r="AC51" s="6" t="n"/>
      <c r="AD51" s="30" t="n"/>
      <c r="AE51" s="30" t="n"/>
      <c r="AF51" s="25" t="b">
        <v>0</v>
      </c>
      <c r="AG51" s="25" t="b">
        <v>0</v>
      </c>
      <c r="AH51" s="6" t="n">
        <v>0</v>
      </c>
      <c r="AI51" s="6" t="b">
        <v>0</v>
      </c>
      <c r="AJ51" s="6" t="n"/>
      <c r="AK51" s="6" t="b">
        <v>0</v>
      </c>
      <c r="AL51" s="25" t="b">
        <v>0</v>
      </c>
      <c r="AM51" s="6" t="b">
        <v>0</v>
      </c>
      <c r="AN51" s="6" t="b">
        <v>0</v>
      </c>
      <c r="AO51" s="6" t="n"/>
      <c r="AP51" s="6" t="n"/>
      <c r="AQ51" s="6" t="inlineStr">
        <is>
          <t>2026-04-17T09:26:48+00:00</t>
        </is>
      </c>
      <c r="AR51" s="6" t="inlineStr">
        <is>
          <t>2026-04-17T09:26:48+00:00</t>
        </is>
      </c>
      <c r="AS51" s="6" t="inlineStr">
        <is>
          <t>weekly</t>
        </is>
      </c>
      <c r="AT51" s="6" t="inlineStr">
        <is>
          <t>0.7</t>
        </is>
      </c>
      <c r="AU51" s="6" t="n">
        <v>0</v>
      </c>
      <c r="AV51" s="6" t="n">
        <v>2</v>
      </c>
      <c r="AW51" s="6" t="n">
        <v>7</v>
      </c>
      <c r="AX51" s="6" t="inlineStr">
        <is>
          <t>0</t>
        </is>
      </c>
      <c r="AY51" s="6" t="b">
        <v>1</v>
      </c>
      <c r="AZ51" s="6" t="b">
        <v>0</v>
      </c>
      <c r="BA51" s="6" t="b">
        <v>0</v>
      </c>
      <c r="BB51" s="6" t="n">
        <v>352</v>
      </c>
      <c r="BC51" s="6" t="n">
        <v>967</v>
      </c>
      <c r="BD51" s="6" t="inlineStr">
        <is>
          <t>Near-duplicate meta description cluster</t>
        </is>
      </c>
      <c r="BE51" s="6" t="inlineStr">
        <is>
          <t>https://africanmarketingconfederation.org/awards-2026/::multiple_h1 | https://africanmarketingconfederation.org/awards-2026/::low_aeo_readiness_score | https://africanmarketingconfederation.org/awards-2026/::no_compression_header | https://africanmarketingconfederation.org/awards-2026/::no_cache-control_header | https://africanmarketingconfederation.org/awards-2026/::no_etag_header | https://africanmarketingconfederation.org/awards-2026/::no_faq_qa_schema | https://africanmarketingconfederation.org/awards-2026/::no_question_headings | https://africanmarketingconfederation.org/awards-2026/::no_answer-friendly_structure | https://africanmarketingconfederation.org/awards-2026/::no_40-60_word_answer_paragraphs</t>
        </is>
      </c>
      <c r="BF51" s="30" t="n">
        <v>1</v>
      </c>
      <c r="BG51" s="30" t="b">
        <v>0</v>
      </c>
      <c r="BH51">
        <f>IFERROR(HYPERLINK("#Main!A"&amp;MATCH(A51,Main!A:A,0),"Open"),HYPERLINK("#Main!A1","Open"))</f>
        <v/>
      </c>
    </row>
    <row r="52" ht="30" customHeight="1">
      <c r="A52" s="33" t="inlineStr">
        <is>
          <t>https://africanmarketingconfederation.org/certified-professional-marketer-africa/</t>
        </is>
      </c>
      <c r="B52" s="4" t="n">
        <v>200</v>
      </c>
      <c r="C52" s="24" t="inlineStr">
        <is>
          <t>2xx</t>
        </is>
      </c>
      <c r="D52" s="24" t="n">
        <v>59</v>
      </c>
      <c r="E52" s="25" t="inlineStr">
        <is>
          <t>Warning</t>
        </is>
      </c>
      <c r="F52" s="24" t="inlineStr">
        <is>
          <t>Yes</t>
        </is>
      </c>
      <c r="G52" s="4" t="inlineStr">
        <is>
          <t>Indexable</t>
        </is>
      </c>
      <c r="H52" s="24" t="n">
        <v>70.09</v>
      </c>
      <c r="I52" s="24" t="n">
        <v>86.09</v>
      </c>
      <c r="J52" s="27" t="inlineStr">
        <is>
          <t>https://africanmarketingconfederation.org/certified-professional-marketer-africa/</t>
        </is>
      </c>
      <c r="K52" s="27" t="inlineStr">
        <is>
          <t>https</t>
        </is>
      </c>
      <c r="L52" s="24" t="n">
        <v>0</v>
      </c>
      <c r="M52" s="24" t="inlineStr">
        <is>
          <t>Copy Writer</t>
        </is>
      </c>
      <c r="N52" s="25" t="inlineStr">
        <is>
          <t>Open</t>
        </is>
      </c>
      <c r="O52" s="24" t="inlineStr"/>
      <c r="P52" s="24" t="inlineStr">
        <is>
          <t>WARN 🟡</t>
        </is>
      </c>
      <c r="Q52" s="24" t="inlineStr">
        <is>
          <t>https</t>
        </is>
      </c>
      <c r="R52" s="24" t="n">
        <v>0</v>
      </c>
      <c r="S52" s="24" t="inlineStr">
        <is>
          <t>text/html; charset=UTF-8</t>
        </is>
      </c>
      <c r="T52" s="27" t="inlineStr">
        <is>
          <t>HTTP/1.1</t>
        </is>
      </c>
      <c r="U52" s="24" t="b">
        <v>0</v>
      </c>
      <c r="V52" s="24" t="inlineStr">
        <is>
          <t>text/html; charset=UTF-8</t>
        </is>
      </c>
      <c r="W52" s="24" t="inlineStr">
        <is>
          <t>HTTP/1.1</t>
        </is>
      </c>
      <c r="X52" s="24" t="n">
        <v>437.06</v>
      </c>
      <c r="Y52" s="25" t="b">
        <v>0</v>
      </c>
      <c r="Z52" s="24" t="n"/>
      <c r="AA52" s="24" t="n"/>
      <c r="AB52" s="24" t="n"/>
      <c r="AC52" s="24" t="n"/>
      <c r="AD52" s="27" t="n"/>
      <c r="AE52" s="27" t="n"/>
      <c r="AF52" s="25" t="b">
        <v>0</v>
      </c>
      <c r="AG52" s="25" t="b">
        <v>0</v>
      </c>
      <c r="AH52" s="24" t="n">
        <v>0</v>
      </c>
      <c r="AI52" s="24" t="b">
        <v>0</v>
      </c>
      <c r="AJ52" s="24" t="n"/>
      <c r="AK52" s="24" t="b">
        <v>0</v>
      </c>
      <c r="AL52" s="25" t="b">
        <v>0</v>
      </c>
      <c r="AM52" s="24" t="b">
        <v>0</v>
      </c>
      <c r="AN52" s="24" t="b">
        <v>0</v>
      </c>
      <c r="AO52" s="24" t="n"/>
      <c r="AP52" s="24" t="n"/>
      <c r="AQ52" s="24" t="inlineStr">
        <is>
          <t>2026-04-20T08:17:50+00:00</t>
        </is>
      </c>
      <c r="AR52" s="24" t="inlineStr">
        <is>
          <t>2026-04-20T08:17:50+00:00</t>
        </is>
      </c>
      <c r="AS52" s="24" t="inlineStr">
        <is>
          <t>weekly</t>
        </is>
      </c>
      <c r="AT52" s="24" t="inlineStr">
        <is>
          <t>0.7</t>
        </is>
      </c>
      <c r="AU52" s="24" t="n">
        <v>0</v>
      </c>
      <c r="AV52" s="24" t="n">
        <v>2</v>
      </c>
      <c r="AW52" s="24" t="n">
        <v>7</v>
      </c>
      <c r="AX52" s="24" t="inlineStr">
        <is>
          <t>0</t>
        </is>
      </c>
      <c r="AY52" s="24" t="b">
        <v>1</v>
      </c>
      <c r="AZ52" s="24" t="b">
        <v>0</v>
      </c>
      <c r="BA52" s="24" t="b">
        <v>0</v>
      </c>
      <c r="BB52" s="24" t="n">
        <v>532</v>
      </c>
      <c r="BC52" s="24" t="n">
        <v>2480</v>
      </c>
      <c r="BD52" s="24" t="n"/>
      <c r="BE52" s="24" t="inlineStr">
        <is>
          <t>https://africanmarketingconfederation.org/certified-professional-marketer-africa/::missing_h1 | https://africanmarketingconfederation.org/certified-professional-marketer-africa/::low_aeo_readiness_score | https://africanmarketingconfederation.org/certified-professional-marketer-africa/::no_compression_header | https://africanmarketingconfederation.org/certified-professional-marketer-africa/::no_cache-control_header | https://africanmarketingconfederation.org/certified-professional-marketer-africa/::no_etag_header | https://africanmarketingconfederation.org/certified-professional-marketer-africa/::no_faq_qa_schema | https://africanmarketingconfederation.org/certified-professional-marketer-africa/::no_question_headings | https://africanmarketingconfederation.org/certified-professional-marketer-africa/::no_answer-friendly_structure | https://africanmarketingconfederation.org/certified-professional-marketer-africa/::no_40-60_word_answer_paragraphs</t>
        </is>
      </c>
      <c r="BF52" s="27" t="n">
        <v>1</v>
      </c>
      <c r="BG52" s="27" t="b">
        <v>0</v>
      </c>
      <c r="BH52">
        <f>IFERROR(HYPERLINK("#Main!A"&amp;MATCH(A52,Main!A:A,0),"Open"),HYPERLINK("#Main!A1","Open"))</f>
        <v/>
      </c>
    </row>
    <row r="53" ht="30" customHeight="1">
      <c r="A53" s="33" t="inlineStr">
        <is>
          <t>https://africanmarketingconfederation.org/chartered-marketer-africa-final-submission-fee/</t>
        </is>
      </c>
      <c r="B53" s="4" t="n">
        <v>200</v>
      </c>
      <c r="C53" s="6" t="inlineStr">
        <is>
          <t>2xx</t>
        </is>
      </c>
      <c r="D53" s="6" t="n">
        <v>59</v>
      </c>
      <c r="E53" s="25" t="inlineStr">
        <is>
          <t>Warning</t>
        </is>
      </c>
      <c r="F53" s="6" t="inlineStr">
        <is>
          <t>Yes</t>
        </is>
      </c>
      <c r="G53" s="4" t="inlineStr">
        <is>
          <t>Indexable</t>
        </is>
      </c>
      <c r="H53" s="6" t="n">
        <v>183.31</v>
      </c>
      <c r="I53" s="6" t="n">
        <v>184.29</v>
      </c>
      <c r="J53" s="30" t="inlineStr">
        <is>
          <t>https://africanmarketingconfederation.org/chartered-marketer-africa-final-submission-fee/</t>
        </is>
      </c>
      <c r="K53" s="30" t="inlineStr">
        <is>
          <t>https</t>
        </is>
      </c>
      <c r="L53" s="6" t="n">
        <v>0</v>
      </c>
      <c r="M53" s="6" t="inlineStr">
        <is>
          <t>Copy Writer</t>
        </is>
      </c>
      <c r="N53" s="25" t="inlineStr">
        <is>
          <t>Open</t>
        </is>
      </c>
      <c r="O53" s="6" t="inlineStr"/>
      <c r="P53" s="6" t="inlineStr">
        <is>
          <t>WARN 🟡</t>
        </is>
      </c>
      <c r="Q53" s="6" t="inlineStr">
        <is>
          <t>https</t>
        </is>
      </c>
      <c r="R53" s="6" t="n">
        <v>0</v>
      </c>
      <c r="S53" s="6" t="inlineStr">
        <is>
          <t>text/html; charset=UTF-8</t>
        </is>
      </c>
      <c r="T53" s="30" t="inlineStr">
        <is>
          <t>HTTP/1.1</t>
        </is>
      </c>
      <c r="U53" s="6" t="b">
        <v>0</v>
      </c>
      <c r="V53" s="6" t="inlineStr">
        <is>
          <t>text/html; charset=UTF-8</t>
        </is>
      </c>
      <c r="W53" s="6" t="inlineStr">
        <is>
          <t>HTTP/1.1</t>
        </is>
      </c>
      <c r="X53" s="6" t="n">
        <v>412.95</v>
      </c>
      <c r="Y53" s="25" t="b">
        <v>0</v>
      </c>
      <c r="Z53" s="6" t="n"/>
      <c r="AA53" s="6" t="n"/>
      <c r="AB53" s="6" t="n"/>
      <c r="AC53" s="6" t="n"/>
      <c r="AD53" s="30" t="n"/>
      <c r="AE53" s="30" t="n"/>
      <c r="AF53" s="25" t="b">
        <v>0</v>
      </c>
      <c r="AG53" s="25" t="b">
        <v>0</v>
      </c>
      <c r="AH53" s="6" t="n">
        <v>0</v>
      </c>
      <c r="AI53" s="6" t="b">
        <v>0</v>
      </c>
      <c r="AJ53" s="6" t="n"/>
      <c r="AK53" s="6" t="b">
        <v>0</v>
      </c>
      <c r="AL53" s="25" t="b">
        <v>0</v>
      </c>
      <c r="AM53" s="6" t="b">
        <v>0</v>
      </c>
      <c r="AN53" s="6" t="b">
        <v>0</v>
      </c>
      <c r="AO53" s="6" t="n"/>
      <c r="AP53" s="6" t="n"/>
      <c r="AQ53" s="6" t="inlineStr">
        <is>
          <t>2024-07-19T08:34:52+00:00</t>
        </is>
      </c>
      <c r="AR53" s="6" t="inlineStr">
        <is>
          <t>2024-07-19T08:34:52+00:00</t>
        </is>
      </c>
      <c r="AS53" s="6" t="inlineStr">
        <is>
          <t>weekly</t>
        </is>
      </c>
      <c r="AT53" s="6" t="inlineStr">
        <is>
          <t>0.7</t>
        </is>
      </c>
      <c r="AU53" s="6" t="n">
        <v>0</v>
      </c>
      <c r="AV53" s="6" t="n">
        <v>2</v>
      </c>
      <c r="AW53" s="6" t="n">
        <v>7</v>
      </c>
      <c r="AX53" s="6" t="inlineStr">
        <is>
          <t>0</t>
        </is>
      </c>
      <c r="AY53" s="6" t="b">
        <v>1</v>
      </c>
      <c r="AZ53" s="6" t="b">
        <v>0</v>
      </c>
      <c r="BA53" s="6" t="b">
        <v>0</v>
      </c>
      <c r="BB53" s="6" t="n">
        <v>590</v>
      </c>
      <c r="BC53" s="6" t="n">
        <v>1302</v>
      </c>
      <c r="BD53" s="6" t="n"/>
      <c r="BE53" s="6" t="inlineStr">
        <is>
          <t>https://africanmarketingconfederation.org/chartered-marketer-africa-final-submission-fee/::thin_content | https://africanmarketingconfederation.org/chartered-marketer-africa-final-submission-fee/::low_aeo_readiness_score | https://africanmarketingconfederation.org/chartered-marketer-africa-final-submission-fee/::no_compression_header | https://africanmarketingconfederation.org/chartered-marketer-africa-final-submission-fee/::no_cache-control_header | https://africanmarketingconfederation.org/chartered-marketer-africa-final-submission-fee/::no_etag_header | https://africanmarketingconfederation.org/chartered-marketer-africa-final-submission-fee/::no_faq_qa_schema | https://africanmarketingconfederation.org/chartered-marketer-africa-final-submission-fee/::no_question_headings | https://africanmarketingconfederation.org/chartered-marketer-africa-final-submission-fee/::no_answer-friendly_structure | https://africanmarketingconfederation.org/chartered-marketer-africa-final-submission-fee/::no_40-60_word_answer_paragraphs</t>
        </is>
      </c>
      <c r="BF53" s="30" t="n">
        <v>1</v>
      </c>
      <c r="BG53" s="30" t="b">
        <v>0</v>
      </c>
      <c r="BH53">
        <f>IFERROR(HYPERLINK("#Main!A"&amp;MATCH(A53,Main!A:A,0),"Open"),HYPERLINK("#Main!A1","Open"))</f>
        <v/>
      </c>
    </row>
    <row r="54" ht="30" customHeight="1">
      <c r="A54" s="33" t="inlineStr">
        <is>
          <t>https://africanmarketingconfederation.org/chartered-marketer-africa-programme-fee/</t>
        </is>
      </c>
      <c r="B54" s="4" t="n">
        <v>200</v>
      </c>
      <c r="C54" s="24" t="inlineStr">
        <is>
          <t>2xx</t>
        </is>
      </c>
      <c r="D54" s="24" t="n">
        <v>59</v>
      </c>
      <c r="E54" s="25" t="inlineStr">
        <is>
          <t>Warning</t>
        </is>
      </c>
      <c r="F54" s="24" t="inlineStr">
        <is>
          <t>Yes</t>
        </is>
      </c>
      <c r="G54" s="4" t="inlineStr">
        <is>
          <t>Indexable</t>
        </is>
      </c>
      <c r="H54" s="24" t="n">
        <v>68.15000000000001</v>
      </c>
      <c r="I54" s="24" t="n">
        <v>165.82</v>
      </c>
      <c r="J54" s="27" t="inlineStr">
        <is>
          <t>https://africanmarketingconfederation.org/chartered-marketer-africa-programme-fee/</t>
        </is>
      </c>
      <c r="K54" s="27" t="inlineStr">
        <is>
          <t>https</t>
        </is>
      </c>
      <c r="L54" s="24" t="n">
        <v>0</v>
      </c>
      <c r="M54" s="24" t="inlineStr">
        <is>
          <t>Copy Writer</t>
        </is>
      </c>
      <c r="N54" s="25" t="inlineStr">
        <is>
          <t>Open</t>
        </is>
      </c>
      <c r="O54" s="24" t="inlineStr"/>
      <c r="P54" s="24" t="inlineStr">
        <is>
          <t>WARN 🟡</t>
        </is>
      </c>
      <c r="Q54" s="24" t="inlineStr">
        <is>
          <t>https</t>
        </is>
      </c>
      <c r="R54" s="24" t="n">
        <v>0</v>
      </c>
      <c r="S54" s="24" t="inlineStr">
        <is>
          <t>text/html; charset=UTF-8</t>
        </is>
      </c>
      <c r="T54" s="27" t="inlineStr">
        <is>
          <t>HTTP/1.1</t>
        </is>
      </c>
      <c r="U54" s="24" t="b">
        <v>0</v>
      </c>
      <c r="V54" s="24" t="inlineStr">
        <is>
          <t>text/html; charset=UTF-8</t>
        </is>
      </c>
      <c r="W54" s="24" t="inlineStr">
        <is>
          <t>HTTP/1.1</t>
        </is>
      </c>
      <c r="X54" s="24" t="n">
        <v>412.69</v>
      </c>
      <c r="Y54" s="25" t="b">
        <v>0</v>
      </c>
      <c r="Z54" s="24" t="n"/>
      <c r="AA54" s="24" t="n"/>
      <c r="AB54" s="24" t="n"/>
      <c r="AC54" s="24" t="n"/>
      <c r="AD54" s="27" t="n"/>
      <c r="AE54" s="27" t="n"/>
      <c r="AF54" s="25" t="b">
        <v>0</v>
      </c>
      <c r="AG54" s="25" t="b">
        <v>0</v>
      </c>
      <c r="AH54" s="24" t="n">
        <v>0</v>
      </c>
      <c r="AI54" s="24" t="b">
        <v>0</v>
      </c>
      <c r="AJ54" s="24" t="n"/>
      <c r="AK54" s="24" t="b">
        <v>0</v>
      </c>
      <c r="AL54" s="25" t="b">
        <v>0</v>
      </c>
      <c r="AM54" s="24" t="b">
        <v>0</v>
      </c>
      <c r="AN54" s="24" t="b">
        <v>0</v>
      </c>
      <c r="AO54" s="24" t="n"/>
      <c r="AP54" s="24" t="n"/>
      <c r="AQ54" s="24" t="inlineStr">
        <is>
          <t>2024-07-19T08:44:04+00:00</t>
        </is>
      </c>
      <c r="AR54" s="24" t="inlineStr">
        <is>
          <t>2024-07-19T08:44:04+00:00</t>
        </is>
      </c>
      <c r="AS54" s="24" t="inlineStr">
        <is>
          <t>weekly</t>
        </is>
      </c>
      <c r="AT54" s="24" t="inlineStr">
        <is>
          <t>0.7</t>
        </is>
      </c>
      <c r="AU54" s="24" t="n">
        <v>0</v>
      </c>
      <c r="AV54" s="24" t="n">
        <v>2</v>
      </c>
      <c r="AW54" s="24" t="n">
        <v>7</v>
      </c>
      <c r="AX54" s="24" t="inlineStr">
        <is>
          <t>0</t>
        </is>
      </c>
      <c r="AY54" s="24" t="b">
        <v>1</v>
      </c>
      <c r="AZ54" s="24" t="b">
        <v>0</v>
      </c>
      <c r="BA54" s="24" t="b">
        <v>0</v>
      </c>
      <c r="BB54" s="24" t="n">
        <v>540</v>
      </c>
      <c r="BC54" s="24" t="n">
        <v>1196</v>
      </c>
      <c r="BD54" s="24" t="n"/>
      <c r="BE54" s="24" t="inlineStr">
        <is>
          <t>https://africanmarketingconfederation.org/chartered-marketer-africa-programme-fee/::thin_content | https://africanmarketingconfederation.org/chartered-marketer-africa-programme-fee/::low_aeo_readiness_score | https://africanmarketingconfederation.org/chartered-marketer-africa-programme-fee/::no_compression_header | https://africanmarketingconfederation.org/chartered-marketer-africa-programme-fee/::no_cache-control_header | https://africanmarketingconfederation.org/chartered-marketer-africa-programme-fee/::no_etag_header | https://africanmarketingconfederation.org/chartered-marketer-africa-programme-fee/::no_faq_qa_schema | https://africanmarketingconfederation.org/chartered-marketer-africa-programme-fee/::no_question_headings | https://africanmarketingconfederation.org/chartered-marketer-africa-programme-fee/::no_answer-friendly_structure | https://africanmarketingconfederation.org/chartered-marketer-africa-programme-fee/::no_40-60_word_answer_paragraphs</t>
        </is>
      </c>
      <c r="BF54" s="27" t="n">
        <v>1</v>
      </c>
      <c r="BG54" s="27" t="b">
        <v>0</v>
      </c>
      <c r="BH54">
        <f>IFERROR(HYPERLINK("#Main!A"&amp;MATCH(A54,Main!A:A,0),"Open"),HYPERLINK("#Main!A1","Open"))</f>
        <v/>
      </c>
    </row>
    <row r="55" ht="30" customHeight="1">
      <c r="A55" s="33" t="inlineStr">
        <is>
          <t>https://africanmarketingconfederation.org/chartered-marketer-africa-thank-you/</t>
        </is>
      </c>
      <c r="B55" s="4" t="n">
        <v>200</v>
      </c>
      <c r="C55" s="6" t="inlineStr">
        <is>
          <t>2xx</t>
        </is>
      </c>
      <c r="D55" s="6" t="n">
        <v>49</v>
      </c>
      <c r="E55" s="25" t="inlineStr">
        <is>
          <t>Warning</t>
        </is>
      </c>
      <c r="F55" s="6" t="inlineStr">
        <is>
          <t>Yes</t>
        </is>
      </c>
      <c r="G55" s="4" t="inlineStr">
        <is>
          <t>Indexable</t>
        </is>
      </c>
      <c r="H55" s="6" t="n">
        <v>41.4</v>
      </c>
      <c r="I55" s="6" t="n">
        <v>75.69</v>
      </c>
      <c r="J55" s="30" t="inlineStr">
        <is>
          <t>https://africanmarketingconfederation.org/chartered-marketer-africa-thank-you/</t>
        </is>
      </c>
      <c r="K55" s="30" t="inlineStr">
        <is>
          <t>https</t>
        </is>
      </c>
      <c r="L55" s="6" t="n">
        <v>0</v>
      </c>
      <c r="M55" s="6" t="inlineStr">
        <is>
          <t>Copy Writer</t>
        </is>
      </c>
      <c r="N55" s="25" t="inlineStr">
        <is>
          <t>Open</t>
        </is>
      </c>
      <c r="O55" s="6" t="inlineStr"/>
      <c r="P55" s="6" t="inlineStr">
        <is>
          <t>WARN 🟡</t>
        </is>
      </c>
      <c r="Q55" s="6" t="inlineStr">
        <is>
          <t>https</t>
        </is>
      </c>
      <c r="R55" s="6" t="n">
        <v>0</v>
      </c>
      <c r="S55" s="6" t="inlineStr">
        <is>
          <t>text/html; charset=UTF-8</t>
        </is>
      </c>
      <c r="T55" s="30" t="inlineStr">
        <is>
          <t>HTTP/1.1</t>
        </is>
      </c>
      <c r="U55" s="6" t="b">
        <v>0</v>
      </c>
      <c r="V55" s="6" t="inlineStr">
        <is>
          <t>text/html; charset=UTF-8</t>
        </is>
      </c>
      <c r="W55" s="6" t="inlineStr">
        <is>
          <t>HTTP/1.1</t>
        </is>
      </c>
      <c r="X55" s="6" t="n">
        <v>241.59</v>
      </c>
      <c r="Y55" s="25" t="b">
        <v>0</v>
      </c>
      <c r="Z55" s="6" t="n"/>
      <c r="AA55" s="6" t="n"/>
      <c r="AB55" s="6" t="n"/>
      <c r="AC55" s="6" t="n"/>
      <c r="AD55" s="30" t="n"/>
      <c r="AE55" s="30" t="n"/>
      <c r="AF55" s="25" t="b">
        <v>0</v>
      </c>
      <c r="AG55" s="25" t="b">
        <v>0</v>
      </c>
      <c r="AH55" s="6" t="n">
        <v>0</v>
      </c>
      <c r="AI55" s="6" t="b">
        <v>0</v>
      </c>
      <c r="AJ55" s="6" t="n"/>
      <c r="AK55" s="6" t="b">
        <v>0</v>
      </c>
      <c r="AL55" s="25" t="b">
        <v>0</v>
      </c>
      <c r="AM55" s="6" t="b">
        <v>0</v>
      </c>
      <c r="AN55" s="6" t="b">
        <v>0</v>
      </c>
      <c r="AO55" s="6" t="n"/>
      <c r="AP55" s="6" t="n"/>
      <c r="AQ55" s="6" t="inlineStr">
        <is>
          <t>2023-08-24T09:37:32+00:00</t>
        </is>
      </c>
      <c r="AR55" s="6" t="inlineStr">
        <is>
          <t>2023-08-24T09:37:32+00:00</t>
        </is>
      </c>
      <c r="AS55" s="6" t="inlineStr">
        <is>
          <t>weekly</t>
        </is>
      </c>
      <c r="AT55" s="6" t="inlineStr">
        <is>
          <t>0.7</t>
        </is>
      </c>
      <c r="AU55" s="6" t="n">
        <v>0</v>
      </c>
      <c r="AV55" s="6" t="n">
        <v>3</v>
      </c>
      <c r="AW55" s="6" t="n">
        <v>7</v>
      </c>
      <c r="AX55" s="6" t="inlineStr">
        <is>
          <t>0</t>
        </is>
      </c>
      <c r="AY55" s="6" t="b">
        <v>1</v>
      </c>
      <c r="AZ55" s="6" t="b">
        <v>0</v>
      </c>
      <c r="BA55" s="6" t="b">
        <v>0</v>
      </c>
      <c r="BB55" s="6" t="n">
        <v>525</v>
      </c>
      <c r="BC55" s="6" t="n">
        <v>570</v>
      </c>
      <c r="BD55" s="6" t="n"/>
      <c r="BE55" s="6" t="inlineStr">
        <is>
          <t>https://africanmarketingconfederation.org/chartered-marketer-africa-thank-you/::missing_h1 | https://africanmarketingconfederation.org/chartered-marketer-africa-thank-you/::thin_content | https://africanmarketingconfederation.org/chartered-marketer-africa-thank-you/::low_aeo_readiness_score | https://africanmarketingconfederation.org/chartered-marketer-africa-thank-you/::no_compression_header | https://africanmarketingconfederation.org/chartered-marketer-africa-thank-you/::no_cache-control_header | https://africanmarketingconfederation.org/chartered-marketer-africa-thank-you/::no_etag_header | https://africanmarketingconfederation.org/chartered-marketer-africa-thank-you/::no_faq_qa_schema | https://africanmarketingconfederation.org/chartered-marketer-africa-thank-you/::no_question_headings | https://africanmarketingconfederation.org/chartered-marketer-africa-thank-you/::no_answer-friendly_structure | https://africanmarketingconfederation.org/chartered-marketer-africa-thank-you/::no_40-60_word_answer_paragraphs</t>
        </is>
      </c>
      <c r="BF55" s="30" t="n">
        <v>1</v>
      </c>
      <c r="BG55" s="30" t="b">
        <v>0</v>
      </c>
      <c r="BH55">
        <f>IFERROR(HYPERLINK("#Main!A"&amp;MATCH(A55,Main!A:A,0),"Open"),HYPERLINK("#Main!A1","Open"))</f>
        <v/>
      </c>
    </row>
    <row r="56" ht="30" customHeight="1">
      <c r="A56" s="33" t="inlineStr">
        <is>
          <t>https://africanmarketingconfederation.org/chartered-marketer-africa/</t>
        </is>
      </c>
      <c r="B56" s="4" t="n">
        <v>200</v>
      </c>
      <c r="C56" s="24" t="inlineStr">
        <is>
          <t>2xx</t>
        </is>
      </c>
      <c r="D56" s="24" t="n">
        <v>69</v>
      </c>
      <c r="E56" s="25" t="inlineStr">
        <is>
          <t>Warning</t>
        </is>
      </c>
      <c r="F56" s="24" t="inlineStr">
        <is>
          <t>Yes</t>
        </is>
      </c>
      <c r="G56" s="4" t="inlineStr">
        <is>
          <t>Indexable</t>
        </is>
      </c>
      <c r="H56" s="24" t="n">
        <v>217.69</v>
      </c>
      <c r="I56" s="24" t="n">
        <v>218.68</v>
      </c>
      <c r="J56" s="27" t="inlineStr">
        <is>
          <t>https://africanmarketingconfederation.org/chartered-marketer-africa/</t>
        </is>
      </c>
      <c r="K56" s="27" t="inlineStr">
        <is>
          <t>https</t>
        </is>
      </c>
      <c r="L56" s="24" t="n">
        <v>0</v>
      </c>
      <c r="M56" s="24" t="inlineStr">
        <is>
          <t>Copy Writer</t>
        </is>
      </c>
      <c r="N56" s="25" t="inlineStr">
        <is>
          <t>Open</t>
        </is>
      </c>
      <c r="O56" s="24" t="inlineStr"/>
      <c r="P56" s="24" t="inlineStr">
        <is>
          <t>WARN 🟡</t>
        </is>
      </c>
      <c r="Q56" s="24" t="inlineStr">
        <is>
          <t>https</t>
        </is>
      </c>
      <c r="R56" s="24" t="n">
        <v>0</v>
      </c>
      <c r="S56" s="24" t="inlineStr">
        <is>
          <t>text/html; charset=UTF-8</t>
        </is>
      </c>
      <c r="T56" s="27" t="inlineStr">
        <is>
          <t>HTTP/1.1</t>
        </is>
      </c>
      <c r="U56" s="24" t="b">
        <v>0</v>
      </c>
      <c r="V56" s="24" t="inlineStr">
        <is>
          <t>text/html; charset=UTF-8</t>
        </is>
      </c>
      <c r="W56" s="24" t="inlineStr">
        <is>
          <t>HTTP/1.1</t>
        </is>
      </c>
      <c r="X56" s="24" t="n">
        <v>288.24</v>
      </c>
      <c r="Y56" s="25" t="b">
        <v>0</v>
      </c>
      <c r="Z56" s="24" t="n"/>
      <c r="AA56" s="24" t="n"/>
      <c r="AB56" s="24" t="n"/>
      <c r="AC56" s="24" t="n"/>
      <c r="AD56" s="27" t="n"/>
      <c r="AE56" s="27" t="n"/>
      <c r="AF56" s="25" t="b">
        <v>0</v>
      </c>
      <c r="AG56" s="25" t="b">
        <v>0</v>
      </c>
      <c r="AH56" s="24" t="n">
        <v>0</v>
      </c>
      <c r="AI56" s="24" t="b">
        <v>0</v>
      </c>
      <c r="AJ56" s="24" t="n"/>
      <c r="AK56" s="24" t="b">
        <v>0</v>
      </c>
      <c r="AL56" s="25" t="b">
        <v>0</v>
      </c>
      <c r="AM56" s="24" t="b">
        <v>0</v>
      </c>
      <c r="AN56" s="24" t="b">
        <v>0</v>
      </c>
      <c r="AO56" s="24" t="n"/>
      <c r="AP56" s="24" t="n"/>
      <c r="AQ56" s="24" t="inlineStr">
        <is>
          <t>2026-04-20T07:58:07+00:00</t>
        </is>
      </c>
      <c r="AR56" s="24" t="inlineStr">
        <is>
          <t>2026-04-20T07:58:07+00:00</t>
        </is>
      </c>
      <c r="AS56" s="24" t="inlineStr">
        <is>
          <t>weekly</t>
        </is>
      </c>
      <c r="AT56" s="24" t="inlineStr">
        <is>
          <t>0.7</t>
        </is>
      </c>
      <c r="AU56" s="24" t="n">
        <v>0</v>
      </c>
      <c r="AV56" s="24" t="n">
        <v>1</v>
      </c>
      <c r="AW56" s="24" t="n">
        <v>7</v>
      </c>
      <c r="AX56" s="24" t="inlineStr">
        <is>
          <t>0</t>
        </is>
      </c>
      <c r="AY56" s="24" t="b">
        <v>1</v>
      </c>
      <c r="AZ56" s="24" t="b">
        <v>0</v>
      </c>
      <c r="BA56" s="24" t="b">
        <v>0</v>
      </c>
      <c r="BB56" s="24" t="n">
        <v>453</v>
      </c>
      <c r="BC56" s="24" t="n">
        <v>830</v>
      </c>
      <c r="BD56" s="24" t="n"/>
      <c r="BE56" s="24" t="inlineStr">
        <is>
          <t>https://africanmarketingconfederation.org/chartered-marketer-africa/::low_aeo_readiness_score | https://africanmarketingconfederation.org/chartered-marketer-africa/::no_compression_header | https://africanmarketingconfederation.org/chartered-marketer-africa/::no_cache-control_header | https://africanmarketingconfederation.org/chartered-marketer-africa/::no_etag_header | https://africanmarketingconfederation.org/chartered-marketer-africa/::no_faq_qa_schema | https://africanmarketingconfederation.org/chartered-marketer-africa/::no_question_headings | https://africanmarketingconfederation.org/chartered-marketer-africa/::no_answer-friendly_structure | https://africanmarketingconfederation.org/chartered-marketer-africa/::no_40-60_word_answer_paragraphs</t>
        </is>
      </c>
      <c r="BF56" s="27" t="n">
        <v>1</v>
      </c>
      <c r="BG56" s="27" t="b">
        <v>0</v>
      </c>
      <c r="BH56">
        <f>IFERROR(HYPERLINK("#Main!A"&amp;MATCH(A56,Main!A:A,0),"Open"),HYPERLINK("#Main!A1","Open"))</f>
        <v/>
      </c>
    </row>
    <row r="57" ht="30" customHeight="1">
      <c r="A57" s="33" t="inlineStr">
        <is>
          <t>https://africanmarketingconfederation.org/checkout/</t>
        </is>
      </c>
      <c r="B57" s="4" t="n">
        <v>200</v>
      </c>
      <c r="C57" s="6" t="inlineStr">
        <is>
          <t>2xx</t>
        </is>
      </c>
      <c r="D57" s="6" t="n">
        <v>49</v>
      </c>
      <c r="E57" s="25" t="inlineStr">
        <is>
          <t>Warning</t>
        </is>
      </c>
      <c r="F57" s="6" t="inlineStr">
        <is>
          <t>Yes</t>
        </is>
      </c>
      <c r="G57" s="4" t="inlineStr">
        <is>
          <t>Indexable</t>
        </is>
      </c>
      <c r="H57" s="6" t="n">
        <v>4191.12</v>
      </c>
      <c r="I57" s="6" t="n">
        <v>4240.09</v>
      </c>
      <c r="J57" s="30" t="inlineStr">
        <is>
          <t>https://africanmarketingconfederation.org/cart/</t>
        </is>
      </c>
      <c r="K57" s="30" t="inlineStr">
        <is>
          <t>https</t>
        </is>
      </c>
      <c r="L57" s="6" t="n">
        <v>1</v>
      </c>
      <c r="M57" s="6" t="inlineStr">
        <is>
          <t>Copy Writer</t>
        </is>
      </c>
      <c r="N57" s="25" t="inlineStr">
        <is>
          <t>Open</t>
        </is>
      </c>
      <c r="O57" s="6" t="inlineStr"/>
      <c r="P57" s="6" t="inlineStr">
        <is>
          <t>WARN 🟡</t>
        </is>
      </c>
      <c r="Q57" s="6" t="inlineStr">
        <is>
          <t>https</t>
        </is>
      </c>
      <c r="R57" s="6" t="n">
        <v>1</v>
      </c>
      <c r="S57" s="6" t="inlineStr">
        <is>
          <t>text/html; charset=UTF-8</t>
        </is>
      </c>
      <c r="T57" s="30" t="inlineStr">
        <is>
          <t>HTTP/1.1</t>
        </is>
      </c>
      <c r="U57" s="6" t="b">
        <v>0</v>
      </c>
      <c r="V57" s="6" t="inlineStr">
        <is>
          <t>text/html; charset=UTF-8</t>
        </is>
      </c>
      <c r="W57" s="6" t="inlineStr">
        <is>
          <t>HTTP/1.1</t>
        </is>
      </c>
      <c r="X57" s="6" t="n">
        <v>492.8</v>
      </c>
      <c r="Y57" s="25" t="b">
        <v>0</v>
      </c>
      <c r="Z57" s="6" t="n"/>
      <c r="AA57" s="6" t="n"/>
      <c r="AB57" s="6" t="n"/>
      <c r="AC57" s="6" t="n"/>
      <c r="AD57" s="30" t="n"/>
      <c r="AE57" s="30" t="n"/>
      <c r="AF57" s="25" t="b">
        <v>0</v>
      </c>
      <c r="AG57" s="25" t="b">
        <v>0</v>
      </c>
      <c r="AH57" s="6" t="n">
        <v>0</v>
      </c>
      <c r="AI57" s="6" t="b">
        <v>0</v>
      </c>
      <c r="AJ57" s="6" t="n"/>
      <c r="AK57" s="6" t="b">
        <v>0</v>
      </c>
      <c r="AL57" s="25" t="b">
        <v>0</v>
      </c>
      <c r="AM57" s="6" t="b">
        <v>0</v>
      </c>
      <c r="AN57" s="6" t="b">
        <v>0</v>
      </c>
      <c r="AO57" s="6" t="n"/>
      <c r="AP57" s="6" t="n"/>
      <c r="AQ57" s="6" t="inlineStr">
        <is>
          <t>2025-06-25T06:43:08+00:00</t>
        </is>
      </c>
      <c r="AR57" s="6" t="inlineStr">
        <is>
          <t>2025-06-25T06:43:08+00:00</t>
        </is>
      </c>
      <c r="AS57" s="6" t="inlineStr">
        <is>
          <t>weekly</t>
        </is>
      </c>
      <c r="AT57" s="6" t="inlineStr">
        <is>
          <t>0.7</t>
        </is>
      </c>
      <c r="AU57" s="6" t="n">
        <v>0</v>
      </c>
      <c r="AV57" s="6" t="n">
        <v>3</v>
      </c>
      <c r="AW57" s="6" t="n">
        <v>7</v>
      </c>
      <c r="AX57" s="6" t="inlineStr">
        <is>
          <t>0</t>
        </is>
      </c>
      <c r="AY57" s="6" t="b">
        <v>1</v>
      </c>
      <c r="AZ57" s="6" t="b">
        <v>0</v>
      </c>
      <c r="BA57" s="6" t="b">
        <v>0</v>
      </c>
      <c r="BB57" s="6" t="n">
        <v>273</v>
      </c>
      <c r="BC57" s="6" t="n">
        <v>272</v>
      </c>
      <c r="BD57" s="6" t="n"/>
      <c r="BE57" s="6" t="inlineStr">
        <is>
          <t>https://africanmarketingconfederation.org/checkout/::missing_h1 | https://africanmarketingconfederation.org/checkout/::thin_content | https://africanmarketingconfederation.org/checkout/::low_aeo_readiness_score | https://africanmarketingconfederation.org/checkout/::no_compression_header | https://africanmarketingconfederation.org/checkout/::no_cache-control_header | https://africanmarketingconfederation.org/checkout/::no_etag_header | https://africanmarketingconfederation.org/checkout/::no_faq_qa_schema | https://africanmarketingconfederation.org/checkout/::no_question_headings | https://africanmarketingconfederation.org/checkout/::no_answer-friendly_structure | https://africanmarketingconfederation.org/checkout/::no_40-60_word_answer_paragraphs</t>
        </is>
      </c>
      <c r="BF57" s="30" t="n">
        <v>1</v>
      </c>
      <c r="BG57" s="30" t="b">
        <v>0</v>
      </c>
      <c r="BH57">
        <f>IFERROR(HYPERLINK("#Main!A"&amp;MATCH(A57,Main!A:A,0),"Open"),HYPERLINK("#Main!A1","Open"))</f>
        <v/>
      </c>
    </row>
    <row r="58" ht="30" customHeight="1">
      <c r="A58" s="33" t="inlineStr">
        <is>
          <t>https://africanmarketingconfederation.org/conference-faq-2025/</t>
        </is>
      </c>
      <c r="B58" s="4" t="n">
        <v>200</v>
      </c>
      <c r="C58" s="24" t="inlineStr">
        <is>
          <t>2xx</t>
        </is>
      </c>
      <c r="D58" s="24" t="n">
        <v>69</v>
      </c>
      <c r="E58" s="25" t="inlineStr">
        <is>
          <t>Warning</t>
        </is>
      </c>
      <c r="F58" s="24" t="inlineStr">
        <is>
          <t>Yes</t>
        </is>
      </c>
      <c r="G58" s="4" t="inlineStr">
        <is>
          <t>Indexable</t>
        </is>
      </c>
      <c r="H58" s="24" t="n">
        <v>51.47</v>
      </c>
      <c r="I58" s="24" t="n">
        <v>69.5</v>
      </c>
      <c r="J58" s="27" t="inlineStr">
        <is>
          <t>https://africanmarketingconfederation.org/conference-faq-2025/</t>
        </is>
      </c>
      <c r="K58" s="27" t="inlineStr">
        <is>
          <t>https</t>
        </is>
      </c>
      <c r="L58" s="24" t="n">
        <v>0</v>
      </c>
      <c r="M58" s="24" t="inlineStr">
        <is>
          <t>Copy Writer</t>
        </is>
      </c>
      <c r="N58" s="25" t="inlineStr">
        <is>
          <t>Open</t>
        </is>
      </c>
      <c r="O58" s="24" t="inlineStr"/>
      <c r="P58" s="24" t="inlineStr">
        <is>
          <t>WARN 🟡</t>
        </is>
      </c>
      <c r="Q58" s="24" t="inlineStr">
        <is>
          <t>https</t>
        </is>
      </c>
      <c r="R58" s="24" t="n">
        <v>0</v>
      </c>
      <c r="S58" s="24" t="inlineStr">
        <is>
          <t>text/html; charset=UTF-8</t>
        </is>
      </c>
      <c r="T58" s="27" t="inlineStr">
        <is>
          <t>HTTP/1.1</t>
        </is>
      </c>
      <c r="U58" s="24" t="b">
        <v>0</v>
      </c>
      <c r="V58" s="24" t="inlineStr">
        <is>
          <t>text/html; charset=UTF-8</t>
        </is>
      </c>
      <c r="W58" s="24" t="inlineStr">
        <is>
          <t>HTTP/1.1</t>
        </is>
      </c>
      <c r="X58" s="24" t="n">
        <v>577.3200000000001</v>
      </c>
      <c r="Y58" s="25" t="b">
        <v>0</v>
      </c>
      <c r="Z58" s="24" t="n"/>
      <c r="AA58" s="24" t="n"/>
      <c r="AB58" s="24" t="n"/>
      <c r="AC58" s="24" t="n"/>
      <c r="AD58" s="27" t="n"/>
      <c r="AE58" s="27" t="n"/>
      <c r="AF58" s="25" t="b">
        <v>0</v>
      </c>
      <c r="AG58" s="25" t="b">
        <v>0</v>
      </c>
      <c r="AH58" s="24" t="n">
        <v>0</v>
      </c>
      <c r="AI58" s="24" t="b">
        <v>0</v>
      </c>
      <c r="AJ58" s="24" t="n"/>
      <c r="AK58" s="24" t="b">
        <v>0</v>
      </c>
      <c r="AL58" s="25" t="b">
        <v>0</v>
      </c>
      <c r="AM58" s="24" t="b">
        <v>0</v>
      </c>
      <c r="AN58" s="24" t="b">
        <v>0</v>
      </c>
      <c r="AO58" s="24" t="n"/>
      <c r="AP58" s="24" t="n"/>
      <c r="AQ58" s="24" t="inlineStr">
        <is>
          <t>2025-05-16T09:55:10+00:00</t>
        </is>
      </c>
      <c r="AR58" s="24" t="inlineStr">
        <is>
          <t>2025-05-16T09:55:10+00:00</t>
        </is>
      </c>
      <c r="AS58" s="24" t="inlineStr">
        <is>
          <t>weekly</t>
        </is>
      </c>
      <c r="AT58" s="24" t="inlineStr">
        <is>
          <t>0.7</t>
        </is>
      </c>
      <c r="AU58" s="24" t="n">
        <v>0</v>
      </c>
      <c r="AV58" s="24" t="n">
        <v>1</v>
      </c>
      <c r="AW58" s="24" t="n">
        <v>7</v>
      </c>
      <c r="AX58" s="24" t="inlineStr">
        <is>
          <t>0</t>
        </is>
      </c>
      <c r="AY58" s="24" t="b">
        <v>1</v>
      </c>
      <c r="AZ58" s="24" t="b">
        <v>0</v>
      </c>
      <c r="BA58" s="24" t="b">
        <v>0</v>
      </c>
      <c r="BB58" s="24" t="n">
        <v>223</v>
      </c>
      <c r="BC58" s="24" t="n">
        <v>992</v>
      </c>
      <c r="BD58" s="24" t="n"/>
      <c r="BE58" s="24" t="inlineStr">
        <is>
          <t>https://africanmarketingconfederation.org/conference-faq-2025/::low_aeo_readiness_score | https://africanmarketingconfederation.org/conference-faq-2025/::no_compression_header | https://africanmarketingconfederation.org/conference-faq-2025/::no_cache-control_header | https://africanmarketingconfederation.org/conference-faq-2025/::no_etag_header | https://africanmarketingconfederation.org/conference-faq-2025/::no_faq_qa_schema | https://africanmarketingconfederation.org/conference-faq-2025/::no_question_headings | https://africanmarketingconfederation.org/conference-faq-2025/::no_answer-friendly_structure | https://africanmarketingconfederation.org/conference-faq-2025/::no_40-60_word_answer_paragraphs</t>
        </is>
      </c>
      <c r="BF58" s="27" t="n">
        <v>1</v>
      </c>
      <c r="BG58" s="27" t="b">
        <v>0</v>
      </c>
      <c r="BH58">
        <f>IFERROR(HYPERLINK("#Main!A"&amp;MATCH(A58,Main!A:A,0),"Open"),HYPERLINK("#Main!A1","Open"))</f>
        <v/>
      </c>
    </row>
    <row r="59" ht="30" customHeight="1">
      <c r="A59" s="33" t="inlineStr">
        <is>
          <t>https://africanmarketingconfederation.org/conference-registrations-2024/</t>
        </is>
      </c>
      <c r="B59" s="4" t="n">
        <v>200</v>
      </c>
      <c r="C59" s="6" t="inlineStr">
        <is>
          <t>2xx</t>
        </is>
      </c>
      <c r="D59" s="6" t="n">
        <v>69</v>
      </c>
      <c r="E59" s="25" t="inlineStr">
        <is>
          <t>Warning</t>
        </is>
      </c>
      <c r="F59" s="6" t="inlineStr">
        <is>
          <t>Yes</t>
        </is>
      </c>
      <c r="G59" s="4" t="inlineStr">
        <is>
          <t>Indexable</t>
        </is>
      </c>
      <c r="H59" s="6" t="n">
        <v>62.94</v>
      </c>
      <c r="I59" s="6" t="n">
        <v>108.18</v>
      </c>
      <c r="J59" s="30" t="inlineStr">
        <is>
          <t>https://africanmarketingconfederation.org/conference-registrations-2024/</t>
        </is>
      </c>
      <c r="K59" s="30" t="inlineStr">
        <is>
          <t>https</t>
        </is>
      </c>
      <c r="L59" s="6" t="n">
        <v>0</v>
      </c>
      <c r="M59" s="6" t="inlineStr">
        <is>
          <t>Copy Writer</t>
        </is>
      </c>
      <c r="N59" s="25" t="inlineStr">
        <is>
          <t>Open</t>
        </is>
      </c>
      <c r="O59" s="6" t="inlineStr"/>
      <c r="P59" s="6" t="inlineStr">
        <is>
          <t>WARN 🟡</t>
        </is>
      </c>
      <c r="Q59" s="6" t="inlineStr">
        <is>
          <t>https</t>
        </is>
      </c>
      <c r="R59" s="6" t="n">
        <v>0</v>
      </c>
      <c r="S59" s="6" t="inlineStr">
        <is>
          <t>text/html; charset=UTF-8</t>
        </is>
      </c>
      <c r="T59" s="30" t="inlineStr">
        <is>
          <t>HTTP/1.1</t>
        </is>
      </c>
      <c r="U59" s="6" t="b">
        <v>0</v>
      </c>
      <c r="V59" s="6" t="inlineStr">
        <is>
          <t>text/html; charset=UTF-8</t>
        </is>
      </c>
      <c r="W59" s="6" t="inlineStr">
        <is>
          <t>HTTP/1.1</t>
        </is>
      </c>
      <c r="X59" s="6" t="n">
        <v>378.5</v>
      </c>
      <c r="Y59" s="25" t="b">
        <v>0</v>
      </c>
      <c r="Z59" s="6" t="n"/>
      <c r="AA59" s="6" t="n"/>
      <c r="AB59" s="6" t="n"/>
      <c r="AC59" s="6" t="n"/>
      <c r="AD59" s="30" t="n"/>
      <c r="AE59" s="30" t="n"/>
      <c r="AF59" s="25" t="b">
        <v>0</v>
      </c>
      <c r="AG59" s="25" t="b">
        <v>0</v>
      </c>
      <c r="AH59" s="6" t="n">
        <v>0</v>
      </c>
      <c r="AI59" s="6" t="b">
        <v>0</v>
      </c>
      <c r="AJ59" s="6" t="n"/>
      <c r="AK59" s="6" t="b">
        <v>0</v>
      </c>
      <c r="AL59" s="25" t="b">
        <v>0</v>
      </c>
      <c r="AM59" s="6" t="b">
        <v>0</v>
      </c>
      <c r="AN59" s="6" t="b">
        <v>0</v>
      </c>
      <c r="AO59" s="6" t="n"/>
      <c r="AP59" s="6" t="n"/>
      <c r="AQ59" s="6" t="inlineStr">
        <is>
          <t>2026-01-06T00:02:42+00:00</t>
        </is>
      </c>
      <c r="AR59" s="6" t="inlineStr">
        <is>
          <t>2026-01-06T00:02:42+00:00</t>
        </is>
      </c>
      <c r="AS59" s="6" t="inlineStr">
        <is>
          <t>weekly</t>
        </is>
      </c>
      <c r="AT59" s="6" t="inlineStr">
        <is>
          <t>0.7</t>
        </is>
      </c>
      <c r="AU59" s="6" t="n">
        <v>0</v>
      </c>
      <c r="AV59" s="6" t="n">
        <v>1</v>
      </c>
      <c r="AW59" s="6" t="n">
        <v>7</v>
      </c>
      <c r="AX59" s="6" t="inlineStr">
        <is>
          <t>0</t>
        </is>
      </c>
      <c r="AY59" s="6" t="b">
        <v>1</v>
      </c>
      <c r="AZ59" s="6" t="b">
        <v>0</v>
      </c>
      <c r="BA59" s="6" t="b">
        <v>0</v>
      </c>
      <c r="BB59" s="6" t="n">
        <v>453</v>
      </c>
      <c r="BC59" s="6" t="n">
        <v>4960</v>
      </c>
      <c r="BD59" s="6" t="n"/>
      <c r="BE59" s="6" t="inlineStr">
        <is>
          <t>https://africanmarketingconfederation.org/conference-registrations-2024/::low_aeo_readiness_score | https://africanmarketingconfederation.org/conference-registrations-2024/::no_compression_header | https://africanmarketingconfederation.org/conference-registrations-2024/::no_cache-control_header | https://africanmarketingconfederation.org/conference-registrations-2024/::no_etag_header | https://africanmarketingconfederation.org/conference-registrations-2024/::no_faq_qa_schema | https://africanmarketingconfederation.org/conference-registrations-2024/::no_question_headings | https://africanmarketingconfederation.org/conference-registrations-2024/::no_answer-friendly_structure | https://africanmarketingconfederation.org/conference-registrations-2024/::no_40-60_word_answer_paragraphs</t>
        </is>
      </c>
      <c r="BF59" s="30" t="n">
        <v>1</v>
      </c>
      <c r="BG59" s="30" t="b">
        <v>0</v>
      </c>
      <c r="BH59">
        <f>IFERROR(HYPERLINK("#Main!A"&amp;MATCH(A59,Main!A:A,0),"Open"),HYPERLINK("#Main!A1","Open"))</f>
        <v/>
      </c>
    </row>
    <row r="60" ht="30" customHeight="1">
      <c r="A60" s="33" t="inlineStr">
        <is>
          <t>https://africanmarketingconfederation.org/contact-us/</t>
        </is>
      </c>
      <c r="B60" s="4" t="n">
        <v>200</v>
      </c>
      <c r="C60" s="24" t="inlineStr">
        <is>
          <t>2xx</t>
        </is>
      </c>
      <c r="D60" s="24" t="n">
        <v>59</v>
      </c>
      <c r="E60" s="25" t="inlineStr">
        <is>
          <t>Warning</t>
        </is>
      </c>
      <c r="F60" s="24" t="inlineStr">
        <is>
          <t>Yes</t>
        </is>
      </c>
      <c r="G60" s="4" t="inlineStr">
        <is>
          <t>Indexable</t>
        </is>
      </c>
      <c r="H60" s="24" t="n">
        <v>50.46</v>
      </c>
      <c r="I60" s="24" t="n">
        <v>61.49</v>
      </c>
      <c r="J60" s="27" t="inlineStr">
        <is>
          <t>https://africanmarketingconfederation.org/contact-us/</t>
        </is>
      </c>
      <c r="K60" s="27" t="inlineStr">
        <is>
          <t>https</t>
        </is>
      </c>
      <c r="L60" s="24" t="n">
        <v>0</v>
      </c>
      <c r="M60" s="24" t="inlineStr">
        <is>
          <t>Copy Writer</t>
        </is>
      </c>
      <c r="N60" s="25" t="inlineStr">
        <is>
          <t>Open</t>
        </is>
      </c>
      <c r="O60" s="24" t="inlineStr"/>
      <c r="P60" s="24" t="inlineStr">
        <is>
          <t>WARN 🟡</t>
        </is>
      </c>
      <c r="Q60" s="24" t="inlineStr">
        <is>
          <t>https</t>
        </is>
      </c>
      <c r="R60" s="24" t="n">
        <v>0</v>
      </c>
      <c r="S60" s="24" t="inlineStr">
        <is>
          <t>text/html; charset=UTF-8</t>
        </is>
      </c>
      <c r="T60" s="27" t="inlineStr">
        <is>
          <t>HTTP/1.1</t>
        </is>
      </c>
      <c r="U60" s="24" t="b">
        <v>0</v>
      </c>
      <c r="V60" s="24" t="inlineStr">
        <is>
          <t>text/html; charset=UTF-8</t>
        </is>
      </c>
      <c r="W60" s="24" t="inlineStr">
        <is>
          <t>HTTP/1.1</t>
        </is>
      </c>
      <c r="X60" s="24" t="n">
        <v>334.44</v>
      </c>
      <c r="Y60" s="25" t="b">
        <v>0</v>
      </c>
      <c r="Z60" s="24" t="n"/>
      <c r="AA60" s="24" t="n"/>
      <c r="AB60" s="24" t="n"/>
      <c r="AC60" s="24" t="n"/>
      <c r="AD60" s="27" t="n"/>
      <c r="AE60" s="27" t="n"/>
      <c r="AF60" s="25" t="b">
        <v>0</v>
      </c>
      <c r="AG60" s="25" t="b">
        <v>0</v>
      </c>
      <c r="AH60" s="24" t="n">
        <v>0</v>
      </c>
      <c r="AI60" s="24" t="b">
        <v>0</v>
      </c>
      <c r="AJ60" s="24" t="n"/>
      <c r="AK60" s="24" t="b">
        <v>0</v>
      </c>
      <c r="AL60" s="25" t="b">
        <v>0</v>
      </c>
      <c r="AM60" s="24" t="b">
        <v>0</v>
      </c>
      <c r="AN60" s="24" t="b">
        <v>0</v>
      </c>
      <c r="AO60" s="24" t="n"/>
      <c r="AP60" s="24" t="n"/>
      <c r="AQ60" s="24" t="inlineStr">
        <is>
          <t>2026-04-17T08:58:32+00:00</t>
        </is>
      </c>
      <c r="AR60" s="24" t="inlineStr">
        <is>
          <t>2026-04-17T08:58:32+00:00</t>
        </is>
      </c>
      <c r="AS60" s="24" t="inlineStr">
        <is>
          <t>weekly</t>
        </is>
      </c>
      <c r="AT60" s="24" t="inlineStr">
        <is>
          <t>0.7</t>
        </is>
      </c>
      <c r="AU60" s="24" t="n">
        <v>0</v>
      </c>
      <c r="AV60" s="24" t="n">
        <v>2</v>
      </c>
      <c r="AW60" s="24" t="n">
        <v>7</v>
      </c>
      <c r="AX60" s="24" t="inlineStr">
        <is>
          <t>0</t>
        </is>
      </c>
      <c r="AY60" s="24" t="b">
        <v>1</v>
      </c>
      <c r="AZ60" s="24" t="b">
        <v>0</v>
      </c>
      <c r="BA60" s="24" t="b">
        <v>0</v>
      </c>
      <c r="BB60" s="24" t="n">
        <v>316</v>
      </c>
      <c r="BC60" s="24" t="n">
        <v>489</v>
      </c>
      <c r="BD60" s="24" t="n"/>
      <c r="BE60" s="24" t="inlineStr">
        <is>
          <t>https://africanmarketingconfederation.org/contact-us/::multiple_h1 | https://africanmarketingconfederation.org/contact-us/::low_aeo_readiness_score | https://africanmarketingconfederation.org/contact-us/::no_compression_header | https://africanmarketingconfederation.org/contact-us/::no_cache-control_header | https://africanmarketingconfederation.org/contact-us/::no_etag_header | https://africanmarketingconfederation.org/contact-us/::no_faq_qa_schema | https://africanmarketingconfederation.org/contact-us/::no_question_headings | https://africanmarketingconfederation.org/contact-us/::no_answer-friendly_structure | https://africanmarketingconfederation.org/contact-us/::no_40-60_word_answer_paragraphs</t>
        </is>
      </c>
      <c r="BF60" s="27" t="n">
        <v>1</v>
      </c>
      <c r="BG60" s="27" t="b">
        <v>0</v>
      </c>
      <c r="BH60">
        <f>IFERROR(HYPERLINK("#Main!A"&amp;MATCH(A60,Main!A:A,0),"Open"),HYPERLINK("#Main!A1","Open"))</f>
        <v/>
      </c>
    </row>
    <row r="61" ht="30" customHeight="1">
      <c r="A61" s="33" t="inlineStr">
        <is>
          <t>https://africanmarketingconfederation.org/download-brochure/</t>
        </is>
      </c>
      <c r="B61" s="4" t="n">
        <v>200</v>
      </c>
      <c r="C61" s="6" t="inlineStr">
        <is>
          <t>2xx</t>
        </is>
      </c>
      <c r="D61" s="6" t="n">
        <v>49</v>
      </c>
      <c r="E61" s="25" t="inlineStr">
        <is>
          <t>Warning</t>
        </is>
      </c>
      <c r="F61" s="6" t="inlineStr">
        <is>
          <t>Yes</t>
        </is>
      </c>
      <c r="G61" s="4" t="inlineStr">
        <is>
          <t>Indexable</t>
        </is>
      </c>
      <c r="H61" s="6" t="n">
        <v>283.64</v>
      </c>
      <c r="I61" s="6" t="n">
        <v>305.84</v>
      </c>
      <c r="J61" s="30" t="inlineStr">
        <is>
          <t>https://africanmarketingconfederation.org/download-brochure/</t>
        </is>
      </c>
      <c r="K61" s="30" t="inlineStr">
        <is>
          <t>https</t>
        </is>
      </c>
      <c r="L61" s="6" t="n">
        <v>0</v>
      </c>
      <c r="M61" s="6" t="inlineStr">
        <is>
          <t>Copy Writer</t>
        </is>
      </c>
      <c r="N61" s="25" t="inlineStr">
        <is>
          <t>Open</t>
        </is>
      </c>
      <c r="O61" s="6" t="inlineStr"/>
      <c r="P61" s="6" t="inlineStr">
        <is>
          <t>WARN 🟡</t>
        </is>
      </c>
      <c r="Q61" s="6" t="inlineStr">
        <is>
          <t>https</t>
        </is>
      </c>
      <c r="R61" s="6" t="n">
        <v>0</v>
      </c>
      <c r="S61" s="6" t="inlineStr">
        <is>
          <t>text/html; charset=UTF-8</t>
        </is>
      </c>
      <c r="T61" s="30" t="inlineStr">
        <is>
          <t>HTTP/1.1</t>
        </is>
      </c>
      <c r="U61" s="6" t="b">
        <v>0</v>
      </c>
      <c r="V61" s="6" t="inlineStr">
        <is>
          <t>text/html; charset=UTF-8</t>
        </is>
      </c>
      <c r="W61" s="6" t="inlineStr">
        <is>
          <t>HTTP/1.1</t>
        </is>
      </c>
      <c r="X61" s="6" t="n">
        <v>300.48</v>
      </c>
      <c r="Y61" s="25" t="b">
        <v>0</v>
      </c>
      <c r="Z61" s="6" t="n"/>
      <c r="AA61" s="6" t="n"/>
      <c r="AB61" s="6" t="n"/>
      <c r="AC61" s="6" t="n"/>
      <c r="AD61" s="30" t="n"/>
      <c r="AE61" s="30" t="n"/>
      <c r="AF61" s="25" t="b">
        <v>0</v>
      </c>
      <c r="AG61" s="25" t="b">
        <v>0</v>
      </c>
      <c r="AH61" s="6" t="n">
        <v>0</v>
      </c>
      <c r="AI61" s="6" t="b">
        <v>0</v>
      </c>
      <c r="AJ61" s="6" t="n"/>
      <c r="AK61" s="6" t="b">
        <v>0</v>
      </c>
      <c r="AL61" s="25" t="b">
        <v>0</v>
      </c>
      <c r="AM61" s="6" t="b">
        <v>0</v>
      </c>
      <c r="AN61" s="6" t="b">
        <v>0</v>
      </c>
      <c r="AO61" s="6" t="n"/>
      <c r="AP61" s="6" t="n"/>
      <c r="AQ61" s="6" t="inlineStr">
        <is>
          <t>2024-07-09T14:28:38+00:00</t>
        </is>
      </c>
      <c r="AR61" s="6" t="inlineStr">
        <is>
          <t>2024-07-09T14:28:38+00:00</t>
        </is>
      </c>
      <c r="AS61" s="6" t="inlineStr">
        <is>
          <t>weekly</t>
        </is>
      </c>
      <c r="AT61" s="6" t="inlineStr">
        <is>
          <t>0.7</t>
        </is>
      </c>
      <c r="AU61" s="6" t="n">
        <v>0</v>
      </c>
      <c r="AV61" s="6" t="n">
        <v>3</v>
      </c>
      <c r="AW61" s="6" t="n">
        <v>7</v>
      </c>
      <c r="AX61" s="6" t="inlineStr">
        <is>
          <t>0</t>
        </is>
      </c>
      <c r="AY61" s="6" t="b">
        <v>1</v>
      </c>
      <c r="AZ61" s="6" t="b">
        <v>0</v>
      </c>
      <c r="BA61" s="6" t="b">
        <v>0</v>
      </c>
      <c r="BB61" s="6" t="n">
        <v>367</v>
      </c>
      <c r="BC61" s="6" t="n">
        <v>620</v>
      </c>
      <c r="BD61" s="6" t="n"/>
      <c r="BE61" s="6" t="inlineStr">
        <is>
          <t>https://africanmarketingconfederation.org/download-brochure/::missing_h1 | https://africanmarketingconfederation.org/download-brochure/::thin_content | https://africanmarketingconfederation.org/download-brochure/::low_aeo_readiness_score | https://africanmarketingconfederation.org/download-brochure/::no_compression_header | https://africanmarketingconfederation.org/download-brochure/::no_cache-control_header | https://africanmarketingconfederation.org/download-brochure/::no_etag_header | https://africanmarketingconfederation.org/download-brochure/::no_faq_qa_schema | https://africanmarketingconfederation.org/download-brochure/::no_question_headings | https://africanmarketingconfederation.org/download-brochure/::no_answer-friendly_structure | https://africanmarketingconfederation.org/download-brochure/::no_40-60_word_answer_paragraphs</t>
        </is>
      </c>
      <c r="BF61" s="30" t="n">
        <v>1</v>
      </c>
      <c r="BG61" s="30" t="b">
        <v>0</v>
      </c>
      <c r="BH61">
        <f>IFERROR(HYPERLINK("#Main!A"&amp;MATCH(A61,Main!A:A,0),"Open"),HYPERLINK("#Main!A1","Open"))</f>
        <v/>
      </c>
    </row>
    <row r="62" ht="30" customHeight="1">
      <c r="A62" s="33" t="inlineStr">
        <is>
          <t>https://africanmarketingconfederation.org/download-prospectus-2024/</t>
        </is>
      </c>
      <c r="B62" s="4" t="n">
        <v>200</v>
      </c>
      <c r="C62" s="24" t="inlineStr">
        <is>
          <t>2xx</t>
        </is>
      </c>
      <c r="D62" s="24" t="n">
        <v>49</v>
      </c>
      <c r="E62" s="25" t="inlineStr">
        <is>
          <t>Warning</t>
        </is>
      </c>
      <c r="F62" s="24" t="inlineStr">
        <is>
          <t>Yes</t>
        </is>
      </c>
      <c r="G62" s="4" t="inlineStr">
        <is>
          <t>Indexable</t>
        </is>
      </c>
      <c r="H62" s="24" t="n">
        <v>53.18</v>
      </c>
      <c r="I62" s="24" t="n">
        <v>83.48</v>
      </c>
      <c r="J62" s="27" t="inlineStr">
        <is>
          <t>https://africanmarketingconfederation.org/download-prospectus-2024/</t>
        </is>
      </c>
      <c r="K62" s="27" t="inlineStr">
        <is>
          <t>https</t>
        </is>
      </c>
      <c r="L62" s="24" t="n">
        <v>0</v>
      </c>
      <c r="M62" s="24" t="inlineStr">
        <is>
          <t>Copy Writer</t>
        </is>
      </c>
      <c r="N62" s="25" t="inlineStr">
        <is>
          <t>Open</t>
        </is>
      </c>
      <c r="O62" s="24" t="inlineStr"/>
      <c r="P62" s="24" t="inlineStr">
        <is>
          <t>WARN 🟡</t>
        </is>
      </c>
      <c r="Q62" s="24" t="inlineStr">
        <is>
          <t>https</t>
        </is>
      </c>
      <c r="R62" s="24" t="n">
        <v>0</v>
      </c>
      <c r="S62" s="24" t="inlineStr">
        <is>
          <t>text/html; charset=UTF-8</t>
        </is>
      </c>
      <c r="T62" s="27" t="inlineStr">
        <is>
          <t>HTTP/1.1</t>
        </is>
      </c>
      <c r="U62" s="24" t="b">
        <v>0</v>
      </c>
      <c r="V62" s="24" t="inlineStr">
        <is>
          <t>text/html; charset=UTF-8</t>
        </is>
      </c>
      <c r="W62" s="24" t="inlineStr">
        <is>
          <t>HTTP/1.1</t>
        </is>
      </c>
      <c r="X62" s="24" t="n">
        <v>240.35</v>
      </c>
      <c r="Y62" s="25" t="b">
        <v>0</v>
      </c>
      <c r="Z62" s="24" t="n"/>
      <c r="AA62" s="24" t="n"/>
      <c r="AB62" s="24" t="n"/>
      <c r="AC62" s="24" t="n"/>
      <c r="AD62" s="27" t="n"/>
      <c r="AE62" s="27" t="n"/>
      <c r="AF62" s="25" t="b">
        <v>0</v>
      </c>
      <c r="AG62" s="25" t="b">
        <v>0</v>
      </c>
      <c r="AH62" s="24" t="n">
        <v>0</v>
      </c>
      <c r="AI62" s="24" t="b">
        <v>0</v>
      </c>
      <c r="AJ62" s="24" t="n"/>
      <c r="AK62" s="24" t="b">
        <v>0</v>
      </c>
      <c r="AL62" s="25" t="b">
        <v>0</v>
      </c>
      <c r="AM62" s="24" t="b">
        <v>0</v>
      </c>
      <c r="AN62" s="24" t="b">
        <v>0</v>
      </c>
      <c r="AO62" s="24" t="n"/>
      <c r="AP62" s="24" t="n"/>
      <c r="AQ62" s="24" t="inlineStr">
        <is>
          <t>2024-09-18T09:39:20+00:00</t>
        </is>
      </c>
      <c r="AR62" s="24" t="inlineStr">
        <is>
          <t>2024-09-18T09:39:20+00:00</t>
        </is>
      </c>
      <c r="AS62" s="24" t="inlineStr">
        <is>
          <t>weekly</t>
        </is>
      </c>
      <c r="AT62" s="24" t="inlineStr">
        <is>
          <t>0.7</t>
        </is>
      </c>
      <c r="AU62" s="24" t="n">
        <v>0</v>
      </c>
      <c r="AV62" s="24" t="n">
        <v>3</v>
      </c>
      <c r="AW62" s="24" t="n">
        <v>7</v>
      </c>
      <c r="AX62" s="24" t="inlineStr">
        <is>
          <t>0</t>
        </is>
      </c>
      <c r="AY62" s="24" t="b">
        <v>1</v>
      </c>
      <c r="AZ62" s="24" t="b">
        <v>0</v>
      </c>
      <c r="BA62" s="24" t="b">
        <v>0</v>
      </c>
      <c r="BB62" s="24" t="n">
        <v>417</v>
      </c>
      <c r="BC62" s="24" t="n">
        <v>421</v>
      </c>
      <c r="BD62" s="24" t="n"/>
      <c r="BE62" s="24" t="inlineStr">
        <is>
          <t>https://africanmarketingconfederation.org/download-prospectus-2024/::missing_h1 | https://africanmarketingconfederation.org/download-prospectus-2024/::thin_content | https://africanmarketingconfederation.org/download-prospectus-2024/::low_aeo_readiness_score | https://africanmarketingconfederation.org/download-prospectus-2024/::no_compression_header | https://africanmarketingconfederation.org/download-prospectus-2024/::no_cache-control_header | https://africanmarketingconfederation.org/download-prospectus-2024/::no_etag_header | https://africanmarketingconfederation.org/download-prospectus-2024/::no_faq_qa_schema | https://africanmarketingconfederation.org/download-prospectus-2024/::no_question_headings | https://africanmarketingconfederation.org/download-prospectus-2024/::no_answer-friendly_structure | https://africanmarketingconfederation.org/download-prospectus-2024/::no_40-60_word_answer_paragraphs</t>
        </is>
      </c>
      <c r="BF62" s="27" t="n">
        <v>1</v>
      </c>
      <c r="BG62" s="27" t="b">
        <v>0</v>
      </c>
      <c r="BH62">
        <f>IFERROR(HYPERLINK("#Main!A"&amp;MATCH(A62,Main!A:A,0),"Open"),HYPERLINK("#Main!A1","Open"))</f>
        <v/>
      </c>
    </row>
    <row r="63" ht="30" customHeight="1">
      <c r="A63" s="33" t="inlineStr">
        <is>
          <t>https://africanmarketingconfederation.org/education/</t>
        </is>
      </c>
      <c r="B63" s="4" t="n">
        <v>200</v>
      </c>
      <c r="C63" s="6" t="inlineStr">
        <is>
          <t>2xx</t>
        </is>
      </c>
      <c r="D63" s="6" t="n">
        <v>59</v>
      </c>
      <c r="E63" s="25" t="inlineStr">
        <is>
          <t>Warning</t>
        </is>
      </c>
      <c r="F63" s="6" t="inlineStr">
        <is>
          <t>Yes</t>
        </is>
      </c>
      <c r="G63" s="4" t="inlineStr">
        <is>
          <t>Indexable</t>
        </is>
      </c>
      <c r="H63" s="6" t="n">
        <v>60.7</v>
      </c>
      <c r="I63" s="6" t="n">
        <v>73.72</v>
      </c>
      <c r="J63" s="30" t="inlineStr">
        <is>
          <t>https://africanmarketingconfederation.org/education/</t>
        </is>
      </c>
      <c r="K63" s="30" t="inlineStr">
        <is>
          <t>https</t>
        </is>
      </c>
      <c r="L63" s="6" t="n">
        <v>0</v>
      </c>
      <c r="M63" s="6" t="inlineStr">
        <is>
          <t>Copy Writer</t>
        </is>
      </c>
      <c r="N63" s="25" t="inlineStr">
        <is>
          <t>Open</t>
        </is>
      </c>
      <c r="O63" s="6" t="inlineStr"/>
      <c r="P63" s="6" t="inlineStr">
        <is>
          <t>WARN 🟡</t>
        </is>
      </c>
      <c r="Q63" s="6" t="inlineStr">
        <is>
          <t>https</t>
        </is>
      </c>
      <c r="R63" s="6" t="n">
        <v>0</v>
      </c>
      <c r="S63" s="6" t="inlineStr">
        <is>
          <t>text/html; charset=UTF-8</t>
        </is>
      </c>
      <c r="T63" s="30" t="inlineStr">
        <is>
          <t>HTTP/1.1</t>
        </is>
      </c>
      <c r="U63" s="6" t="b">
        <v>0</v>
      </c>
      <c r="V63" s="6" t="inlineStr">
        <is>
          <t>text/html; charset=UTF-8</t>
        </is>
      </c>
      <c r="W63" s="6" t="inlineStr">
        <is>
          <t>HTTP/1.1</t>
        </is>
      </c>
      <c r="X63" s="6" t="n">
        <v>352.34</v>
      </c>
      <c r="Y63" s="25" t="b">
        <v>0</v>
      </c>
      <c r="Z63" s="6" t="n"/>
      <c r="AA63" s="6" t="n"/>
      <c r="AB63" s="6" t="n"/>
      <c r="AC63" s="6" t="n"/>
      <c r="AD63" s="30" t="n"/>
      <c r="AE63" s="30" t="n"/>
      <c r="AF63" s="25" t="b">
        <v>0</v>
      </c>
      <c r="AG63" s="25" t="b">
        <v>0</v>
      </c>
      <c r="AH63" s="6" t="n">
        <v>0</v>
      </c>
      <c r="AI63" s="6" t="b">
        <v>0</v>
      </c>
      <c r="AJ63" s="6" t="n"/>
      <c r="AK63" s="6" t="b">
        <v>0</v>
      </c>
      <c r="AL63" s="25" t="b">
        <v>0</v>
      </c>
      <c r="AM63" s="6" t="b">
        <v>0</v>
      </c>
      <c r="AN63" s="6" t="b">
        <v>0</v>
      </c>
      <c r="AO63" s="6" t="n"/>
      <c r="AP63" s="6" t="n"/>
      <c r="AQ63" s="6" t="inlineStr">
        <is>
          <t>2026-04-20T06:32:38+00:00</t>
        </is>
      </c>
      <c r="AR63" s="6" t="inlineStr">
        <is>
          <t>2026-04-20T06:32:38+00:00</t>
        </is>
      </c>
      <c r="AS63" s="6" t="inlineStr">
        <is>
          <t>weekly</t>
        </is>
      </c>
      <c r="AT63" s="6" t="inlineStr">
        <is>
          <t>0.7</t>
        </is>
      </c>
      <c r="AU63" s="6" t="n">
        <v>0</v>
      </c>
      <c r="AV63" s="6" t="n">
        <v>2</v>
      </c>
      <c r="AW63" s="6" t="n">
        <v>7</v>
      </c>
      <c r="AX63" s="6" t="inlineStr">
        <is>
          <t>0</t>
        </is>
      </c>
      <c r="AY63" s="6" t="b">
        <v>1</v>
      </c>
      <c r="AZ63" s="6" t="b">
        <v>0</v>
      </c>
      <c r="BA63" s="6" t="b">
        <v>0</v>
      </c>
      <c r="BB63" s="6" t="n">
        <v>309</v>
      </c>
      <c r="BC63" s="6" t="n">
        <v>2132</v>
      </c>
      <c r="BD63" s="6" t="n"/>
      <c r="BE63" s="6" t="inlineStr">
        <is>
          <t>https://africanmarketingconfederation.org/education/::missing_h1 | https://africanmarketingconfederation.org/education/::low_aeo_readiness_score | https://africanmarketingconfederation.org/education/::no_compression_header | https://africanmarketingconfederation.org/education/::no_cache-control_header | https://africanmarketingconfederation.org/education/::no_etag_header | https://africanmarketingconfederation.org/education/::no_faq_qa_schema | https://africanmarketingconfederation.org/education/::no_question_headings | https://africanmarketingconfederation.org/education/::no_answer-friendly_structure | https://africanmarketingconfederation.org/education/::no_40-60_word_answer_paragraphs</t>
        </is>
      </c>
      <c r="BF63" s="30" t="n">
        <v>1</v>
      </c>
      <c r="BG63" s="30" t="b">
        <v>0</v>
      </c>
      <c r="BH63">
        <f>IFERROR(HYPERLINK("#Main!A"&amp;MATCH(A63,Main!A:A,0),"Open"),HYPERLINK("#Main!A1","Open"))</f>
        <v/>
      </c>
    </row>
    <row r="64" ht="30" customHeight="1">
      <c r="A64" s="33" t="inlineStr">
        <is>
          <t>https://africanmarketingconfederation.org/elementor-16548/</t>
        </is>
      </c>
      <c r="B64" s="4" t="n">
        <v>200</v>
      </c>
      <c r="C64" s="24" t="inlineStr">
        <is>
          <t>2xx</t>
        </is>
      </c>
      <c r="D64" s="24" t="n">
        <v>49</v>
      </c>
      <c r="E64" s="25" t="inlineStr">
        <is>
          <t>Warning</t>
        </is>
      </c>
      <c r="F64" s="24" t="inlineStr">
        <is>
          <t>Yes</t>
        </is>
      </c>
      <c r="G64" s="4" t="inlineStr">
        <is>
          <t>Indexable</t>
        </is>
      </c>
      <c r="H64" s="24" t="n">
        <v>61.3</v>
      </c>
      <c r="I64" s="24" t="n">
        <v>288.26</v>
      </c>
      <c r="J64" s="27" t="inlineStr">
        <is>
          <t>https://africanmarketingconfederation.org/elementor-16548/</t>
        </is>
      </c>
      <c r="K64" s="27" t="inlineStr">
        <is>
          <t>https</t>
        </is>
      </c>
      <c r="L64" s="24" t="n">
        <v>0</v>
      </c>
      <c r="M64" s="24" t="inlineStr">
        <is>
          <t>Copy Writer</t>
        </is>
      </c>
      <c r="N64" s="25" t="inlineStr">
        <is>
          <t>Open</t>
        </is>
      </c>
      <c r="O64" s="24" t="inlineStr"/>
      <c r="P64" s="24" t="inlineStr">
        <is>
          <t>WARN 🟡</t>
        </is>
      </c>
      <c r="Q64" s="24" t="inlineStr">
        <is>
          <t>https</t>
        </is>
      </c>
      <c r="R64" s="24" t="n">
        <v>0</v>
      </c>
      <c r="S64" s="24" t="inlineStr">
        <is>
          <t>text/html; charset=UTF-8</t>
        </is>
      </c>
      <c r="T64" s="27" t="inlineStr">
        <is>
          <t>HTTP/1.1</t>
        </is>
      </c>
      <c r="U64" s="24" t="b">
        <v>0</v>
      </c>
      <c r="V64" s="24" t="inlineStr">
        <is>
          <t>text/html; charset=UTF-8</t>
        </is>
      </c>
      <c r="W64" s="24" t="inlineStr">
        <is>
          <t>HTTP/1.1</t>
        </is>
      </c>
      <c r="X64" s="24" t="n">
        <v>247.24</v>
      </c>
      <c r="Y64" s="25" t="b">
        <v>0</v>
      </c>
      <c r="Z64" s="24" t="n"/>
      <c r="AA64" s="24" t="n"/>
      <c r="AB64" s="24" t="n"/>
      <c r="AC64" s="24" t="n"/>
      <c r="AD64" s="27" t="n"/>
      <c r="AE64" s="27" t="n"/>
      <c r="AF64" s="25" t="b">
        <v>0</v>
      </c>
      <c r="AG64" s="25" t="b">
        <v>0</v>
      </c>
      <c r="AH64" s="24" t="n">
        <v>0</v>
      </c>
      <c r="AI64" s="24" t="b">
        <v>0</v>
      </c>
      <c r="AJ64" s="24" t="n"/>
      <c r="AK64" s="24" t="b">
        <v>0</v>
      </c>
      <c r="AL64" s="25" t="b">
        <v>0</v>
      </c>
      <c r="AM64" s="24" t="b">
        <v>0</v>
      </c>
      <c r="AN64" s="24" t="b">
        <v>0</v>
      </c>
      <c r="AO64" s="24" t="n"/>
      <c r="AP64" s="24" t="n"/>
      <c r="AQ64" s="24" t="inlineStr">
        <is>
          <t>2024-03-13T12:47:07+00:00</t>
        </is>
      </c>
      <c r="AR64" s="24" t="inlineStr">
        <is>
          <t>2024-03-13T12:47:07+00:00</t>
        </is>
      </c>
      <c r="AS64" s="24" t="inlineStr">
        <is>
          <t>weekly</t>
        </is>
      </c>
      <c r="AT64" s="24" t="inlineStr">
        <is>
          <t>0.7</t>
        </is>
      </c>
      <c r="AU64" s="24" t="n">
        <v>0</v>
      </c>
      <c r="AV64" s="24" t="n">
        <v>3</v>
      </c>
      <c r="AW64" s="24" t="n">
        <v>7</v>
      </c>
      <c r="AX64" s="24" t="inlineStr">
        <is>
          <t>0</t>
        </is>
      </c>
      <c r="AY64" s="24" t="b">
        <v>1</v>
      </c>
      <c r="AZ64" s="24" t="b">
        <v>0</v>
      </c>
      <c r="BA64" s="24" t="b">
        <v>0</v>
      </c>
      <c r="BB64" s="24" t="n">
        <v>424</v>
      </c>
      <c r="BC64" s="24" t="n">
        <v>1339</v>
      </c>
      <c r="BD64" s="24" t="n"/>
      <c r="BE64" s="24" t="inlineStr">
        <is>
          <t>https://africanmarketingconfederation.org/elementor-16548/::missing_h1 | https://africanmarketingconfederation.org/elementor-16548/::thin_content | https://africanmarketingconfederation.org/elementor-16548/::low_aeo_readiness_score | https://africanmarketingconfederation.org/elementor-16548/::no_compression_header | https://africanmarketingconfederation.org/elementor-16548/::no_cache-control_header | https://africanmarketingconfederation.org/elementor-16548/::no_etag_header | https://africanmarketingconfederation.org/elementor-16548/::no_faq_qa_schema | https://africanmarketingconfederation.org/elementor-16548/::no_question_headings | https://africanmarketingconfederation.org/elementor-16548/::no_answer-friendly_structure | https://africanmarketingconfederation.org/elementor-16548/::no_40-60_word_answer_paragraphs</t>
        </is>
      </c>
      <c r="BF64" s="27" t="n">
        <v>1</v>
      </c>
      <c r="BG64" s="27" t="b">
        <v>0</v>
      </c>
      <c r="BH64">
        <f>IFERROR(HYPERLINK("#Main!A"&amp;MATCH(A64,Main!A:A,0),"Open"),HYPERLINK("#Main!A1","Open"))</f>
        <v/>
      </c>
    </row>
    <row r="65" ht="30" customHeight="1">
      <c r="A65" s="33" t="inlineStr">
        <is>
          <t>https://africanmarketingconfederation.org/elementor-20341/</t>
        </is>
      </c>
      <c r="B65" s="4" t="n">
        <v>200</v>
      </c>
      <c r="C65" s="6" t="inlineStr">
        <is>
          <t>2xx</t>
        </is>
      </c>
      <c r="D65" s="6" t="n">
        <v>39</v>
      </c>
      <c r="E65" s="25" t="inlineStr">
        <is>
          <t>Warning</t>
        </is>
      </c>
      <c r="F65" s="6" t="inlineStr">
        <is>
          <t>Yes</t>
        </is>
      </c>
      <c r="G65" s="4" t="inlineStr">
        <is>
          <t>Indexable</t>
        </is>
      </c>
      <c r="H65" s="6" t="n">
        <v>67.41</v>
      </c>
      <c r="I65" s="6" t="n">
        <v>92.55</v>
      </c>
      <c r="J65" s="30" t="inlineStr">
        <is>
          <t>https://africanmarketingconfederation.org/elementor-20341/</t>
        </is>
      </c>
      <c r="K65" s="30" t="inlineStr">
        <is>
          <t>https</t>
        </is>
      </c>
      <c r="L65" s="6" t="n">
        <v>0</v>
      </c>
      <c r="M65" s="6" t="inlineStr">
        <is>
          <t>Copy Writer</t>
        </is>
      </c>
      <c r="N65" s="25" t="inlineStr">
        <is>
          <t>Open</t>
        </is>
      </c>
      <c r="O65" s="6" t="inlineStr"/>
      <c r="P65" s="6" t="inlineStr">
        <is>
          <t>WARN 🟡</t>
        </is>
      </c>
      <c r="Q65" s="6" t="inlineStr">
        <is>
          <t>https</t>
        </is>
      </c>
      <c r="R65" s="6" t="n">
        <v>0</v>
      </c>
      <c r="S65" s="6" t="inlineStr">
        <is>
          <t>text/html; charset=UTF-8</t>
        </is>
      </c>
      <c r="T65" s="30" t="inlineStr">
        <is>
          <t>HTTP/1.1</t>
        </is>
      </c>
      <c r="U65" s="6" t="b">
        <v>0</v>
      </c>
      <c r="V65" s="6" t="inlineStr">
        <is>
          <t>text/html; charset=UTF-8</t>
        </is>
      </c>
      <c r="W65" s="6" t="inlineStr">
        <is>
          <t>HTTP/1.1</t>
        </is>
      </c>
      <c r="X65" s="6" t="n">
        <v>245.35</v>
      </c>
      <c r="Y65" s="25" t="b">
        <v>0</v>
      </c>
      <c r="Z65" s="6" t="n"/>
      <c r="AA65" s="6" t="n"/>
      <c r="AB65" s="6" t="n"/>
      <c r="AC65" s="6" t="n"/>
      <c r="AD65" s="30" t="n"/>
      <c r="AE65" s="30" t="n"/>
      <c r="AF65" s="25" t="b">
        <v>0</v>
      </c>
      <c r="AG65" s="25" t="b">
        <v>0</v>
      </c>
      <c r="AH65" s="6" t="n">
        <v>0</v>
      </c>
      <c r="AI65" s="6" t="b">
        <v>0</v>
      </c>
      <c r="AJ65" s="6" t="n"/>
      <c r="AK65" s="6" t="b">
        <v>0</v>
      </c>
      <c r="AL65" s="25" t="b">
        <v>0</v>
      </c>
      <c r="AM65" s="6" t="b">
        <v>0</v>
      </c>
      <c r="AN65" s="6" t="b">
        <v>0</v>
      </c>
      <c r="AO65" s="6" t="n"/>
      <c r="AP65" s="6" t="n"/>
      <c r="AQ65" s="6" t="inlineStr">
        <is>
          <t>2024-08-02T13:04:38+00:00</t>
        </is>
      </c>
      <c r="AR65" s="6" t="inlineStr">
        <is>
          <t>2024-08-02T13:04:38+00:00</t>
        </is>
      </c>
      <c r="AS65" s="6" t="inlineStr">
        <is>
          <t>weekly</t>
        </is>
      </c>
      <c r="AT65" s="6" t="inlineStr">
        <is>
          <t>0.7</t>
        </is>
      </c>
      <c r="AU65" s="6" t="n">
        <v>0</v>
      </c>
      <c r="AV65" s="6" t="n">
        <v>4</v>
      </c>
      <c r="AW65" s="6" t="n">
        <v>7</v>
      </c>
      <c r="AX65" s="6" t="inlineStr">
        <is>
          <t>0</t>
        </is>
      </c>
      <c r="AY65" s="6" t="b">
        <v>1</v>
      </c>
      <c r="AZ65" s="6" t="b">
        <v>0</v>
      </c>
      <c r="BA65" s="6" t="b">
        <v>0</v>
      </c>
      <c r="BB65" s="6" t="n">
        <v>360</v>
      </c>
      <c r="BC65" s="6" t="n">
        <v>0</v>
      </c>
      <c r="BD65" s="6" t="n"/>
      <c r="BE65" s="6" t="inlineStr">
        <is>
          <t>https://africanmarketingconfederation.org/elementor-20341/::missing_meta_description | https://africanmarketingconfederation.org/elementor-20341/::missing_h1 | https://africanmarketingconfederation.org/elementor-20341/::thin_content | https://africanmarketingconfederation.org/elementor-20341/::low_aeo_readiness_score | https://africanmarketingconfederation.org/elementor-20341/::no_compression_header | https://africanmarketingconfederation.org/elementor-20341/::no_cache-control_header | https://africanmarketingconfederation.org/elementor-20341/::no_etag_header | https://africanmarketingconfederation.org/elementor-20341/::no_faq_qa_schema | https://africanmarketingconfederation.org/elementor-20341/::no_question_headings | https://africanmarketingconfederation.org/elementor-20341/::no_answer-friendly_structure | https://africanmarketingconfederation.org/elementor-20341/::no_40-60_word_answer_paragraphs</t>
        </is>
      </c>
      <c r="BF65" s="30" t="n">
        <v>1</v>
      </c>
      <c r="BG65" s="30" t="b">
        <v>0</v>
      </c>
      <c r="BH65">
        <f>IFERROR(HYPERLINK("#Main!A"&amp;MATCH(A65,Main!A:A,0),"Open"),HYPERLINK("#Main!A1","Open"))</f>
        <v/>
      </c>
    </row>
    <row r="66" ht="30" customHeight="1">
      <c r="A66" s="33" t="inlineStr">
        <is>
          <t>https://africanmarketingconfederation.org/elementor-31820/</t>
        </is>
      </c>
      <c r="B66" s="4" t="n">
        <v>200</v>
      </c>
      <c r="C66" s="24" t="inlineStr">
        <is>
          <t>2xx</t>
        </is>
      </c>
      <c r="D66" s="24" t="n">
        <v>69</v>
      </c>
      <c r="E66" s="25" t="inlineStr">
        <is>
          <t>Warning</t>
        </is>
      </c>
      <c r="F66" s="24" t="inlineStr">
        <is>
          <t>Yes</t>
        </is>
      </c>
      <c r="G66" s="4" t="inlineStr">
        <is>
          <t>Indexable</t>
        </is>
      </c>
      <c r="H66" s="24" t="n">
        <v>63.76</v>
      </c>
      <c r="I66" s="24" t="n">
        <v>106.7</v>
      </c>
      <c r="J66" s="27" t="inlineStr">
        <is>
          <t>https://africanmarketingconfederation.org/elementor-31820/</t>
        </is>
      </c>
      <c r="K66" s="27" t="inlineStr">
        <is>
          <t>https</t>
        </is>
      </c>
      <c r="L66" s="24" t="n">
        <v>0</v>
      </c>
      <c r="M66" s="24" t="inlineStr">
        <is>
          <t>Copy Writer</t>
        </is>
      </c>
      <c r="N66" s="25" t="inlineStr">
        <is>
          <t>Open</t>
        </is>
      </c>
      <c r="O66" s="24" t="inlineStr"/>
      <c r="P66" s="24" t="inlineStr">
        <is>
          <t>WARN 🟡</t>
        </is>
      </c>
      <c r="Q66" s="24" t="inlineStr">
        <is>
          <t>https</t>
        </is>
      </c>
      <c r="R66" s="24" t="n">
        <v>0</v>
      </c>
      <c r="S66" s="24" t="inlineStr">
        <is>
          <t>text/html; charset=UTF-8</t>
        </is>
      </c>
      <c r="T66" s="27" t="inlineStr">
        <is>
          <t>HTTP/1.1</t>
        </is>
      </c>
      <c r="U66" s="24" t="b">
        <v>0</v>
      </c>
      <c r="V66" s="24" t="inlineStr">
        <is>
          <t>text/html; charset=UTF-8</t>
        </is>
      </c>
      <c r="W66" s="24" t="inlineStr">
        <is>
          <t>HTTP/1.1</t>
        </is>
      </c>
      <c r="X66" s="24" t="n">
        <v>466.62</v>
      </c>
      <c r="Y66" s="25" t="b">
        <v>0</v>
      </c>
      <c r="Z66" s="24" t="n"/>
      <c r="AA66" s="24" t="n"/>
      <c r="AB66" s="24" t="n"/>
      <c r="AC66" s="24" t="n"/>
      <c r="AD66" s="27" t="n"/>
      <c r="AE66" s="27" t="n"/>
      <c r="AF66" s="25" t="b">
        <v>0</v>
      </c>
      <c r="AG66" s="25" t="b">
        <v>0</v>
      </c>
      <c r="AH66" s="24" t="n">
        <v>0</v>
      </c>
      <c r="AI66" s="24" t="b">
        <v>0</v>
      </c>
      <c r="AJ66" s="24" t="n"/>
      <c r="AK66" s="24" t="b">
        <v>0</v>
      </c>
      <c r="AL66" s="25" t="b">
        <v>0</v>
      </c>
      <c r="AM66" s="24" t="b">
        <v>0</v>
      </c>
      <c r="AN66" s="24" t="b">
        <v>0</v>
      </c>
      <c r="AO66" s="24" t="n"/>
      <c r="AP66" s="24" t="n"/>
      <c r="AQ66" s="24" t="inlineStr">
        <is>
          <t>2025-12-10T08:14:03+00:00</t>
        </is>
      </c>
      <c r="AR66" s="24" t="inlineStr">
        <is>
          <t>2025-12-10T08:14:03+00:00</t>
        </is>
      </c>
      <c r="AS66" s="24" t="inlineStr">
        <is>
          <t>weekly</t>
        </is>
      </c>
      <c r="AT66" s="24" t="inlineStr">
        <is>
          <t>0.7</t>
        </is>
      </c>
      <c r="AU66" s="24" t="n">
        <v>0</v>
      </c>
      <c r="AV66" s="24" t="n">
        <v>1</v>
      </c>
      <c r="AW66" s="24" t="n">
        <v>7</v>
      </c>
      <c r="AX66" s="24" t="inlineStr">
        <is>
          <t>0</t>
        </is>
      </c>
      <c r="AY66" s="24" t="b">
        <v>1</v>
      </c>
      <c r="AZ66" s="24" t="b">
        <v>0</v>
      </c>
      <c r="BA66" s="24" t="b">
        <v>0</v>
      </c>
      <c r="BB66" s="24" t="n">
        <v>360</v>
      </c>
      <c r="BC66" s="24" t="n">
        <v>2281</v>
      </c>
      <c r="BD66" s="24" t="n"/>
      <c r="BE66" s="24" t="inlineStr">
        <is>
          <t>https://africanmarketingconfederation.org/elementor-31820/::low_aeo_readiness_score | https://africanmarketingconfederation.org/elementor-31820/::no_compression_header | https://africanmarketingconfederation.org/elementor-31820/::no_cache-control_header | https://africanmarketingconfederation.org/elementor-31820/::no_etag_header | https://africanmarketingconfederation.org/elementor-31820/::no_faq_qa_schema | https://africanmarketingconfederation.org/elementor-31820/::no_question_headings | https://africanmarketingconfederation.org/elementor-31820/::no_answer-friendly_structure | https://africanmarketingconfederation.org/elementor-31820/::no_40-60_word_answer_paragraphs</t>
        </is>
      </c>
      <c r="BF66" s="27" t="n">
        <v>1</v>
      </c>
      <c r="BG66" s="27" t="b">
        <v>0</v>
      </c>
      <c r="BH66">
        <f>IFERROR(HYPERLINK("#Main!A"&amp;MATCH(A66,Main!A:A,0),"Open"),HYPERLINK("#Main!A1","Open"))</f>
        <v/>
      </c>
    </row>
    <row r="67" ht="30" customHeight="1">
      <c r="A67" s="33" t="inlineStr">
        <is>
          <t>https://africanmarketingconfederation.org/general-enquiry-form-thank-you/</t>
        </is>
      </c>
      <c r="B67" s="4" t="n">
        <v>200</v>
      </c>
      <c r="C67" s="6" t="inlineStr">
        <is>
          <t>2xx</t>
        </is>
      </c>
      <c r="D67" s="6" t="n">
        <v>49</v>
      </c>
      <c r="E67" s="25" t="inlineStr">
        <is>
          <t>Warning</t>
        </is>
      </c>
      <c r="F67" s="6" t="inlineStr">
        <is>
          <t>Yes</t>
        </is>
      </c>
      <c r="G67" s="4" t="inlineStr">
        <is>
          <t>Indexable</t>
        </is>
      </c>
      <c r="H67" s="6" t="n">
        <v>41.92</v>
      </c>
      <c r="I67" s="6" t="n">
        <v>57.47</v>
      </c>
      <c r="J67" s="30" t="inlineStr">
        <is>
          <t>https://africanmarketingconfederation.org/general-enquiry-form-thank-you/</t>
        </is>
      </c>
      <c r="K67" s="30" t="inlineStr">
        <is>
          <t>https</t>
        </is>
      </c>
      <c r="L67" s="6" t="n">
        <v>0</v>
      </c>
      <c r="M67" s="6" t="inlineStr">
        <is>
          <t>Copy Writer</t>
        </is>
      </c>
      <c r="N67" s="25" t="inlineStr">
        <is>
          <t>Open</t>
        </is>
      </c>
      <c r="O67" s="6" t="inlineStr"/>
      <c r="P67" s="6" t="inlineStr">
        <is>
          <t>WARN 🟡</t>
        </is>
      </c>
      <c r="Q67" s="6" t="inlineStr">
        <is>
          <t>https</t>
        </is>
      </c>
      <c r="R67" s="6" t="n">
        <v>0</v>
      </c>
      <c r="S67" s="6" t="inlineStr">
        <is>
          <t>text/html; charset=UTF-8</t>
        </is>
      </c>
      <c r="T67" s="30" t="inlineStr">
        <is>
          <t>HTTP/1.1</t>
        </is>
      </c>
      <c r="U67" s="6" t="b">
        <v>0</v>
      </c>
      <c r="V67" s="6" t="inlineStr">
        <is>
          <t>text/html; charset=UTF-8</t>
        </is>
      </c>
      <c r="W67" s="6" t="inlineStr">
        <is>
          <t>HTTP/1.1</t>
        </is>
      </c>
      <c r="X67" s="6" t="n">
        <v>238.78</v>
      </c>
      <c r="Y67" s="25" t="b">
        <v>0</v>
      </c>
      <c r="Z67" s="6" t="n"/>
      <c r="AA67" s="6" t="n"/>
      <c r="AB67" s="6" t="n"/>
      <c r="AC67" s="6" t="n"/>
      <c r="AD67" s="30" t="n"/>
      <c r="AE67" s="30" t="n"/>
      <c r="AF67" s="25" t="b">
        <v>0</v>
      </c>
      <c r="AG67" s="25" t="b">
        <v>0</v>
      </c>
      <c r="AH67" s="6" t="n">
        <v>0</v>
      </c>
      <c r="AI67" s="6" t="b">
        <v>0</v>
      </c>
      <c r="AJ67" s="6" t="n"/>
      <c r="AK67" s="6" t="b">
        <v>0</v>
      </c>
      <c r="AL67" s="25" t="b">
        <v>0</v>
      </c>
      <c r="AM67" s="6" t="b">
        <v>0</v>
      </c>
      <c r="AN67" s="6" t="b">
        <v>0</v>
      </c>
      <c r="AO67" s="6" t="n"/>
      <c r="AP67" s="6" t="n"/>
      <c r="AQ67" s="6" t="inlineStr">
        <is>
          <t>2022-01-14T08:35:45+00:00</t>
        </is>
      </c>
      <c r="AR67" s="6" t="inlineStr">
        <is>
          <t>2022-01-14T08:35:45+00:00</t>
        </is>
      </c>
      <c r="AS67" s="6" t="inlineStr">
        <is>
          <t>weekly</t>
        </is>
      </c>
      <c r="AT67" s="6" t="inlineStr">
        <is>
          <t>0.7</t>
        </is>
      </c>
      <c r="AU67" s="6" t="n">
        <v>0</v>
      </c>
      <c r="AV67" s="6" t="n">
        <v>3</v>
      </c>
      <c r="AW67" s="6" t="n">
        <v>7</v>
      </c>
      <c r="AX67" s="6" t="inlineStr">
        <is>
          <t>0</t>
        </is>
      </c>
      <c r="AY67" s="6" t="b">
        <v>1</v>
      </c>
      <c r="AZ67" s="6" t="b">
        <v>0</v>
      </c>
      <c r="BA67" s="6" t="b">
        <v>0</v>
      </c>
      <c r="BB67" s="6" t="n">
        <v>475</v>
      </c>
      <c r="BC67" s="6" t="n">
        <v>793</v>
      </c>
      <c r="BD67" s="6" t="inlineStr">
        <is>
          <t>Near-duplicate title cluster</t>
        </is>
      </c>
      <c r="BE67" s="6" t="inlineStr">
        <is>
          <t>https://africanmarketingconfederation.org/general-enquiry-form-thank-you/::missing_h1 | https://africanmarketingconfederation.org/general-enquiry-form-thank-you/::thin_content | https://africanmarketingconfederation.org/general-enquiry-form-thank-you/::low_aeo_readiness_score | https://africanmarketingconfederation.org/general-enquiry-form-thank-you/::no_compression_header | https://africanmarketingconfederation.org/general-enquiry-form-thank-you/::no_cache-control_header | https://africanmarketingconfederation.org/general-enquiry-form-thank-you/::no_etag_header | https://africanmarketingconfederation.org/general-enquiry-form-thank-you/::no_faq_qa_schema | https://africanmarketingconfederation.org/general-enquiry-form-thank-you/::no_question_headings | https://africanmarketingconfederation.org/general-enquiry-form-thank-you/::no_answer-friendly_structure | https://africanmarketingconfederation.org/general-enquiry-form-thank-you/::no_40-60_word_answer_paragraphs</t>
        </is>
      </c>
      <c r="BF67" s="30" t="n">
        <v>1</v>
      </c>
      <c r="BG67" s="30" t="b">
        <v>0</v>
      </c>
      <c r="BH67">
        <f>IFERROR(HYPERLINK("#Main!A"&amp;MATCH(A67,Main!A:A,0),"Open"),HYPERLINK("#Main!A1","Open"))</f>
        <v/>
      </c>
    </row>
    <row r="68" ht="30" customHeight="1">
      <c r="A68" s="33" t="inlineStr">
        <is>
          <t>https://africanmarketingconfederation.org/launch-event-2026-amc-conference/</t>
        </is>
      </c>
      <c r="B68" s="4" t="n">
        <v>200</v>
      </c>
      <c r="C68" s="24" t="inlineStr">
        <is>
          <t>2xx</t>
        </is>
      </c>
      <c r="D68" s="24" t="n">
        <v>59</v>
      </c>
      <c r="E68" s="25" t="inlineStr">
        <is>
          <t>Warning</t>
        </is>
      </c>
      <c r="F68" s="24" t="inlineStr">
        <is>
          <t>Yes</t>
        </is>
      </c>
      <c r="G68" s="4" t="inlineStr">
        <is>
          <t>Indexable</t>
        </is>
      </c>
      <c r="H68" s="24" t="n">
        <v>257.62</v>
      </c>
      <c r="I68" s="24" t="n">
        <v>258.62</v>
      </c>
      <c r="J68" s="27" t="inlineStr">
        <is>
          <t>https://africanmarketingconfederation.org/launch-event-2026-amc-conference/</t>
        </is>
      </c>
      <c r="K68" s="27" t="inlineStr">
        <is>
          <t>https</t>
        </is>
      </c>
      <c r="L68" s="24" t="n">
        <v>0</v>
      </c>
      <c r="M68" s="24" t="inlineStr">
        <is>
          <t>Copy Writer</t>
        </is>
      </c>
      <c r="N68" s="25" t="inlineStr">
        <is>
          <t>Open</t>
        </is>
      </c>
      <c r="O68" s="24" t="inlineStr"/>
      <c r="P68" s="24" t="inlineStr">
        <is>
          <t>WARN 🟡</t>
        </is>
      </c>
      <c r="Q68" s="24" t="inlineStr">
        <is>
          <t>https</t>
        </is>
      </c>
      <c r="R68" s="24" t="n">
        <v>0</v>
      </c>
      <c r="S68" s="24" t="inlineStr">
        <is>
          <t>text/html; charset=UTF-8</t>
        </is>
      </c>
      <c r="T68" s="27" t="inlineStr">
        <is>
          <t>HTTP/1.1</t>
        </is>
      </c>
      <c r="U68" s="24" t="b">
        <v>0</v>
      </c>
      <c r="V68" s="24" t="inlineStr">
        <is>
          <t>text/html; charset=UTF-8</t>
        </is>
      </c>
      <c r="W68" s="24" t="inlineStr">
        <is>
          <t>HTTP/1.1</t>
        </is>
      </c>
      <c r="X68" s="24" t="n">
        <v>344.01</v>
      </c>
      <c r="Y68" s="25" t="b">
        <v>0</v>
      </c>
      <c r="Z68" s="24" t="n"/>
      <c r="AA68" s="24" t="n"/>
      <c r="AB68" s="24" t="n"/>
      <c r="AC68" s="24" t="n"/>
      <c r="AD68" s="27" t="n"/>
      <c r="AE68" s="27" t="n"/>
      <c r="AF68" s="25" t="b">
        <v>0</v>
      </c>
      <c r="AG68" s="25" t="b">
        <v>0</v>
      </c>
      <c r="AH68" s="24" t="n">
        <v>0</v>
      </c>
      <c r="AI68" s="24" t="b">
        <v>0</v>
      </c>
      <c r="AJ68" s="24" t="n"/>
      <c r="AK68" s="24" t="b">
        <v>0</v>
      </c>
      <c r="AL68" s="25" t="b">
        <v>0</v>
      </c>
      <c r="AM68" s="24" t="b">
        <v>0</v>
      </c>
      <c r="AN68" s="24" t="b">
        <v>0</v>
      </c>
      <c r="AO68" s="24" t="n"/>
      <c r="AP68" s="24" t="n"/>
      <c r="AQ68" s="24" t="inlineStr">
        <is>
          <t>2026-04-24T07:07:22+00:00</t>
        </is>
      </c>
      <c r="AR68" s="24" t="inlineStr">
        <is>
          <t>2026-04-24T07:07:22+00:00</t>
        </is>
      </c>
      <c r="AS68" s="24" t="inlineStr">
        <is>
          <t>weekly</t>
        </is>
      </c>
      <c r="AT68" s="24" t="inlineStr">
        <is>
          <t>0.7</t>
        </is>
      </c>
      <c r="AU68" s="24" t="n">
        <v>0</v>
      </c>
      <c r="AV68" s="24" t="n">
        <v>2</v>
      </c>
      <c r="AW68" s="24" t="n">
        <v>7</v>
      </c>
      <c r="AX68" s="24" t="inlineStr">
        <is>
          <t>0</t>
        </is>
      </c>
      <c r="AY68" s="24" t="b">
        <v>1</v>
      </c>
      <c r="AZ68" s="24" t="b">
        <v>0</v>
      </c>
      <c r="BA68" s="24" t="b">
        <v>0</v>
      </c>
      <c r="BB68" s="24" t="n">
        <v>475</v>
      </c>
      <c r="BC68" s="24" t="n">
        <v>1897</v>
      </c>
      <c r="BD68" s="24" t="n"/>
      <c r="BE68" s="24" t="inlineStr">
        <is>
          <t>https://africanmarketingconfederation.org/launch-event-2026-amc-conference/::thin_content | https://africanmarketingconfederation.org/launch-event-2026-amc-conference/::low_aeo_readiness_score | https://africanmarketingconfederation.org/launch-event-2026-amc-conference/::no_compression_header | https://africanmarketingconfederation.org/launch-event-2026-amc-conference/::no_cache-control_header | https://africanmarketingconfederation.org/launch-event-2026-amc-conference/::no_etag_header | https://africanmarketingconfederation.org/launch-event-2026-amc-conference/::no_faq_qa_schema | https://africanmarketingconfederation.org/launch-event-2026-amc-conference/::no_question_headings | https://africanmarketingconfederation.org/launch-event-2026-amc-conference/::no_answer-friendly_structure | https://africanmarketingconfederation.org/launch-event-2026-amc-conference/::no_40-60_word_answer_paragraphs</t>
        </is>
      </c>
      <c r="BF68" s="27" t="n">
        <v>1</v>
      </c>
      <c r="BG68" s="27" t="b">
        <v>0</v>
      </c>
      <c r="BH68">
        <f>IFERROR(HYPERLINK("#Main!A"&amp;MATCH(A68,Main!A:A,0),"Open"),HYPERLINK("#Main!A1","Open"))</f>
        <v/>
      </c>
    </row>
    <row r="69" ht="30" customHeight="1">
      <c r="A69" s="33" t="inlineStr">
        <is>
          <t>https://africanmarketingconfederation.org/members/</t>
        </is>
      </c>
      <c r="B69" s="4" t="n">
        <v>200</v>
      </c>
      <c r="C69" s="6" t="inlineStr">
        <is>
          <t>2xx</t>
        </is>
      </c>
      <c r="D69" s="6" t="n">
        <v>69</v>
      </c>
      <c r="E69" s="25" t="inlineStr">
        <is>
          <t>Warning</t>
        </is>
      </c>
      <c r="F69" s="6" t="inlineStr">
        <is>
          <t>Yes</t>
        </is>
      </c>
      <c r="G69" s="4" t="inlineStr">
        <is>
          <t>Indexable</t>
        </is>
      </c>
      <c r="H69" s="6" t="n">
        <v>68.52</v>
      </c>
      <c r="I69" s="6" t="n">
        <v>124.98</v>
      </c>
      <c r="J69" s="30" t="inlineStr">
        <is>
          <t>https://africanmarketingconfederation.org/members/</t>
        </is>
      </c>
      <c r="K69" s="30" t="inlineStr">
        <is>
          <t>https</t>
        </is>
      </c>
      <c r="L69" s="6" t="n">
        <v>0</v>
      </c>
      <c r="M69" s="6" t="inlineStr">
        <is>
          <t>Copy Writer</t>
        </is>
      </c>
      <c r="N69" s="25" t="inlineStr">
        <is>
          <t>Open</t>
        </is>
      </c>
      <c r="O69" s="6" t="inlineStr"/>
      <c r="P69" s="6" t="inlineStr">
        <is>
          <t>WARN 🟡</t>
        </is>
      </c>
      <c r="Q69" s="6" t="inlineStr">
        <is>
          <t>https</t>
        </is>
      </c>
      <c r="R69" s="6" t="n">
        <v>0</v>
      </c>
      <c r="S69" s="6" t="inlineStr">
        <is>
          <t>text/html; charset=UTF-8</t>
        </is>
      </c>
      <c r="T69" s="30" t="inlineStr">
        <is>
          <t>HTTP/1.1</t>
        </is>
      </c>
      <c r="U69" s="6" t="b">
        <v>0</v>
      </c>
      <c r="V69" s="6" t="inlineStr">
        <is>
          <t>text/html; charset=UTF-8</t>
        </is>
      </c>
      <c r="W69" s="6" t="inlineStr">
        <is>
          <t>HTTP/1.1</t>
        </is>
      </c>
      <c r="X69" s="6" t="n">
        <v>444.98</v>
      </c>
      <c r="Y69" s="25" t="b">
        <v>0</v>
      </c>
      <c r="Z69" s="6" t="n"/>
      <c r="AA69" s="6" t="n"/>
      <c r="AB69" s="6" t="n"/>
      <c r="AC69" s="6" t="n"/>
      <c r="AD69" s="30" t="n"/>
      <c r="AE69" s="30" t="n"/>
      <c r="AF69" s="25" t="b">
        <v>0</v>
      </c>
      <c r="AG69" s="25" t="b">
        <v>0</v>
      </c>
      <c r="AH69" s="6" t="n">
        <v>0</v>
      </c>
      <c r="AI69" s="6" t="b">
        <v>0</v>
      </c>
      <c r="AJ69" s="6" t="n"/>
      <c r="AK69" s="6" t="b">
        <v>0</v>
      </c>
      <c r="AL69" s="25" t="b">
        <v>0</v>
      </c>
      <c r="AM69" s="6" t="b">
        <v>0</v>
      </c>
      <c r="AN69" s="6" t="b">
        <v>0</v>
      </c>
      <c r="AO69" s="6" t="n"/>
      <c r="AP69" s="6" t="n"/>
      <c r="AQ69" s="6" t="inlineStr">
        <is>
          <t>2026-04-17T08:55:31+00:00</t>
        </is>
      </c>
      <c r="AR69" s="6" t="inlineStr">
        <is>
          <t>2026-04-17T08:55:31+00:00</t>
        </is>
      </c>
      <c r="AS69" s="6" t="inlineStr">
        <is>
          <t>weekly</t>
        </is>
      </c>
      <c r="AT69" s="6" t="inlineStr">
        <is>
          <t>0.7</t>
        </is>
      </c>
      <c r="AU69" s="6" t="n">
        <v>0</v>
      </c>
      <c r="AV69" s="6" t="n">
        <v>1</v>
      </c>
      <c r="AW69" s="6" t="n">
        <v>7</v>
      </c>
      <c r="AX69" s="6" t="inlineStr">
        <is>
          <t>0</t>
        </is>
      </c>
      <c r="AY69" s="6" t="b">
        <v>1</v>
      </c>
      <c r="AZ69" s="6" t="b">
        <v>0</v>
      </c>
      <c r="BA69" s="6" t="b">
        <v>0</v>
      </c>
      <c r="BB69" s="6" t="n">
        <v>295</v>
      </c>
      <c r="BC69" s="6" t="n">
        <v>2294</v>
      </c>
      <c r="BD69" s="6" t="n"/>
      <c r="BE69" s="6" t="inlineStr">
        <is>
          <t>https://africanmarketingconfederation.org/members/::low_aeo_readiness_score | https://africanmarketingconfederation.org/members/::no_compression_header | https://africanmarketingconfederation.org/members/::no_cache-control_header | https://africanmarketingconfederation.org/members/::no_etag_header | https://africanmarketingconfederation.org/members/::no_faq_qa_schema | https://africanmarketingconfederation.org/members/::no_question_headings | https://africanmarketingconfederation.org/members/::no_answer-friendly_structure | https://africanmarketingconfederation.org/members/::no_40-60_word_answer_paragraphs</t>
        </is>
      </c>
      <c r="BF69" s="30" t="n">
        <v>1</v>
      </c>
      <c r="BG69" s="30" t="b">
        <v>0</v>
      </c>
      <c r="BH69">
        <f>IFERROR(HYPERLINK("#Main!A"&amp;MATCH(A69,Main!A:A,0),"Open"),HYPERLINK("#Main!A1","Open"))</f>
        <v/>
      </c>
    </row>
    <row r="70" ht="30" customHeight="1">
      <c r="A70" s="33" t="inlineStr">
        <is>
          <t>https://africanmarketingconfederation.org/news-articles/</t>
        </is>
      </c>
      <c r="B70" s="4" t="n">
        <v>200</v>
      </c>
      <c r="C70" s="24" t="inlineStr">
        <is>
          <t>2xx</t>
        </is>
      </c>
      <c r="D70" s="24" t="n">
        <v>69</v>
      </c>
      <c r="E70" s="25" t="inlineStr">
        <is>
          <t>Warning</t>
        </is>
      </c>
      <c r="F70" s="24" t="inlineStr">
        <is>
          <t>Yes</t>
        </is>
      </c>
      <c r="G70" s="4" t="inlineStr">
        <is>
          <t>Indexable</t>
        </is>
      </c>
      <c r="H70" s="24" t="n">
        <v>50.44</v>
      </c>
      <c r="I70" s="24" t="n">
        <v>247.96</v>
      </c>
      <c r="J70" s="27" t="inlineStr">
        <is>
          <t>https://africanmarketingconfederation.org/news-articles/</t>
        </is>
      </c>
      <c r="K70" s="27" t="inlineStr">
        <is>
          <t>https</t>
        </is>
      </c>
      <c r="L70" s="24" t="n">
        <v>0</v>
      </c>
      <c r="M70" s="24" t="inlineStr">
        <is>
          <t>Copy Writer</t>
        </is>
      </c>
      <c r="N70" s="25" t="inlineStr">
        <is>
          <t>Open</t>
        </is>
      </c>
      <c r="O70" s="24" t="inlineStr"/>
      <c r="P70" s="24" t="inlineStr">
        <is>
          <t>WARN 🟡</t>
        </is>
      </c>
      <c r="Q70" s="24" t="inlineStr">
        <is>
          <t>https</t>
        </is>
      </c>
      <c r="R70" s="24" t="n">
        <v>0</v>
      </c>
      <c r="S70" s="24" t="inlineStr">
        <is>
          <t>text/html; charset=UTF-8</t>
        </is>
      </c>
      <c r="T70" s="27" t="inlineStr">
        <is>
          <t>HTTP/1.1</t>
        </is>
      </c>
      <c r="U70" s="24" t="b">
        <v>0</v>
      </c>
      <c r="V70" s="24" t="inlineStr">
        <is>
          <t>text/html; charset=UTF-8</t>
        </is>
      </c>
      <c r="W70" s="24" t="inlineStr">
        <is>
          <t>HTTP/1.1</t>
        </is>
      </c>
      <c r="X70" s="24" t="n">
        <v>295.35</v>
      </c>
      <c r="Y70" s="25" t="b">
        <v>0</v>
      </c>
      <c r="Z70" s="24" t="n"/>
      <c r="AA70" s="24" t="n"/>
      <c r="AB70" s="24" t="n"/>
      <c r="AC70" s="24" t="n"/>
      <c r="AD70" s="27" t="n"/>
      <c r="AE70" s="27" t="n"/>
      <c r="AF70" s="25" t="b">
        <v>0</v>
      </c>
      <c r="AG70" s="25" t="b">
        <v>0</v>
      </c>
      <c r="AH70" s="24" t="n">
        <v>0</v>
      </c>
      <c r="AI70" s="24" t="b">
        <v>0</v>
      </c>
      <c r="AJ70" s="24" t="n"/>
      <c r="AK70" s="24" t="b">
        <v>0</v>
      </c>
      <c r="AL70" s="25" t="b">
        <v>0</v>
      </c>
      <c r="AM70" s="24" t="b">
        <v>0</v>
      </c>
      <c r="AN70" s="24" t="b">
        <v>0</v>
      </c>
      <c r="AO70" s="24" t="n"/>
      <c r="AP70" s="24" t="n"/>
      <c r="AQ70" s="24" t="inlineStr">
        <is>
          <t>2026-04-17T08:58:00+00:00</t>
        </is>
      </c>
      <c r="AR70" s="24" t="inlineStr">
        <is>
          <t>2026-04-17T08:58:00+00:00</t>
        </is>
      </c>
      <c r="AS70" s="24" t="inlineStr">
        <is>
          <t>weekly</t>
        </is>
      </c>
      <c r="AT70" s="24" t="inlineStr">
        <is>
          <t>0.7</t>
        </is>
      </c>
      <c r="AU70" s="24" t="n">
        <v>0</v>
      </c>
      <c r="AV70" s="24" t="n">
        <v>1</v>
      </c>
      <c r="AW70" s="24" t="n">
        <v>7</v>
      </c>
      <c r="AX70" s="24" t="inlineStr">
        <is>
          <t>0</t>
        </is>
      </c>
      <c r="AY70" s="24" t="b">
        <v>1</v>
      </c>
      <c r="AZ70" s="24" t="b">
        <v>0</v>
      </c>
      <c r="BA70" s="24" t="b">
        <v>0</v>
      </c>
      <c r="BB70" s="24" t="n">
        <v>338</v>
      </c>
      <c r="BC70" s="24" t="n">
        <v>985</v>
      </c>
      <c r="BD70" s="24" t="n"/>
      <c r="BE70" s="24" t="inlineStr">
        <is>
          <t>https://africanmarketingconfederation.org/news-articles/::low_aeo_readiness_score | https://africanmarketingconfederation.org/news-articles/::no_compression_header | https://africanmarketingconfederation.org/news-articles/::no_cache-control_header | https://africanmarketingconfederation.org/news-articles/::no_etag_header | https://africanmarketingconfederation.org/news-articles/::no_faq_qa_schema | https://africanmarketingconfederation.org/news-articles/::no_question_headings | https://africanmarketingconfederation.org/news-articles/::no_answer-friendly_structure | https://africanmarketingconfederation.org/news-articles/::no_40-60_word_answer_paragraphs</t>
        </is>
      </c>
      <c r="BF70" s="27" t="n">
        <v>1</v>
      </c>
      <c r="BG70" s="27" t="b">
        <v>0</v>
      </c>
      <c r="BH70">
        <f>IFERROR(HYPERLINK("#Main!A"&amp;MATCH(A70,Main!A:A,0),"Open"),HYPERLINK("#Main!A1","Open"))</f>
        <v/>
      </c>
    </row>
    <row r="71" ht="30" customHeight="1">
      <c r="A71" s="33" t="inlineStr">
        <is>
          <t>https://africanmarketingconfederation.org/privacy-policy/</t>
        </is>
      </c>
      <c r="B71" s="4" t="n">
        <v>200</v>
      </c>
      <c r="C71" s="6" t="inlineStr">
        <is>
          <t>2xx</t>
        </is>
      </c>
      <c r="D71" s="6" t="n">
        <v>59</v>
      </c>
      <c r="E71" s="25" t="inlineStr">
        <is>
          <t>Warning</t>
        </is>
      </c>
      <c r="F71" s="6" t="inlineStr">
        <is>
          <t>Yes</t>
        </is>
      </c>
      <c r="G71" s="4" t="inlineStr">
        <is>
          <t>Indexable</t>
        </is>
      </c>
      <c r="H71" s="6" t="n">
        <v>63.08</v>
      </c>
      <c r="I71" s="6" t="n">
        <v>68.94</v>
      </c>
      <c r="J71" s="30" t="inlineStr">
        <is>
          <t>https://africanmarketingconfederation.org/privacy-policy/</t>
        </is>
      </c>
      <c r="K71" s="30" t="inlineStr">
        <is>
          <t>https</t>
        </is>
      </c>
      <c r="L71" s="6" t="n">
        <v>0</v>
      </c>
      <c r="M71" s="6" t="inlineStr">
        <is>
          <t>Copy Writer</t>
        </is>
      </c>
      <c r="N71" s="25" t="inlineStr">
        <is>
          <t>Open</t>
        </is>
      </c>
      <c r="O71" s="6" t="inlineStr"/>
      <c r="P71" s="6" t="inlineStr">
        <is>
          <t>WARN 🟡</t>
        </is>
      </c>
      <c r="Q71" s="6" t="inlineStr">
        <is>
          <t>https</t>
        </is>
      </c>
      <c r="R71" s="6" t="n">
        <v>0</v>
      </c>
      <c r="S71" s="6" t="inlineStr">
        <is>
          <t>text/html; charset=UTF-8</t>
        </is>
      </c>
      <c r="T71" s="30" t="inlineStr">
        <is>
          <t>HTTP/1.1</t>
        </is>
      </c>
      <c r="U71" s="6" t="b">
        <v>0</v>
      </c>
      <c r="V71" s="6" t="inlineStr">
        <is>
          <t>text/html; charset=UTF-8</t>
        </is>
      </c>
      <c r="W71" s="6" t="inlineStr">
        <is>
          <t>HTTP/1.1</t>
        </is>
      </c>
      <c r="X71" s="6" t="n">
        <v>237.24</v>
      </c>
      <c r="Y71" s="25" t="b">
        <v>0</v>
      </c>
      <c r="Z71" s="6" t="n"/>
      <c r="AA71" s="6" t="n"/>
      <c r="AB71" s="6" t="n"/>
      <c r="AC71" s="6" t="n"/>
      <c r="AD71" s="30" t="n"/>
      <c r="AE71" s="30" t="n"/>
      <c r="AF71" s="25" t="b">
        <v>0</v>
      </c>
      <c r="AG71" s="25" t="b">
        <v>0</v>
      </c>
      <c r="AH71" s="6" t="n">
        <v>0</v>
      </c>
      <c r="AI71" s="6" t="b">
        <v>0</v>
      </c>
      <c r="AJ71" s="6" t="n"/>
      <c r="AK71" s="6" t="b">
        <v>0</v>
      </c>
      <c r="AL71" s="25" t="b">
        <v>0</v>
      </c>
      <c r="AM71" s="6" t="b">
        <v>0</v>
      </c>
      <c r="AN71" s="6" t="b">
        <v>0</v>
      </c>
      <c r="AO71" s="6" t="n"/>
      <c r="AP71" s="6" t="n"/>
      <c r="AQ71" s="6" t="inlineStr">
        <is>
          <t>2021-08-31T10:56:05+00:00</t>
        </is>
      </c>
      <c r="AR71" s="6" t="inlineStr">
        <is>
          <t>2021-08-31T10:56:05+00:00</t>
        </is>
      </c>
      <c r="AS71" s="6" t="inlineStr">
        <is>
          <t>weekly</t>
        </is>
      </c>
      <c r="AT71" s="6" t="inlineStr">
        <is>
          <t>0.7</t>
        </is>
      </c>
      <c r="AU71" s="6" t="n">
        <v>0</v>
      </c>
      <c r="AV71" s="6" t="n">
        <v>2</v>
      </c>
      <c r="AW71" s="6" t="n">
        <v>7</v>
      </c>
      <c r="AX71" s="6" t="inlineStr">
        <is>
          <t>0</t>
        </is>
      </c>
      <c r="AY71" s="6" t="b">
        <v>1</v>
      </c>
      <c r="AZ71" s="6" t="b">
        <v>0</v>
      </c>
      <c r="BA71" s="6" t="b">
        <v>0</v>
      </c>
      <c r="BB71" s="6" t="n">
        <v>345</v>
      </c>
      <c r="BC71" s="6" t="n">
        <v>2349</v>
      </c>
      <c r="BD71" s="6" t="n"/>
      <c r="BE71" s="6" t="inlineStr">
        <is>
          <t>https://africanmarketingconfederation.org/privacy-policy/::multiple_h1 | https://africanmarketingconfederation.org/privacy-policy/::low_aeo_readiness_score | https://africanmarketingconfederation.org/privacy-policy/::no_compression_header | https://africanmarketingconfederation.org/privacy-policy/::no_cache-control_header | https://africanmarketingconfederation.org/privacy-policy/::no_etag_header | https://africanmarketingconfederation.org/privacy-policy/::no_faq_qa_schema | https://africanmarketingconfederation.org/privacy-policy/::no_question_headings | https://africanmarketingconfederation.org/privacy-policy/::no_answer-friendly_structure | https://africanmarketingconfederation.org/privacy-policy/::no_40-60_word_answer_paragraphs</t>
        </is>
      </c>
      <c r="BF71" s="30" t="n">
        <v>1</v>
      </c>
      <c r="BG71" s="30" t="b">
        <v>0</v>
      </c>
      <c r="BH71">
        <f>IFERROR(HYPERLINK("#Main!A"&amp;MATCH(A71,Main!A:A,0),"Open"),HYPERLINK("#Main!A1","Open"))</f>
        <v/>
      </c>
    </row>
    <row r="72" ht="30" customHeight="1">
      <c r="A72" s="33" t="inlineStr">
        <is>
          <t>https://africanmarketingconfederation.org/publication-download-list/</t>
        </is>
      </c>
      <c r="B72" s="4" t="n">
        <v>200</v>
      </c>
      <c r="C72" s="24" t="inlineStr">
        <is>
          <t>2xx</t>
        </is>
      </c>
      <c r="D72" s="24" t="n">
        <v>49</v>
      </c>
      <c r="E72" s="25" t="inlineStr">
        <is>
          <t>Warning</t>
        </is>
      </c>
      <c r="F72" s="24" t="inlineStr">
        <is>
          <t>Yes</t>
        </is>
      </c>
      <c r="G72" s="4" t="inlineStr">
        <is>
          <t>Indexable</t>
        </is>
      </c>
      <c r="H72" s="24" t="n">
        <v>452.2</v>
      </c>
      <c r="I72" s="24" t="n">
        <v>453.2</v>
      </c>
      <c r="J72" s="27" t="inlineStr">
        <is>
          <t>https://africanmarketingconfederation.org/publication-download-list/</t>
        </is>
      </c>
      <c r="K72" s="27" t="inlineStr">
        <is>
          <t>https</t>
        </is>
      </c>
      <c r="L72" s="24" t="n">
        <v>0</v>
      </c>
      <c r="M72" s="24" t="inlineStr">
        <is>
          <t>Copy Writer</t>
        </is>
      </c>
      <c r="N72" s="25" t="inlineStr">
        <is>
          <t>Open</t>
        </is>
      </c>
      <c r="O72" s="24" t="inlineStr"/>
      <c r="P72" s="24" t="inlineStr">
        <is>
          <t>WARN 🟡</t>
        </is>
      </c>
      <c r="Q72" s="24" t="inlineStr">
        <is>
          <t>https</t>
        </is>
      </c>
      <c r="R72" s="24" t="n">
        <v>0</v>
      </c>
      <c r="S72" s="24" t="inlineStr">
        <is>
          <t>text/html; charset=UTF-8</t>
        </is>
      </c>
      <c r="T72" s="27" t="inlineStr">
        <is>
          <t>HTTP/1.1</t>
        </is>
      </c>
      <c r="U72" s="24" t="b">
        <v>0</v>
      </c>
      <c r="V72" s="24" t="inlineStr">
        <is>
          <t>text/html; charset=UTF-8</t>
        </is>
      </c>
      <c r="W72" s="24" t="inlineStr">
        <is>
          <t>HTTP/1.1</t>
        </is>
      </c>
      <c r="X72" s="24" t="n">
        <v>287.36</v>
      </c>
      <c r="Y72" s="25" t="b">
        <v>0</v>
      </c>
      <c r="Z72" s="24" t="n"/>
      <c r="AA72" s="24" t="n"/>
      <c r="AB72" s="24" t="n"/>
      <c r="AC72" s="24" t="n"/>
      <c r="AD72" s="27" t="n"/>
      <c r="AE72" s="27" t="n"/>
      <c r="AF72" s="25" t="b">
        <v>0</v>
      </c>
      <c r="AG72" s="25" t="b">
        <v>0</v>
      </c>
      <c r="AH72" s="24" t="n">
        <v>0</v>
      </c>
      <c r="AI72" s="24" t="b">
        <v>0</v>
      </c>
      <c r="AJ72" s="24" t="n"/>
      <c r="AK72" s="24" t="b">
        <v>0</v>
      </c>
      <c r="AL72" s="25" t="b">
        <v>0</v>
      </c>
      <c r="AM72" s="24" t="b">
        <v>0</v>
      </c>
      <c r="AN72" s="24" t="b">
        <v>0</v>
      </c>
      <c r="AO72" s="24" t="n"/>
      <c r="AP72" s="24" t="n"/>
      <c r="AQ72" s="24" t="inlineStr">
        <is>
          <t>2026-04-28T12:04:20+00:00</t>
        </is>
      </c>
      <c r="AR72" s="24" t="inlineStr">
        <is>
          <t>2026-04-28T12:04:20+00:00</t>
        </is>
      </c>
      <c r="AS72" s="24" t="inlineStr">
        <is>
          <t>weekly</t>
        </is>
      </c>
      <c r="AT72" s="24" t="inlineStr">
        <is>
          <t>0.7</t>
        </is>
      </c>
      <c r="AU72" s="24" t="n">
        <v>0</v>
      </c>
      <c r="AV72" s="24" t="n">
        <v>3</v>
      </c>
      <c r="AW72" s="24" t="n">
        <v>7</v>
      </c>
      <c r="AX72" s="24" t="inlineStr">
        <is>
          <t>0</t>
        </is>
      </c>
      <c r="AY72" s="24" t="b">
        <v>1</v>
      </c>
      <c r="AZ72" s="24" t="b">
        <v>0</v>
      </c>
      <c r="BA72" s="24" t="b">
        <v>0</v>
      </c>
      <c r="BB72" s="24" t="n">
        <v>424</v>
      </c>
      <c r="BC72" s="24" t="n">
        <v>1630</v>
      </c>
      <c r="BD72" s="24" t="n"/>
      <c r="BE72" s="24" t="inlineStr">
        <is>
          <t>https://africanmarketingconfederation.org/publication-download-list/::missing_h1 | https://africanmarketingconfederation.org/publication-download-list/::thin_content | https://africanmarketingconfederation.org/publication-download-list/::low_aeo_readiness_score | https://africanmarketingconfederation.org/publication-download-list/::no_compression_header | https://africanmarketingconfederation.org/publication-download-list/::no_cache-control_header | https://africanmarketingconfederation.org/publication-download-list/::no_etag_header | https://africanmarketingconfederation.org/publication-download-list/::no_faq_qa_schema | https://africanmarketingconfederation.org/publication-download-list/::no_question_headings | https://africanmarketingconfederation.org/publication-download-list/::no_answer-friendly_structure | https://africanmarketingconfederation.org/publication-download-list/::no_40-60_word_answer_paragraphs</t>
        </is>
      </c>
      <c r="BF72" s="27" t="n">
        <v>1</v>
      </c>
      <c r="BG72" s="27" t="b">
        <v>0</v>
      </c>
      <c r="BH72">
        <f>IFERROR(HYPERLINK("#Main!A"&amp;MATCH(A72,Main!A:A,0),"Open"),HYPERLINK("#Main!A1","Open"))</f>
        <v/>
      </c>
    </row>
    <row r="73" ht="30" customHeight="1">
      <c r="A73" s="33" t="inlineStr">
        <is>
          <t>https://africanmarketingconfederation.org/publications-2/</t>
        </is>
      </c>
      <c r="B73" s="4" t="n">
        <v>200</v>
      </c>
      <c r="C73" s="6" t="inlineStr">
        <is>
          <t>2xx</t>
        </is>
      </c>
      <c r="D73" s="6" t="n">
        <v>59</v>
      </c>
      <c r="E73" s="25" t="inlineStr">
        <is>
          <t>Warning</t>
        </is>
      </c>
      <c r="F73" s="6" t="inlineStr">
        <is>
          <t>Yes</t>
        </is>
      </c>
      <c r="G73" s="4" t="inlineStr">
        <is>
          <t>Indexable</t>
        </is>
      </c>
      <c r="H73" s="6" t="n">
        <v>355.17</v>
      </c>
      <c r="I73" s="6" t="n">
        <v>356.17</v>
      </c>
      <c r="J73" s="30" t="inlineStr">
        <is>
          <t>https://africanmarketingconfederation.org/publications-2/</t>
        </is>
      </c>
      <c r="K73" s="30" t="inlineStr">
        <is>
          <t>https</t>
        </is>
      </c>
      <c r="L73" s="6" t="n">
        <v>0</v>
      </c>
      <c r="M73" s="6" t="inlineStr">
        <is>
          <t>Copy Writer</t>
        </is>
      </c>
      <c r="N73" s="25" t="inlineStr">
        <is>
          <t>Open</t>
        </is>
      </c>
      <c r="O73" s="6" t="inlineStr"/>
      <c r="P73" s="6" t="inlineStr">
        <is>
          <t>WARN 🟡</t>
        </is>
      </c>
      <c r="Q73" s="6" t="inlineStr">
        <is>
          <t>https</t>
        </is>
      </c>
      <c r="R73" s="6" t="n">
        <v>0</v>
      </c>
      <c r="S73" s="6" t="inlineStr">
        <is>
          <t>text/html; charset=UTF-8</t>
        </is>
      </c>
      <c r="T73" s="30" t="inlineStr">
        <is>
          <t>HTTP/1.1</t>
        </is>
      </c>
      <c r="U73" s="6" t="b">
        <v>0</v>
      </c>
      <c r="V73" s="6" t="inlineStr">
        <is>
          <t>text/html; charset=UTF-8</t>
        </is>
      </c>
      <c r="W73" s="6" t="inlineStr">
        <is>
          <t>HTTP/1.1</t>
        </is>
      </c>
      <c r="X73" s="6" t="n">
        <v>329.24</v>
      </c>
      <c r="Y73" s="25" t="b">
        <v>0</v>
      </c>
      <c r="Z73" s="6" t="n"/>
      <c r="AA73" s="6" t="n"/>
      <c r="AB73" s="6" t="n"/>
      <c r="AC73" s="6" t="n"/>
      <c r="AD73" s="30" t="n"/>
      <c r="AE73" s="30" t="n"/>
      <c r="AF73" s="25" t="b">
        <v>0</v>
      </c>
      <c r="AG73" s="25" t="b">
        <v>0</v>
      </c>
      <c r="AH73" s="6" t="n">
        <v>0</v>
      </c>
      <c r="AI73" s="6" t="b">
        <v>0</v>
      </c>
      <c r="AJ73" s="6" t="n"/>
      <c r="AK73" s="6" t="b">
        <v>0</v>
      </c>
      <c r="AL73" s="25" t="b">
        <v>0</v>
      </c>
      <c r="AM73" s="6" t="b">
        <v>0</v>
      </c>
      <c r="AN73" s="6" t="b">
        <v>0</v>
      </c>
      <c r="AO73" s="6" t="n"/>
      <c r="AP73" s="6" t="n"/>
      <c r="AQ73" s="6" t="inlineStr">
        <is>
          <t>2026-04-29T07:05:09+00:00</t>
        </is>
      </c>
      <c r="AR73" s="6" t="inlineStr">
        <is>
          <t>2026-04-29T07:05:09+00:00</t>
        </is>
      </c>
      <c r="AS73" s="6" t="inlineStr">
        <is>
          <t>weekly</t>
        </is>
      </c>
      <c r="AT73" s="6" t="inlineStr">
        <is>
          <t>0.7</t>
        </is>
      </c>
      <c r="AU73" s="6" t="n">
        <v>0</v>
      </c>
      <c r="AV73" s="6" t="n">
        <v>2</v>
      </c>
      <c r="AW73" s="6" t="n">
        <v>7</v>
      </c>
      <c r="AX73" s="6" t="inlineStr">
        <is>
          <t>0</t>
        </is>
      </c>
      <c r="AY73" s="6" t="b">
        <v>1</v>
      </c>
      <c r="AZ73" s="6" t="b">
        <v>0</v>
      </c>
      <c r="BA73" s="6" t="b">
        <v>0</v>
      </c>
      <c r="BB73" s="6" t="n">
        <v>331</v>
      </c>
      <c r="BC73" s="6" t="n">
        <v>992</v>
      </c>
      <c r="BD73" s="6" t="n"/>
      <c r="BE73" s="6" t="inlineStr">
        <is>
          <t>https://africanmarketingconfederation.org/publications-2/::thin_content | https://africanmarketingconfederation.org/publications-2/::low_aeo_readiness_score | https://africanmarketingconfederation.org/publications-2/::no_compression_header | https://africanmarketingconfederation.org/publications-2/::no_cache-control_header | https://africanmarketingconfederation.org/publications-2/::no_etag_header | https://africanmarketingconfederation.org/publications-2/::no_faq_qa_schema | https://africanmarketingconfederation.org/publications-2/::no_question_headings | https://africanmarketingconfederation.org/publications-2/::no_answer-friendly_structure | https://africanmarketingconfederation.org/publications-2/::no_40-60_word_answer_paragraphs</t>
        </is>
      </c>
      <c r="BF73" s="30" t="n">
        <v>1</v>
      </c>
      <c r="BG73" s="30" t="b">
        <v>0</v>
      </c>
      <c r="BH73">
        <f>IFERROR(HYPERLINK("#Main!A"&amp;MATCH(A73,Main!A:A,0),"Open"),HYPERLINK("#Main!A1","Open"))</f>
        <v/>
      </c>
    </row>
    <row r="74" ht="30" customHeight="1">
      <c r="A74" s="33" t="inlineStr">
        <is>
          <t>https://africanmarketingconfederation.org/speakers-2025/</t>
        </is>
      </c>
      <c r="B74" s="4" t="n">
        <v>200</v>
      </c>
      <c r="C74" s="24" t="inlineStr">
        <is>
          <t>2xx</t>
        </is>
      </c>
      <c r="D74" s="24" t="n">
        <v>59</v>
      </c>
      <c r="E74" s="25" t="inlineStr">
        <is>
          <t>Warning</t>
        </is>
      </c>
      <c r="F74" s="24" t="inlineStr">
        <is>
          <t>Yes</t>
        </is>
      </c>
      <c r="G74" s="4" t="inlineStr">
        <is>
          <t>Indexable</t>
        </is>
      </c>
      <c r="H74" s="24" t="n">
        <v>217.03</v>
      </c>
      <c r="I74" s="24" t="n">
        <v>217.03</v>
      </c>
      <c r="J74" s="27" t="inlineStr">
        <is>
          <t>https://africanmarketingconfederation.org/speakers-2025/</t>
        </is>
      </c>
      <c r="K74" s="27" t="inlineStr">
        <is>
          <t>https</t>
        </is>
      </c>
      <c r="L74" s="24" t="n">
        <v>0</v>
      </c>
      <c r="M74" s="24" t="inlineStr">
        <is>
          <t>Copy Writer</t>
        </is>
      </c>
      <c r="N74" s="25" t="inlineStr">
        <is>
          <t>Open</t>
        </is>
      </c>
      <c r="O74" s="24" t="inlineStr"/>
      <c r="P74" s="24" t="inlineStr">
        <is>
          <t>WARN 🟡</t>
        </is>
      </c>
      <c r="Q74" s="24" t="inlineStr">
        <is>
          <t>https</t>
        </is>
      </c>
      <c r="R74" s="24" t="n">
        <v>0</v>
      </c>
      <c r="S74" s="24" t="inlineStr">
        <is>
          <t>text/html; charset=UTF-8</t>
        </is>
      </c>
      <c r="T74" s="27" t="inlineStr">
        <is>
          <t>HTTP/1.1</t>
        </is>
      </c>
      <c r="U74" s="24" t="b">
        <v>0</v>
      </c>
      <c r="V74" s="24" t="inlineStr">
        <is>
          <t>text/html; charset=UTF-8</t>
        </is>
      </c>
      <c r="W74" s="24" t="inlineStr">
        <is>
          <t>HTTP/1.1</t>
        </is>
      </c>
      <c r="X74" s="24" t="n">
        <v>606.38</v>
      </c>
      <c r="Y74" s="25" t="b">
        <v>0</v>
      </c>
      <c r="Z74" s="24" t="n"/>
      <c r="AA74" s="24" t="n"/>
      <c r="AB74" s="24" t="n"/>
      <c r="AC74" s="24" t="n"/>
      <c r="AD74" s="27" t="n"/>
      <c r="AE74" s="27" t="n"/>
      <c r="AF74" s="25" t="b">
        <v>0</v>
      </c>
      <c r="AG74" s="25" t="b">
        <v>0</v>
      </c>
      <c r="AH74" s="24" t="n">
        <v>0</v>
      </c>
      <c r="AI74" s="24" t="b">
        <v>0</v>
      </c>
      <c r="AJ74" s="24" t="n"/>
      <c r="AK74" s="24" t="b">
        <v>0</v>
      </c>
      <c r="AL74" s="25" t="b">
        <v>0</v>
      </c>
      <c r="AM74" s="24" t="b">
        <v>0</v>
      </c>
      <c r="AN74" s="24" t="b">
        <v>0</v>
      </c>
      <c r="AO74" s="24" t="n"/>
      <c r="AP74" s="24" t="n"/>
      <c r="AQ74" s="24" t="inlineStr">
        <is>
          <t>2026-03-26T12:27:48+00:00</t>
        </is>
      </c>
      <c r="AR74" s="24" t="inlineStr">
        <is>
          <t>2026-03-26T12:27:48+00:00</t>
        </is>
      </c>
      <c r="AS74" s="24" t="inlineStr">
        <is>
          <t>weekly</t>
        </is>
      </c>
      <c r="AT74" s="24" t="inlineStr">
        <is>
          <t>0.7</t>
        </is>
      </c>
      <c r="AU74" s="24" t="n">
        <v>0</v>
      </c>
      <c r="AV74" s="24" t="n">
        <v>2</v>
      </c>
      <c r="AW74" s="24" t="n">
        <v>7</v>
      </c>
      <c r="AX74" s="24" t="inlineStr">
        <is>
          <t>0</t>
        </is>
      </c>
      <c r="AY74" s="24" t="b">
        <v>1</v>
      </c>
      <c r="AZ74" s="24" t="b">
        <v>0</v>
      </c>
      <c r="BA74" s="24" t="b">
        <v>0</v>
      </c>
      <c r="BB74" s="24" t="n">
        <v>244</v>
      </c>
      <c r="BC74" s="24" t="n">
        <v>992</v>
      </c>
      <c r="BD74" s="24" t="n"/>
      <c r="BE74" s="24" t="inlineStr">
        <is>
          <t>https://africanmarketingconfederation.org/speakers-2025/::multiple_h1 | https://africanmarketingconfederation.org/speakers-2025/::low_aeo_readiness_score | https://africanmarketingconfederation.org/speakers-2025/::no_compression_header | https://africanmarketingconfederation.org/speakers-2025/::no_cache-control_header | https://africanmarketingconfederation.org/speakers-2025/::no_etag_header | https://africanmarketingconfederation.org/speakers-2025/::no_faq_qa_schema | https://africanmarketingconfederation.org/speakers-2025/::no_question_headings | https://africanmarketingconfederation.org/speakers-2025/::no_answer-friendly_structure | https://africanmarketingconfederation.org/speakers-2025/::no_40-60_word_answer_paragraphs</t>
        </is>
      </c>
      <c r="BF74" s="27" t="n">
        <v>1</v>
      </c>
      <c r="BG74" s="27" t="b">
        <v>0</v>
      </c>
      <c r="BH74">
        <f>IFERROR(HYPERLINK("#Main!A"&amp;MATCH(A74,Main!A:A,0),"Open"),HYPERLINK("#Main!A1","Open"))</f>
        <v/>
      </c>
    </row>
    <row r="75" ht="30" customHeight="1">
      <c r="A75" s="33" t="inlineStr">
        <is>
          <t>https://africanmarketingconfederation.org/speakers/</t>
        </is>
      </c>
      <c r="B75" s="4" t="n">
        <v>200</v>
      </c>
      <c r="C75" s="6" t="inlineStr">
        <is>
          <t>2xx</t>
        </is>
      </c>
      <c r="D75" s="6" t="n">
        <v>49</v>
      </c>
      <c r="E75" s="25" t="inlineStr">
        <is>
          <t>Warning</t>
        </is>
      </c>
      <c r="F75" s="6" t="inlineStr">
        <is>
          <t>Yes</t>
        </is>
      </c>
      <c r="G75" s="4" t="inlineStr">
        <is>
          <t>Indexable</t>
        </is>
      </c>
      <c r="H75" s="6" t="n">
        <v>45.49</v>
      </c>
      <c r="I75" s="6" t="n">
        <v>47.47</v>
      </c>
      <c r="J75" s="30" t="inlineStr">
        <is>
          <t>https://africanmarketingconfederation.org/speakers/</t>
        </is>
      </c>
      <c r="K75" s="30" t="inlineStr">
        <is>
          <t>https</t>
        </is>
      </c>
      <c r="L75" s="6" t="n">
        <v>0</v>
      </c>
      <c r="M75" s="6" t="inlineStr">
        <is>
          <t>Copy Writer</t>
        </is>
      </c>
      <c r="N75" s="25" t="inlineStr">
        <is>
          <t>Open</t>
        </is>
      </c>
      <c r="O75" s="6" t="inlineStr"/>
      <c r="P75" s="6" t="inlineStr">
        <is>
          <t>WARN 🟡</t>
        </is>
      </c>
      <c r="Q75" s="6" t="inlineStr">
        <is>
          <t>https</t>
        </is>
      </c>
      <c r="R75" s="6" t="n">
        <v>0</v>
      </c>
      <c r="S75" s="6" t="inlineStr">
        <is>
          <t>text/html; charset=UTF-8</t>
        </is>
      </c>
      <c r="T75" s="30" t="inlineStr">
        <is>
          <t>HTTP/1.1</t>
        </is>
      </c>
      <c r="U75" s="6" t="b">
        <v>0</v>
      </c>
      <c r="V75" s="6" t="inlineStr">
        <is>
          <t>text/html; charset=UTF-8</t>
        </is>
      </c>
      <c r="W75" s="6" t="inlineStr">
        <is>
          <t>HTTP/1.1</t>
        </is>
      </c>
      <c r="X75" s="6" t="n">
        <v>336.9</v>
      </c>
      <c r="Y75" s="25" t="b">
        <v>0</v>
      </c>
      <c r="Z75" s="6" t="n"/>
      <c r="AA75" s="6" t="n"/>
      <c r="AB75" s="6" t="n"/>
      <c r="AC75" s="6" t="n"/>
      <c r="AD75" s="30" t="n"/>
      <c r="AE75" s="30" t="n"/>
      <c r="AF75" s="25" t="b">
        <v>0</v>
      </c>
      <c r="AG75" s="25" t="b">
        <v>0</v>
      </c>
      <c r="AH75" s="6" t="n">
        <v>0</v>
      </c>
      <c r="AI75" s="6" t="b">
        <v>0</v>
      </c>
      <c r="AJ75" s="6" t="n"/>
      <c r="AK75" s="6" t="b">
        <v>0</v>
      </c>
      <c r="AL75" s="25" t="b">
        <v>0</v>
      </c>
      <c r="AM75" s="6" t="b">
        <v>0</v>
      </c>
      <c r="AN75" s="6" t="b">
        <v>0</v>
      </c>
      <c r="AO75" s="6" t="n"/>
      <c r="AP75" s="6" t="n"/>
      <c r="AQ75" s="6" t="inlineStr">
        <is>
          <t>2021-10-12T12:43:05+00:00</t>
        </is>
      </c>
      <c r="AR75" s="6" t="inlineStr">
        <is>
          <t>2021-10-12T12:43:05+00:00</t>
        </is>
      </c>
      <c r="AS75" s="6" t="inlineStr">
        <is>
          <t>weekly</t>
        </is>
      </c>
      <c r="AT75" s="6" t="inlineStr">
        <is>
          <t>0.7</t>
        </is>
      </c>
      <c r="AU75" s="6" t="n">
        <v>0</v>
      </c>
      <c r="AV75" s="6" t="n">
        <v>3</v>
      </c>
      <c r="AW75" s="6" t="n">
        <v>7</v>
      </c>
      <c r="AX75" s="6" t="inlineStr">
        <is>
          <t>0</t>
        </is>
      </c>
      <c r="AY75" s="6" t="b">
        <v>1</v>
      </c>
      <c r="AZ75" s="6" t="b">
        <v>0</v>
      </c>
      <c r="BA75" s="6" t="b">
        <v>0</v>
      </c>
      <c r="BB75" s="6" t="n">
        <v>302</v>
      </c>
      <c r="BC75" s="6" t="n">
        <v>2585</v>
      </c>
      <c r="BD75" s="6" t="inlineStr">
        <is>
          <t>Near-duplicate title cluster</t>
        </is>
      </c>
      <c r="BE75" s="6" t="inlineStr">
        <is>
          <t>https://africanmarketingconfederation.org/speakers/::missing_h1 | https://africanmarketingconfederation.org/speakers/::thin_content | https://africanmarketingconfederation.org/speakers/::low_aeo_readiness_score | https://africanmarketingconfederation.org/speakers/::no_compression_header | https://africanmarketingconfederation.org/speakers/::no_cache-control_header | https://africanmarketingconfederation.org/speakers/::no_etag_header | https://africanmarketingconfederation.org/speakers/::no_faq_qa_schema | https://africanmarketingconfederation.org/speakers/::no_question_headings | https://africanmarketingconfederation.org/speakers/::no_answer-friendly_structure | https://africanmarketingconfederation.org/speakers/::no_40-60_word_answer_paragraphs</t>
        </is>
      </c>
      <c r="BF75" s="30" t="n">
        <v>1</v>
      </c>
      <c r="BG75" s="30" t="b">
        <v>0</v>
      </c>
      <c r="BH75">
        <f>IFERROR(HYPERLINK("#Main!A"&amp;MATCH(A75,Main!A:A,0),"Open"),HYPERLINK("#Main!A1","Open"))</f>
        <v/>
      </c>
    </row>
    <row r="76" ht="30" customHeight="1">
      <c r="A76" s="33" t="inlineStr">
        <is>
          <t>https://africanmarketingconfederation.org/sub-committees/</t>
        </is>
      </c>
      <c r="B76" s="4" t="n">
        <v>200</v>
      </c>
      <c r="C76" s="24" t="inlineStr">
        <is>
          <t>2xx</t>
        </is>
      </c>
      <c r="D76" s="24" t="n">
        <v>69</v>
      </c>
      <c r="E76" s="25" t="inlineStr">
        <is>
          <t>Warning</t>
        </is>
      </c>
      <c r="F76" s="24" t="inlineStr">
        <is>
          <t>Yes</t>
        </is>
      </c>
      <c r="G76" s="4" t="inlineStr">
        <is>
          <t>Indexable</t>
        </is>
      </c>
      <c r="H76" s="24" t="n">
        <v>41.53</v>
      </c>
      <c r="I76" s="24" t="n">
        <v>42.55</v>
      </c>
      <c r="J76" s="27" t="inlineStr">
        <is>
          <t>https://africanmarketingconfederation.org/sub-committees/</t>
        </is>
      </c>
      <c r="K76" s="27" t="inlineStr">
        <is>
          <t>https</t>
        </is>
      </c>
      <c r="L76" s="24" t="n">
        <v>0</v>
      </c>
      <c r="M76" s="24" t="inlineStr">
        <is>
          <t>Copy Writer</t>
        </is>
      </c>
      <c r="N76" s="25" t="inlineStr">
        <is>
          <t>Open</t>
        </is>
      </c>
      <c r="O76" s="24" t="inlineStr"/>
      <c r="P76" s="24" t="inlineStr">
        <is>
          <t>WARN 🟡</t>
        </is>
      </c>
      <c r="Q76" s="24" t="inlineStr">
        <is>
          <t>https</t>
        </is>
      </c>
      <c r="R76" s="24" t="n">
        <v>0</v>
      </c>
      <c r="S76" s="24" t="inlineStr">
        <is>
          <t>text/html; charset=UTF-8</t>
        </is>
      </c>
      <c r="T76" s="27" t="inlineStr">
        <is>
          <t>HTTP/1.1</t>
        </is>
      </c>
      <c r="U76" s="24" t="b">
        <v>0</v>
      </c>
      <c r="V76" s="24" t="inlineStr">
        <is>
          <t>text/html; charset=UTF-8</t>
        </is>
      </c>
      <c r="W76" s="24" t="inlineStr">
        <is>
          <t>HTTP/1.1</t>
        </is>
      </c>
      <c r="X76" s="24" t="n">
        <v>260.09</v>
      </c>
      <c r="Y76" s="25" t="b">
        <v>0</v>
      </c>
      <c r="Z76" s="24" t="n"/>
      <c r="AA76" s="24" t="n"/>
      <c r="AB76" s="24" t="n"/>
      <c r="AC76" s="24" t="n"/>
      <c r="AD76" s="27" t="n"/>
      <c r="AE76" s="27" t="n"/>
      <c r="AF76" s="25" t="b">
        <v>0</v>
      </c>
      <c r="AG76" s="25" t="b">
        <v>0</v>
      </c>
      <c r="AH76" s="24" t="n">
        <v>0</v>
      </c>
      <c r="AI76" s="24" t="b">
        <v>0</v>
      </c>
      <c r="AJ76" s="24" t="n"/>
      <c r="AK76" s="24" t="b">
        <v>0</v>
      </c>
      <c r="AL76" s="25" t="b">
        <v>0</v>
      </c>
      <c r="AM76" s="24" t="b">
        <v>0</v>
      </c>
      <c r="AN76" s="24" t="b">
        <v>0</v>
      </c>
      <c r="AO76" s="24" t="n"/>
      <c r="AP76" s="24" t="n"/>
      <c r="AQ76" s="24" t="inlineStr">
        <is>
          <t>2026-04-17T08:53:47+00:00</t>
        </is>
      </c>
      <c r="AR76" s="24" t="inlineStr">
        <is>
          <t>2026-04-17T08:53:47+00:00</t>
        </is>
      </c>
      <c r="AS76" s="24" t="inlineStr">
        <is>
          <t>weekly</t>
        </is>
      </c>
      <c r="AT76" s="24" t="inlineStr">
        <is>
          <t>0.7</t>
        </is>
      </c>
      <c r="AU76" s="24" t="n">
        <v>0</v>
      </c>
      <c r="AV76" s="24" t="n">
        <v>1</v>
      </c>
      <c r="AW76" s="24" t="n">
        <v>7</v>
      </c>
      <c r="AX76" s="24" t="inlineStr">
        <is>
          <t>0</t>
        </is>
      </c>
      <c r="AY76" s="24" t="b">
        <v>1</v>
      </c>
      <c r="AZ76" s="24" t="b">
        <v>0</v>
      </c>
      <c r="BA76" s="24" t="b">
        <v>0</v>
      </c>
      <c r="BB76" s="24" t="n">
        <v>345</v>
      </c>
      <c r="BC76" s="24" t="n">
        <v>2430</v>
      </c>
      <c r="BD76" s="24" t="n"/>
      <c r="BE76" s="24" t="inlineStr">
        <is>
          <t>https://africanmarketingconfederation.org/sub-committees/::low_aeo_readiness_score | https://africanmarketingconfederation.org/sub-committees/::no_compression_header | https://africanmarketingconfederation.org/sub-committees/::no_cache-control_header | https://africanmarketingconfederation.org/sub-committees/::no_etag_header | https://africanmarketingconfederation.org/sub-committees/::no_faq_qa_schema | https://africanmarketingconfederation.org/sub-committees/::no_question_headings | https://africanmarketingconfederation.org/sub-committees/::no_answer-friendly_structure | https://africanmarketingconfederation.org/sub-committees/::no_40-60_word_answer_paragraphs</t>
        </is>
      </c>
      <c r="BF76" s="27" t="n">
        <v>1</v>
      </c>
      <c r="BG76" s="27" t="b">
        <v>0</v>
      </c>
      <c r="BH76">
        <f>IFERROR(HYPERLINK("#Main!A"&amp;MATCH(A76,Main!A:A,0),"Open"),HYPERLINK("#Main!A1","Open"))</f>
        <v/>
      </c>
    </row>
    <row r="77" ht="30" customHeight="1">
      <c r="A77" s="33" t="inlineStr">
        <is>
          <t>https://africanmarketingconfederation.org/subscribe/</t>
        </is>
      </c>
      <c r="B77" s="4" t="n">
        <v>200</v>
      </c>
      <c r="C77" s="6" t="inlineStr">
        <is>
          <t>2xx</t>
        </is>
      </c>
      <c r="D77" s="6" t="n">
        <v>59</v>
      </c>
      <c r="E77" s="25" t="inlineStr">
        <is>
          <t>Warning</t>
        </is>
      </c>
      <c r="F77" s="6" t="inlineStr">
        <is>
          <t>Yes</t>
        </is>
      </c>
      <c r="G77" s="4" t="inlineStr">
        <is>
          <t>Indexable</t>
        </is>
      </c>
      <c r="H77" s="6" t="n">
        <v>57.14</v>
      </c>
      <c r="I77" s="6" t="n">
        <v>95.25</v>
      </c>
      <c r="J77" s="30" t="inlineStr">
        <is>
          <t>https://africanmarketingconfederation.org/subscribe/</t>
        </is>
      </c>
      <c r="K77" s="30" t="inlineStr">
        <is>
          <t>https</t>
        </is>
      </c>
      <c r="L77" s="6" t="n">
        <v>0</v>
      </c>
      <c r="M77" s="6" t="inlineStr">
        <is>
          <t>Copy Writer</t>
        </is>
      </c>
      <c r="N77" s="25" t="inlineStr">
        <is>
          <t>Open</t>
        </is>
      </c>
      <c r="O77" s="6" t="inlineStr"/>
      <c r="P77" s="6" t="inlineStr">
        <is>
          <t>WARN 🟡</t>
        </is>
      </c>
      <c r="Q77" s="6" t="inlineStr">
        <is>
          <t>https</t>
        </is>
      </c>
      <c r="R77" s="6" t="n">
        <v>0</v>
      </c>
      <c r="S77" s="6" t="inlineStr">
        <is>
          <t>text/html; charset=UTF-8</t>
        </is>
      </c>
      <c r="T77" s="30" t="inlineStr">
        <is>
          <t>HTTP/1.1</t>
        </is>
      </c>
      <c r="U77" s="6" t="b">
        <v>0</v>
      </c>
      <c r="V77" s="6" t="inlineStr">
        <is>
          <t>text/html; charset=UTF-8</t>
        </is>
      </c>
      <c r="W77" s="6" t="inlineStr">
        <is>
          <t>HTTP/1.1</t>
        </is>
      </c>
      <c r="X77" s="6" t="n">
        <v>335.75</v>
      </c>
      <c r="Y77" s="25" t="b">
        <v>0</v>
      </c>
      <c r="Z77" s="6" t="n"/>
      <c r="AA77" s="6" t="n"/>
      <c r="AB77" s="6" t="n"/>
      <c r="AC77" s="6" t="n"/>
      <c r="AD77" s="30" t="n"/>
      <c r="AE77" s="30" t="n"/>
      <c r="AF77" s="25" t="b">
        <v>0</v>
      </c>
      <c r="AG77" s="25" t="b">
        <v>0</v>
      </c>
      <c r="AH77" s="6" t="n">
        <v>0</v>
      </c>
      <c r="AI77" s="6" t="b">
        <v>0</v>
      </c>
      <c r="AJ77" s="6" t="n"/>
      <c r="AK77" s="6" t="b">
        <v>0</v>
      </c>
      <c r="AL77" s="25" t="b">
        <v>0</v>
      </c>
      <c r="AM77" s="6" t="b">
        <v>0</v>
      </c>
      <c r="AN77" s="6" t="b">
        <v>0</v>
      </c>
      <c r="AO77" s="6" t="n"/>
      <c r="AP77" s="6" t="n"/>
      <c r="AQ77" s="6" t="inlineStr">
        <is>
          <t>2024-08-28T07:27:46+00:00</t>
        </is>
      </c>
      <c r="AR77" s="6" t="inlineStr">
        <is>
          <t>2024-08-28T07:27:46+00:00</t>
        </is>
      </c>
      <c r="AS77" s="6" t="inlineStr">
        <is>
          <t>weekly</t>
        </is>
      </c>
      <c r="AT77" s="6" t="inlineStr">
        <is>
          <t>0.7</t>
        </is>
      </c>
      <c r="AU77" s="6" t="n">
        <v>0</v>
      </c>
      <c r="AV77" s="6" t="n">
        <v>2</v>
      </c>
      <c r="AW77" s="6" t="n">
        <v>7</v>
      </c>
      <c r="AX77" s="6" t="inlineStr">
        <is>
          <t>0</t>
        </is>
      </c>
      <c r="AY77" s="6" t="b">
        <v>1</v>
      </c>
      <c r="AZ77" s="6" t="b">
        <v>0</v>
      </c>
      <c r="BA77" s="6" t="b">
        <v>0</v>
      </c>
      <c r="BB77" s="6" t="n">
        <v>309</v>
      </c>
      <c r="BC77" s="6" t="n">
        <v>7291</v>
      </c>
      <c r="BD77" s="6" t="n"/>
      <c r="BE77" s="6" t="inlineStr">
        <is>
          <t>https://africanmarketingconfederation.org/subscribe/::missing_h1 | https://africanmarketingconfederation.org/subscribe/::low_aeo_readiness_score | https://africanmarketingconfederation.org/subscribe/::no_compression_header | https://africanmarketingconfederation.org/subscribe/::no_cache-control_header | https://africanmarketingconfederation.org/subscribe/::no_etag_header | https://africanmarketingconfederation.org/subscribe/::no_faq_qa_schema | https://africanmarketingconfederation.org/subscribe/::no_question_headings | https://africanmarketingconfederation.org/subscribe/::no_answer-friendly_structure | https://africanmarketingconfederation.org/subscribe/::no_40-60_word_answer_paragraphs</t>
        </is>
      </c>
      <c r="BF77" s="30" t="n">
        <v>1</v>
      </c>
      <c r="BG77" s="30" t="b">
        <v>0</v>
      </c>
      <c r="BH77">
        <f>IFERROR(HYPERLINK("#Main!A"&amp;MATCH(A77,Main!A:A,0),"Open"),HYPERLINK("#Main!A1","Open"))</f>
        <v/>
      </c>
    </row>
    <row r="78" ht="30" customHeight="1">
      <c r="A78" s="33" t="inlineStr">
        <is>
          <t>https://africanmarketingconfederation.org/test-homeslider/</t>
        </is>
      </c>
      <c r="B78" s="4" t="n">
        <v>200</v>
      </c>
      <c r="C78" s="24" t="inlineStr">
        <is>
          <t>2xx</t>
        </is>
      </c>
      <c r="D78" s="24" t="n">
        <v>49</v>
      </c>
      <c r="E78" s="25" t="inlineStr">
        <is>
          <t>Warning</t>
        </is>
      </c>
      <c r="F78" s="24" t="inlineStr">
        <is>
          <t>Yes</t>
        </is>
      </c>
      <c r="G78" s="4" t="inlineStr">
        <is>
          <t>Indexable</t>
        </is>
      </c>
      <c r="H78" s="24" t="n">
        <v>51.02</v>
      </c>
      <c r="I78" s="24" t="n">
        <v>210.8</v>
      </c>
      <c r="J78" s="27" t="inlineStr">
        <is>
          <t>https://africanmarketingconfederation.org/test-homeslider/</t>
        </is>
      </c>
      <c r="K78" s="27" t="inlineStr">
        <is>
          <t>https</t>
        </is>
      </c>
      <c r="L78" s="24" t="n">
        <v>0</v>
      </c>
      <c r="M78" s="24" t="inlineStr">
        <is>
          <t>Copy Writer</t>
        </is>
      </c>
      <c r="N78" s="25" t="inlineStr">
        <is>
          <t>Open</t>
        </is>
      </c>
      <c r="O78" s="24" t="inlineStr"/>
      <c r="P78" s="24" t="inlineStr">
        <is>
          <t>WARN 🟡</t>
        </is>
      </c>
      <c r="Q78" s="24" t="inlineStr">
        <is>
          <t>https</t>
        </is>
      </c>
      <c r="R78" s="24" t="n">
        <v>0</v>
      </c>
      <c r="S78" s="24" t="inlineStr">
        <is>
          <t>text/html; charset=UTF-8</t>
        </is>
      </c>
      <c r="T78" s="27" t="inlineStr">
        <is>
          <t>HTTP/1.1</t>
        </is>
      </c>
      <c r="U78" s="24" t="b">
        <v>0</v>
      </c>
      <c r="V78" s="24" t="inlineStr">
        <is>
          <t>text/html; charset=UTF-8</t>
        </is>
      </c>
      <c r="W78" s="24" t="inlineStr">
        <is>
          <t>HTTP/1.1</t>
        </is>
      </c>
      <c r="X78" s="24" t="n">
        <v>248.68</v>
      </c>
      <c r="Y78" s="25" t="b">
        <v>0</v>
      </c>
      <c r="Z78" s="24" t="n"/>
      <c r="AA78" s="24" t="n"/>
      <c r="AB78" s="24" t="n"/>
      <c r="AC78" s="24" t="n"/>
      <c r="AD78" s="27" t="n"/>
      <c r="AE78" s="27" t="n"/>
      <c r="AF78" s="25" t="b">
        <v>0</v>
      </c>
      <c r="AG78" s="25" t="b">
        <v>0</v>
      </c>
      <c r="AH78" s="24" t="n">
        <v>0</v>
      </c>
      <c r="AI78" s="24" t="b">
        <v>0</v>
      </c>
      <c r="AJ78" s="24" t="n"/>
      <c r="AK78" s="24" t="b">
        <v>0</v>
      </c>
      <c r="AL78" s="25" t="b">
        <v>0</v>
      </c>
      <c r="AM78" s="24" t="b">
        <v>0</v>
      </c>
      <c r="AN78" s="24" t="b">
        <v>0</v>
      </c>
      <c r="AO78" s="24" t="n"/>
      <c r="AP78" s="24" t="n"/>
      <c r="AQ78" s="24" t="inlineStr">
        <is>
          <t>2022-01-14T11:59:51+00:00</t>
        </is>
      </c>
      <c r="AR78" s="24" t="inlineStr">
        <is>
          <t>2022-01-14T11:59:51+00:00</t>
        </is>
      </c>
      <c r="AS78" s="24" t="inlineStr">
        <is>
          <t>weekly</t>
        </is>
      </c>
      <c r="AT78" s="24" t="inlineStr">
        <is>
          <t>0.7</t>
        </is>
      </c>
      <c r="AU78" s="24" t="n">
        <v>0</v>
      </c>
      <c r="AV78" s="24" t="n">
        <v>3</v>
      </c>
      <c r="AW78" s="24" t="n">
        <v>7</v>
      </c>
      <c r="AX78" s="24" t="inlineStr">
        <is>
          <t>0</t>
        </is>
      </c>
      <c r="AY78" s="24" t="b">
        <v>1</v>
      </c>
      <c r="AZ78" s="24" t="b">
        <v>0</v>
      </c>
      <c r="BA78" s="24" t="b">
        <v>0</v>
      </c>
      <c r="BB78" s="24" t="n">
        <v>352</v>
      </c>
      <c r="BC78" s="24" t="n">
        <v>2300</v>
      </c>
      <c r="BD78" s="24" t="n"/>
      <c r="BE78" s="24" t="inlineStr">
        <is>
          <t>https://africanmarketingconfederation.org/test-homeslider/::missing_h1 | https://africanmarketingconfederation.org/test-homeslider/::thin_content | https://africanmarketingconfederation.org/test-homeslider/::low_aeo_readiness_score | https://africanmarketingconfederation.org/test-homeslider/::no_compression_header | https://africanmarketingconfederation.org/test-homeslider/::no_cache-control_header | https://africanmarketingconfederation.org/test-homeslider/::no_etag_header | https://africanmarketingconfederation.org/test-homeslider/::no_faq_qa_schema | https://africanmarketingconfederation.org/test-homeslider/::no_question_headings | https://africanmarketingconfederation.org/test-homeslider/::no_answer-friendly_structure | https://africanmarketingconfederation.org/test-homeslider/::no_40-60_word_answer_paragraphs</t>
        </is>
      </c>
      <c r="BF78" s="27" t="n">
        <v>1</v>
      </c>
      <c r="BG78" s="27" t="b">
        <v>0</v>
      </c>
      <c r="BH78">
        <f>IFERROR(HYPERLINK("#Main!A"&amp;MATCH(A78,Main!A:A,0),"Open"),HYPERLINK("#Main!A1","Open"))</f>
        <v/>
      </c>
    </row>
    <row r="79" ht="30" customHeight="1">
      <c r="A79" s="33" t="inlineStr">
        <is>
          <t>https://africanmarketingconfederation.org/test-payment-gate/</t>
        </is>
      </c>
      <c r="B79" s="4" t="n">
        <v>200</v>
      </c>
      <c r="C79" s="6" t="inlineStr">
        <is>
          <t>2xx</t>
        </is>
      </c>
      <c r="D79" s="6" t="n">
        <v>49</v>
      </c>
      <c r="E79" s="25" t="inlineStr">
        <is>
          <t>Warning</t>
        </is>
      </c>
      <c r="F79" s="6" t="inlineStr">
        <is>
          <t>Yes</t>
        </is>
      </c>
      <c r="G79" s="4" t="inlineStr">
        <is>
          <t>Indexable</t>
        </is>
      </c>
      <c r="H79" s="6" t="n">
        <v>61.88</v>
      </c>
      <c r="I79" s="6" t="n">
        <v>128.55</v>
      </c>
      <c r="J79" s="30" t="inlineStr">
        <is>
          <t>https://africanmarketingconfederation.org/test-payment-gate/</t>
        </is>
      </c>
      <c r="K79" s="30" t="inlineStr">
        <is>
          <t>https</t>
        </is>
      </c>
      <c r="L79" s="6" t="n">
        <v>0</v>
      </c>
      <c r="M79" s="6" t="inlineStr">
        <is>
          <t>Copy Writer</t>
        </is>
      </c>
      <c r="N79" s="25" t="inlineStr">
        <is>
          <t>Open</t>
        </is>
      </c>
      <c r="O79" s="6" t="inlineStr"/>
      <c r="P79" s="6" t="inlineStr">
        <is>
          <t>WARN 🟡</t>
        </is>
      </c>
      <c r="Q79" s="6" t="inlineStr">
        <is>
          <t>https</t>
        </is>
      </c>
      <c r="R79" s="6" t="n">
        <v>0</v>
      </c>
      <c r="S79" s="6" t="inlineStr">
        <is>
          <t>text/html; charset=UTF-8</t>
        </is>
      </c>
      <c r="T79" s="30" t="inlineStr">
        <is>
          <t>HTTP/1.1</t>
        </is>
      </c>
      <c r="U79" s="6" t="b">
        <v>0</v>
      </c>
      <c r="V79" s="6" t="inlineStr">
        <is>
          <t>text/html; charset=UTF-8</t>
        </is>
      </c>
      <c r="W79" s="6" t="inlineStr">
        <is>
          <t>HTTP/1.1</t>
        </is>
      </c>
      <c r="X79" s="6" t="n">
        <v>401.37</v>
      </c>
      <c r="Y79" s="25" t="b">
        <v>0</v>
      </c>
      <c r="Z79" s="6" t="n"/>
      <c r="AA79" s="6" t="n"/>
      <c r="AB79" s="6" t="n"/>
      <c r="AC79" s="6" t="n"/>
      <c r="AD79" s="30" t="n"/>
      <c r="AE79" s="30" t="n"/>
      <c r="AF79" s="25" t="b">
        <v>0</v>
      </c>
      <c r="AG79" s="25" t="b">
        <v>0</v>
      </c>
      <c r="AH79" s="6" t="n">
        <v>0</v>
      </c>
      <c r="AI79" s="6" t="b">
        <v>0</v>
      </c>
      <c r="AJ79" s="6" t="n"/>
      <c r="AK79" s="6" t="b">
        <v>0</v>
      </c>
      <c r="AL79" s="25" t="b">
        <v>0</v>
      </c>
      <c r="AM79" s="6" t="b">
        <v>0</v>
      </c>
      <c r="AN79" s="6" t="b">
        <v>0</v>
      </c>
      <c r="AO79" s="6" t="n"/>
      <c r="AP79" s="6" t="n"/>
      <c r="AQ79" s="6" t="inlineStr">
        <is>
          <t>2025-06-24T13:09:52+00:00</t>
        </is>
      </c>
      <c r="AR79" s="6" t="inlineStr">
        <is>
          <t>2025-06-24T13:09:52+00:00</t>
        </is>
      </c>
      <c r="AS79" s="6" t="inlineStr">
        <is>
          <t>weekly</t>
        </is>
      </c>
      <c r="AT79" s="6" t="inlineStr">
        <is>
          <t>0.7</t>
        </is>
      </c>
      <c r="AU79" s="6" t="n">
        <v>0</v>
      </c>
      <c r="AV79" s="6" t="n">
        <v>3</v>
      </c>
      <c r="AW79" s="6" t="n">
        <v>7</v>
      </c>
      <c r="AX79" s="6" t="inlineStr">
        <is>
          <t>0</t>
        </is>
      </c>
      <c r="AY79" s="6" t="b">
        <v>1</v>
      </c>
      <c r="AZ79" s="6" t="b">
        <v>0</v>
      </c>
      <c r="BA79" s="6" t="b">
        <v>0</v>
      </c>
      <c r="BB79" s="6" t="n">
        <v>367</v>
      </c>
      <c r="BC79" s="6" t="n">
        <v>1897</v>
      </c>
      <c r="BD79" s="6" t="n"/>
      <c r="BE79" s="6" t="inlineStr">
        <is>
          <t>https://africanmarketingconfederation.org/test-payment-gate/::missing_h1 | https://africanmarketingconfederation.org/test-payment-gate/::thin_content | https://africanmarketingconfederation.org/test-payment-gate/::low_aeo_readiness_score | https://africanmarketingconfederation.org/test-payment-gate/::no_compression_header | https://africanmarketingconfederation.org/test-payment-gate/::no_cache-control_header | https://africanmarketingconfederation.org/test-payment-gate/::no_etag_header | https://africanmarketingconfederation.org/test-payment-gate/::no_faq_qa_schema | https://africanmarketingconfederation.org/test-payment-gate/::no_question_headings | https://africanmarketingconfederation.org/test-payment-gate/::no_answer-friendly_structure | https://africanmarketingconfederation.org/test-payment-gate/::no_40-60_word_answer_paragraphs</t>
        </is>
      </c>
      <c r="BF79" s="30" t="n">
        <v>1</v>
      </c>
      <c r="BG79" s="30" t="b">
        <v>0</v>
      </c>
      <c r="BH79">
        <f>IFERROR(HYPERLINK("#Main!A"&amp;MATCH(A79,Main!A:A,0),"Open"),HYPERLINK("#Main!A1","Open"))</f>
        <v/>
      </c>
    </row>
    <row r="80" ht="30" customHeight="1">
      <c r="A80" s="33" t="inlineStr">
        <is>
          <t>https://africanmarketingconfederation.org/thank-you-for-registering-2024-registrations-kenya/</t>
        </is>
      </c>
      <c r="B80" s="4" t="n">
        <v>200</v>
      </c>
      <c r="C80" s="24" t="inlineStr">
        <is>
          <t>2xx</t>
        </is>
      </c>
      <c r="D80" s="24" t="n">
        <v>49</v>
      </c>
      <c r="E80" s="25" t="inlineStr">
        <is>
          <t>Warning</t>
        </is>
      </c>
      <c r="F80" s="24" t="inlineStr">
        <is>
          <t>Yes</t>
        </is>
      </c>
      <c r="G80" s="4" t="inlineStr">
        <is>
          <t>Indexable</t>
        </is>
      </c>
      <c r="H80" s="24" t="n">
        <v>46.32</v>
      </c>
      <c r="I80" s="24" t="n">
        <v>84.20999999999999</v>
      </c>
      <c r="J80" s="27" t="inlineStr">
        <is>
          <t>https://africanmarketingconfederation.org/thank-you-for-registering-2024-registrations-kenya/</t>
        </is>
      </c>
      <c r="K80" s="27" t="inlineStr">
        <is>
          <t>https</t>
        </is>
      </c>
      <c r="L80" s="24" t="n">
        <v>0</v>
      </c>
      <c r="M80" s="24" t="inlineStr">
        <is>
          <t>Copy Writer</t>
        </is>
      </c>
      <c r="N80" s="25" t="inlineStr">
        <is>
          <t>Open</t>
        </is>
      </c>
      <c r="O80" s="24" t="inlineStr"/>
      <c r="P80" s="24" t="inlineStr">
        <is>
          <t>WARN 🟡</t>
        </is>
      </c>
      <c r="Q80" s="24" t="inlineStr">
        <is>
          <t>https</t>
        </is>
      </c>
      <c r="R80" s="24" t="n">
        <v>0</v>
      </c>
      <c r="S80" s="24" t="inlineStr">
        <is>
          <t>text/html; charset=UTF-8</t>
        </is>
      </c>
      <c r="T80" s="27" t="inlineStr">
        <is>
          <t>HTTP/1.1</t>
        </is>
      </c>
      <c r="U80" s="24" t="b">
        <v>0</v>
      </c>
      <c r="V80" s="24" t="inlineStr">
        <is>
          <t>text/html; charset=UTF-8</t>
        </is>
      </c>
      <c r="W80" s="24" t="inlineStr">
        <is>
          <t>HTTP/1.1</t>
        </is>
      </c>
      <c r="X80" s="24" t="n">
        <v>262.35</v>
      </c>
      <c r="Y80" s="25" t="b">
        <v>0</v>
      </c>
      <c r="Z80" s="24" t="n"/>
      <c r="AA80" s="24" t="n"/>
      <c r="AB80" s="24" t="n"/>
      <c r="AC80" s="24" t="n"/>
      <c r="AD80" s="27" t="n"/>
      <c r="AE80" s="27" t="n"/>
      <c r="AF80" s="25" t="b">
        <v>0</v>
      </c>
      <c r="AG80" s="25" t="b">
        <v>0</v>
      </c>
      <c r="AH80" s="24" t="n">
        <v>0</v>
      </c>
      <c r="AI80" s="24" t="b">
        <v>0</v>
      </c>
      <c r="AJ80" s="24" t="n"/>
      <c r="AK80" s="24" t="b">
        <v>0</v>
      </c>
      <c r="AL80" s="25" t="b">
        <v>0</v>
      </c>
      <c r="AM80" s="24" t="b">
        <v>0</v>
      </c>
      <c r="AN80" s="24" t="b">
        <v>0</v>
      </c>
      <c r="AO80" s="24" t="n"/>
      <c r="AP80" s="24" t="n"/>
      <c r="AQ80" s="24" t="inlineStr">
        <is>
          <t>2024-09-12T07:26:50+00:00</t>
        </is>
      </c>
      <c r="AR80" s="24" t="inlineStr">
        <is>
          <t>2024-09-12T07:26:50+00:00</t>
        </is>
      </c>
      <c r="AS80" s="24" t="inlineStr">
        <is>
          <t>weekly</t>
        </is>
      </c>
      <c r="AT80" s="24" t="inlineStr">
        <is>
          <t>0.7</t>
        </is>
      </c>
      <c r="AU80" s="24" t="n">
        <v>0</v>
      </c>
      <c r="AV80" s="24" t="n">
        <v>3</v>
      </c>
      <c r="AW80" s="24" t="n">
        <v>7</v>
      </c>
      <c r="AX80" s="24" t="inlineStr">
        <is>
          <t>0</t>
        </is>
      </c>
      <c r="AY80" s="24" t="b">
        <v>1</v>
      </c>
      <c r="AZ80" s="24" t="b">
        <v>0</v>
      </c>
      <c r="BA80" s="24" t="b">
        <v>0</v>
      </c>
      <c r="BB80" s="24" t="n">
        <v>604</v>
      </c>
      <c r="BC80" s="24" t="n">
        <v>657</v>
      </c>
      <c r="BD80" s="24" t="n"/>
      <c r="BE80" s="24" t="inlineStr">
        <is>
          <t>https://africanmarketingconfederation.org/thank-you-for-registering-2024-registrations-kenya/::missing_h1 | https://africanmarketingconfederation.org/thank-you-for-registering-2024-registrations-kenya/::thin_content | https://africanmarketingconfederation.org/thank-you-for-registering-2024-registrations-kenya/::low_aeo_readiness_score | https://africanmarketingconfederation.org/thank-you-for-registering-2024-registrations-kenya/::no_compression_header | https://africanmarketingconfederation.org/thank-you-for-registering-2024-registrations-kenya/::no_cache-control_header | https://africanmarketingconfederation.org/thank-you-for-registering-2024-registrations-kenya/::no_etag_header | https://africanmarketingconfederation.org/thank-you-for-registering-2024-registrations-kenya/::no_faq_qa_schema | https://africanmarketingconfederation.org/thank-you-for-registering-2024-registrations-kenya/::no_question_headings | https://africanmarketingconfederation.org/thank-you-for-registering-2024-registrations-kenya/::no_answer-friendly_structure | https://africanmarketingconfederation.org/thank-you-for-registering-2024-registrations-kenya/::no_40-60_word_answer_paragraphs</t>
        </is>
      </c>
      <c r="BF80" s="27" t="n">
        <v>1</v>
      </c>
      <c r="BG80" s="27" t="b">
        <v>0</v>
      </c>
      <c r="BH80">
        <f>IFERROR(HYPERLINK("#Main!A"&amp;MATCH(A80,Main!A:A,0),"Open"),HYPERLINK("#Main!A1","Open"))</f>
        <v/>
      </c>
    </row>
    <row r="81" ht="30" customHeight="1">
      <c r="A81" s="33" t="inlineStr">
        <is>
          <t>https://africanmarketingconfederation.org/thank-you-for-registering-2024-registrations/</t>
        </is>
      </c>
      <c r="B81" s="4" t="n">
        <v>200</v>
      </c>
      <c r="C81" s="6" t="inlineStr">
        <is>
          <t>2xx</t>
        </is>
      </c>
      <c r="D81" s="6" t="n">
        <v>49</v>
      </c>
      <c r="E81" s="25" t="inlineStr">
        <is>
          <t>Warning</t>
        </is>
      </c>
      <c r="F81" s="6" t="inlineStr">
        <is>
          <t>Yes</t>
        </is>
      </c>
      <c r="G81" s="4" t="inlineStr">
        <is>
          <t>Indexable</t>
        </is>
      </c>
      <c r="H81" s="6" t="n">
        <v>48.49</v>
      </c>
      <c r="I81" s="6" t="n">
        <v>97.36</v>
      </c>
      <c r="J81" s="30" t="inlineStr">
        <is>
          <t>https://africanmarketingconfederation.org/thank-you-for-registering-2024-registrations/</t>
        </is>
      </c>
      <c r="K81" s="30" t="inlineStr">
        <is>
          <t>https</t>
        </is>
      </c>
      <c r="L81" s="6" t="n">
        <v>0</v>
      </c>
      <c r="M81" s="6" t="inlineStr">
        <is>
          <t>Copy Writer</t>
        </is>
      </c>
      <c r="N81" s="25" t="inlineStr">
        <is>
          <t>Open</t>
        </is>
      </c>
      <c r="O81" s="6" t="inlineStr"/>
      <c r="P81" s="6" t="inlineStr">
        <is>
          <t>WARN 🟡</t>
        </is>
      </c>
      <c r="Q81" s="6" t="inlineStr">
        <is>
          <t>https</t>
        </is>
      </c>
      <c r="R81" s="6" t="n">
        <v>0</v>
      </c>
      <c r="S81" s="6" t="inlineStr">
        <is>
          <t>text/html; charset=UTF-8</t>
        </is>
      </c>
      <c r="T81" s="30" t="inlineStr">
        <is>
          <t>HTTP/1.1</t>
        </is>
      </c>
      <c r="U81" s="6" t="b">
        <v>0</v>
      </c>
      <c r="V81" s="6" t="inlineStr">
        <is>
          <t>text/html; charset=UTF-8</t>
        </is>
      </c>
      <c r="W81" s="6" t="inlineStr">
        <is>
          <t>HTTP/1.1</t>
        </is>
      </c>
      <c r="X81" s="6" t="n">
        <v>266.87</v>
      </c>
      <c r="Y81" s="25" t="b">
        <v>0</v>
      </c>
      <c r="Z81" s="6" t="n"/>
      <c r="AA81" s="6" t="n"/>
      <c r="AB81" s="6" t="n"/>
      <c r="AC81" s="6" t="n"/>
      <c r="AD81" s="30" t="n"/>
      <c r="AE81" s="30" t="n"/>
      <c r="AF81" s="25" t="b">
        <v>0</v>
      </c>
      <c r="AG81" s="25" t="b">
        <v>0</v>
      </c>
      <c r="AH81" s="6" t="n">
        <v>0</v>
      </c>
      <c r="AI81" s="6" t="b">
        <v>0</v>
      </c>
      <c r="AJ81" s="6" t="n"/>
      <c r="AK81" s="6" t="b">
        <v>0</v>
      </c>
      <c r="AL81" s="25" t="b">
        <v>0</v>
      </c>
      <c r="AM81" s="6" t="b">
        <v>0</v>
      </c>
      <c r="AN81" s="6" t="b">
        <v>0</v>
      </c>
      <c r="AO81" s="6" t="n"/>
      <c r="AP81" s="6" t="n"/>
      <c r="AQ81" s="6" t="inlineStr">
        <is>
          <t>2024-09-18T09:45:04+00:00</t>
        </is>
      </c>
      <c r="AR81" s="6" t="inlineStr">
        <is>
          <t>2024-09-18T09:45:04+00:00</t>
        </is>
      </c>
      <c r="AS81" s="6" t="inlineStr">
        <is>
          <t>weekly</t>
        </is>
      </c>
      <c r="AT81" s="6" t="inlineStr">
        <is>
          <t>0.7</t>
        </is>
      </c>
      <c r="AU81" s="6" t="n">
        <v>0</v>
      </c>
      <c r="AV81" s="6" t="n">
        <v>3</v>
      </c>
      <c r="AW81" s="6" t="n">
        <v>7</v>
      </c>
      <c r="AX81" s="6" t="inlineStr">
        <is>
          <t>0</t>
        </is>
      </c>
      <c r="AY81" s="6" t="b">
        <v>1</v>
      </c>
      <c r="AZ81" s="6" t="b">
        <v>0</v>
      </c>
      <c r="BA81" s="6" t="b">
        <v>0</v>
      </c>
      <c r="BB81" s="6" t="n">
        <v>561</v>
      </c>
      <c r="BC81" s="6" t="n">
        <v>1190</v>
      </c>
      <c r="BD81" s="6" t="n"/>
      <c r="BE81" s="6" t="inlineStr">
        <is>
          <t>https://africanmarketingconfederation.org/thank-you-for-registering-2024-registrations/::missing_h1 | https://africanmarketingconfederation.org/thank-you-for-registering-2024-registrations/::thin_content | https://africanmarketingconfederation.org/thank-you-for-registering-2024-registrations/::low_aeo_readiness_score | https://africanmarketingconfederation.org/thank-you-for-registering-2024-registrations/::no_compression_header | https://africanmarketingconfederation.org/thank-you-for-registering-2024-registrations/::no_cache-control_header | https://africanmarketingconfederation.org/thank-you-for-registering-2024-registrations/::no_etag_header | https://africanmarketingconfederation.org/thank-you-for-registering-2024-registrations/::no_faq_qa_schema | https://africanmarketingconfederation.org/thank-you-for-registering-2024-registrations/::no_question_headings | https://africanmarketingconfederation.org/thank-you-for-registering-2024-registrations/::no_answer-friendly_structure | https://africanmarketingconfederation.org/thank-you-for-registering-2024-registrations/::no_40-60_word_answer_paragraphs</t>
        </is>
      </c>
      <c r="BF81" s="30" t="n">
        <v>1</v>
      </c>
      <c r="BG81" s="30" t="b">
        <v>0</v>
      </c>
      <c r="BH81">
        <f>IFERROR(HYPERLINK("#Main!A"&amp;MATCH(A81,Main!A:A,0),"Open"),HYPERLINK("#Main!A1","Open"))</f>
        <v/>
      </c>
    </row>
    <row r="82" ht="30" customHeight="1">
      <c r="A82" s="33" t="inlineStr">
        <is>
          <t>https://africanmarketingconfederation.org/thank-you-for-subscribing/</t>
        </is>
      </c>
      <c r="B82" s="4" t="n">
        <v>200</v>
      </c>
      <c r="C82" s="24" t="inlineStr">
        <is>
          <t>2xx</t>
        </is>
      </c>
      <c r="D82" s="24" t="n">
        <v>49</v>
      </c>
      <c r="E82" s="25" t="inlineStr">
        <is>
          <t>Warning</t>
        </is>
      </c>
      <c r="F82" s="24" t="inlineStr">
        <is>
          <t>Yes</t>
        </is>
      </c>
      <c r="G82" s="4" t="inlineStr">
        <is>
          <t>Indexable</t>
        </is>
      </c>
      <c r="H82" s="24" t="n">
        <v>65.66</v>
      </c>
      <c r="I82" s="24" t="n">
        <v>148.26</v>
      </c>
      <c r="J82" s="27" t="inlineStr">
        <is>
          <t>https://africanmarketingconfederation.org/thank-you-for-subscribing/</t>
        </is>
      </c>
      <c r="K82" s="27" t="inlineStr">
        <is>
          <t>https</t>
        </is>
      </c>
      <c r="L82" s="24" t="n">
        <v>0</v>
      </c>
      <c r="M82" s="24" t="inlineStr">
        <is>
          <t>Copy Writer</t>
        </is>
      </c>
      <c r="N82" s="25" t="inlineStr">
        <is>
          <t>Open</t>
        </is>
      </c>
      <c r="O82" s="24" t="inlineStr"/>
      <c r="P82" s="24" t="inlineStr">
        <is>
          <t>WARN 🟡</t>
        </is>
      </c>
      <c r="Q82" s="24" t="inlineStr">
        <is>
          <t>https</t>
        </is>
      </c>
      <c r="R82" s="24" t="n">
        <v>0</v>
      </c>
      <c r="S82" s="24" t="inlineStr">
        <is>
          <t>text/html; charset=UTF-8</t>
        </is>
      </c>
      <c r="T82" s="27" t="inlineStr">
        <is>
          <t>HTTP/1.1</t>
        </is>
      </c>
      <c r="U82" s="24" t="b">
        <v>0</v>
      </c>
      <c r="V82" s="24" t="inlineStr">
        <is>
          <t>text/html; charset=UTF-8</t>
        </is>
      </c>
      <c r="W82" s="24" t="inlineStr">
        <is>
          <t>HTTP/1.1</t>
        </is>
      </c>
      <c r="X82" s="24" t="n">
        <v>252.37</v>
      </c>
      <c r="Y82" s="25" t="b">
        <v>0</v>
      </c>
      <c r="Z82" s="24" t="n"/>
      <c r="AA82" s="24" t="n"/>
      <c r="AB82" s="24" t="n"/>
      <c r="AC82" s="24" t="n"/>
      <c r="AD82" s="27" t="n"/>
      <c r="AE82" s="27" t="n"/>
      <c r="AF82" s="25" t="b">
        <v>0</v>
      </c>
      <c r="AG82" s="25" t="b">
        <v>0</v>
      </c>
      <c r="AH82" s="24" t="n">
        <v>0</v>
      </c>
      <c r="AI82" s="24" t="b">
        <v>0</v>
      </c>
      <c r="AJ82" s="24" t="n"/>
      <c r="AK82" s="24" t="b">
        <v>0</v>
      </c>
      <c r="AL82" s="25" t="b">
        <v>0</v>
      </c>
      <c r="AM82" s="24" t="b">
        <v>0</v>
      </c>
      <c r="AN82" s="24" t="b">
        <v>0</v>
      </c>
      <c r="AO82" s="24" t="n"/>
      <c r="AP82" s="24" t="n"/>
      <c r="AQ82" s="24" t="inlineStr">
        <is>
          <t>2022-07-20T13:41:07+00:00</t>
        </is>
      </c>
      <c r="AR82" s="24" t="inlineStr">
        <is>
          <t>2022-07-20T13:41:07+00:00</t>
        </is>
      </c>
      <c r="AS82" s="24" t="inlineStr">
        <is>
          <t>weekly</t>
        </is>
      </c>
      <c r="AT82" s="24" t="inlineStr">
        <is>
          <t>0.7</t>
        </is>
      </c>
      <c r="AU82" s="24" t="n">
        <v>0</v>
      </c>
      <c r="AV82" s="24" t="n">
        <v>3</v>
      </c>
      <c r="AW82" s="24" t="n">
        <v>7</v>
      </c>
      <c r="AX82" s="24" t="inlineStr">
        <is>
          <t>0</t>
        </is>
      </c>
      <c r="AY82" s="24" t="b">
        <v>1</v>
      </c>
      <c r="AZ82" s="24" t="b">
        <v>0</v>
      </c>
      <c r="BA82" s="24" t="b">
        <v>0</v>
      </c>
      <c r="BB82" s="24" t="n">
        <v>424</v>
      </c>
      <c r="BC82" s="24" t="n">
        <v>2139</v>
      </c>
      <c r="BD82" s="24" t="n"/>
      <c r="BE82" s="24" t="inlineStr">
        <is>
          <t>https://africanmarketingconfederation.org/thank-you-for-subscribing/::missing_h1 | https://africanmarketingconfederation.org/thank-you-for-subscribing/::thin_content | https://africanmarketingconfederation.org/thank-you-for-subscribing/::low_aeo_readiness_score | https://africanmarketingconfederation.org/thank-you-for-subscribing/::no_compression_header | https://africanmarketingconfederation.org/thank-you-for-subscribing/::no_cache-control_header | https://africanmarketingconfederation.org/thank-you-for-subscribing/::no_etag_header | https://africanmarketingconfederation.org/thank-you-for-subscribing/::no_faq_qa_schema | https://africanmarketingconfederation.org/thank-you-for-subscribing/::no_question_headings | https://africanmarketingconfederation.org/thank-you-for-subscribing/::no_answer-friendly_structure | https://africanmarketingconfederation.org/thank-you-for-subscribing/::no_40-60_word_answer_paragraphs</t>
        </is>
      </c>
      <c r="BF82" s="27" t="n">
        <v>1</v>
      </c>
      <c r="BG82" s="27" t="b">
        <v>0</v>
      </c>
      <c r="BH82">
        <f>IFERROR(HYPERLINK("#Main!A"&amp;MATCH(A82,Main!A:A,0),"Open"),HYPERLINK("#Main!A1","Open"))</f>
        <v/>
      </c>
    </row>
    <row r="83" ht="30" customHeight="1">
      <c r="A83" s="33" t="inlineStr">
        <is>
          <t>https://africanmarketingconfederation.org/thank-you-for-the-nomination-2024/</t>
        </is>
      </c>
      <c r="B83" s="4" t="n">
        <v>200</v>
      </c>
      <c r="C83" s="6" t="inlineStr">
        <is>
          <t>2xx</t>
        </is>
      </c>
      <c r="D83" s="6" t="n">
        <v>49</v>
      </c>
      <c r="E83" s="25" t="inlineStr">
        <is>
          <t>Warning</t>
        </is>
      </c>
      <c r="F83" s="6" t="inlineStr">
        <is>
          <t>Yes</t>
        </is>
      </c>
      <c r="G83" s="4" t="inlineStr">
        <is>
          <t>Indexable</t>
        </is>
      </c>
      <c r="H83" s="6" t="n">
        <v>65.47</v>
      </c>
      <c r="I83" s="6" t="n">
        <v>75.81999999999999</v>
      </c>
      <c r="J83" s="30" t="inlineStr">
        <is>
          <t>https://africanmarketingconfederation.org/thank-you-for-the-nomination-2024/</t>
        </is>
      </c>
      <c r="K83" s="30" t="inlineStr">
        <is>
          <t>https</t>
        </is>
      </c>
      <c r="L83" s="6" t="n">
        <v>0</v>
      </c>
      <c r="M83" s="6" t="inlineStr">
        <is>
          <t>Copy Writer</t>
        </is>
      </c>
      <c r="N83" s="25" t="inlineStr">
        <is>
          <t>Open</t>
        </is>
      </c>
      <c r="O83" s="6" t="inlineStr"/>
      <c r="P83" s="6" t="inlineStr">
        <is>
          <t>WARN 🟡</t>
        </is>
      </c>
      <c r="Q83" s="6" t="inlineStr">
        <is>
          <t>https</t>
        </is>
      </c>
      <c r="R83" s="6" t="n">
        <v>0</v>
      </c>
      <c r="S83" s="6" t="inlineStr">
        <is>
          <t>text/html; charset=UTF-8</t>
        </is>
      </c>
      <c r="T83" s="30" t="inlineStr">
        <is>
          <t>HTTP/1.1</t>
        </is>
      </c>
      <c r="U83" s="6" t="b">
        <v>0</v>
      </c>
      <c r="V83" s="6" t="inlineStr">
        <is>
          <t>text/html; charset=UTF-8</t>
        </is>
      </c>
      <c r="W83" s="6" t="inlineStr">
        <is>
          <t>HTTP/1.1</t>
        </is>
      </c>
      <c r="X83" s="6" t="n">
        <v>266.95</v>
      </c>
      <c r="Y83" s="25" t="b">
        <v>0</v>
      </c>
      <c r="Z83" s="6" t="n"/>
      <c r="AA83" s="6" t="n"/>
      <c r="AB83" s="6" t="n"/>
      <c r="AC83" s="6" t="n"/>
      <c r="AD83" s="30" t="n"/>
      <c r="AE83" s="30" t="n"/>
      <c r="AF83" s="25" t="b">
        <v>0</v>
      </c>
      <c r="AG83" s="25" t="b">
        <v>0</v>
      </c>
      <c r="AH83" s="6" t="n">
        <v>0</v>
      </c>
      <c r="AI83" s="6" t="b">
        <v>0</v>
      </c>
      <c r="AJ83" s="6" t="n"/>
      <c r="AK83" s="6" t="b">
        <v>0</v>
      </c>
      <c r="AL83" s="25" t="b">
        <v>0</v>
      </c>
      <c r="AM83" s="6" t="b">
        <v>0</v>
      </c>
      <c r="AN83" s="6" t="b">
        <v>0</v>
      </c>
      <c r="AO83" s="6" t="n"/>
      <c r="AP83" s="6" t="n"/>
      <c r="AQ83" s="6" t="inlineStr">
        <is>
          <t>2024-06-27T12:24:46+00:00</t>
        </is>
      </c>
      <c r="AR83" s="6" t="inlineStr">
        <is>
          <t>2024-06-27T12:24:46+00:00</t>
        </is>
      </c>
      <c r="AS83" s="6" t="inlineStr">
        <is>
          <t>weekly</t>
        </is>
      </c>
      <c r="AT83" s="6" t="inlineStr">
        <is>
          <t>0.7</t>
        </is>
      </c>
      <c r="AU83" s="6" t="n">
        <v>0</v>
      </c>
      <c r="AV83" s="6" t="n">
        <v>3</v>
      </c>
      <c r="AW83" s="6" t="n">
        <v>7</v>
      </c>
      <c r="AX83" s="6" t="inlineStr">
        <is>
          <t>0</t>
        </is>
      </c>
      <c r="AY83" s="6" t="b">
        <v>1</v>
      </c>
      <c r="AZ83" s="6" t="b">
        <v>0</v>
      </c>
      <c r="BA83" s="6" t="b">
        <v>0</v>
      </c>
      <c r="BB83" s="6" t="n">
        <v>482</v>
      </c>
      <c r="BC83" s="6" t="n">
        <v>347</v>
      </c>
      <c r="BD83" s="6" t="n"/>
      <c r="BE83" s="6" t="inlineStr">
        <is>
          <t>https://africanmarketingconfederation.org/thank-you-for-the-nomination-2024/::missing_h1 | https://africanmarketingconfederation.org/thank-you-for-the-nomination-2024/::thin_content | https://africanmarketingconfederation.org/thank-you-for-the-nomination-2024/::low_aeo_readiness_score | https://africanmarketingconfederation.org/thank-you-for-the-nomination-2024/::no_compression_header | https://africanmarketingconfederation.org/thank-you-for-the-nomination-2024/::no_cache-control_header | https://africanmarketingconfederation.org/thank-you-for-the-nomination-2024/::no_etag_header | https://africanmarketingconfederation.org/thank-you-for-the-nomination-2024/::no_faq_qa_schema | https://africanmarketingconfederation.org/thank-you-for-the-nomination-2024/::no_question_headings | https://africanmarketingconfederation.org/thank-you-for-the-nomination-2024/::no_answer-friendly_structure | https://africanmarketingconfederation.org/thank-you-for-the-nomination-2024/::no_40-60_word_answer_paragraphs</t>
        </is>
      </c>
      <c r="BF83" s="30" t="n">
        <v>1</v>
      </c>
      <c r="BG83" s="30" t="b">
        <v>0</v>
      </c>
      <c r="BH83">
        <f>IFERROR(HYPERLINK("#Main!A"&amp;MATCH(A83,Main!A:A,0),"Open"),HYPERLINK("#Main!A1","Open"))</f>
        <v/>
      </c>
    </row>
    <row r="84" ht="30" customHeight="1">
      <c r="A84" s="33" t="inlineStr">
        <is>
          <t>https://africanmarketingconfederation.org/thank-you-for-the-submission-2024/</t>
        </is>
      </c>
      <c r="B84" s="4" t="n">
        <v>200</v>
      </c>
      <c r="C84" s="24" t="inlineStr">
        <is>
          <t>2xx</t>
        </is>
      </c>
      <c r="D84" s="24" t="n">
        <v>49</v>
      </c>
      <c r="E84" s="25" t="inlineStr">
        <is>
          <t>Warning</t>
        </is>
      </c>
      <c r="F84" s="24" t="inlineStr">
        <is>
          <t>Yes</t>
        </is>
      </c>
      <c r="G84" s="4" t="inlineStr">
        <is>
          <t>Indexable</t>
        </is>
      </c>
      <c r="H84" s="24" t="n">
        <v>671.22</v>
      </c>
      <c r="I84" s="24" t="n">
        <v>673.4400000000001</v>
      </c>
      <c r="J84" s="27" t="inlineStr">
        <is>
          <t>https://africanmarketingconfederation.org/thank-you-for-the-submission-2024/</t>
        </is>
      </c>
      <c r="K84" s="27" t="inlineStr">
        <is>
          <t>https</t>
        </is>
      </c>
      <c r="L84" s="24" t="n">
        <v>0</v>
      </c>
      <c r="M84" s="24" t="inlineStr">
        <is>
          <t>Copy Writer</t>
        </is>
      </c>
      <c r="N84" s="25" t="inlineStr">
        <is>
          <t>Open</t>
        </is>
      </c>
      <c r="O84" s="24" t="inlineStr"/>
      <c r="P84" s="24" t="inlineStr">
        <is>
          <t>WARN 🟡</t>
        </is>
      </c>
      <c r="Q84" s="24" t="inlineStr">
        <is>
          <t>https</t>
        </is>
      </c>
      <c r="R84" s="24" t="n">
        <v>0</v>
      </c>
      <c r="S84" s="24" t="inlineStr">
        <is>
          <t>text/html; charset=UTF-8</t>
        </is>
      </c>
      <c r="T84" s="27" t="inlineStr">
        <is>
          <t>HTTP/1.1</t>
        </is>
      </c>
      <c r="U84" s="24" t="b">
        <v>0</v>
      </c>
      <c r="V84" s="24" t="inlineStr">
        <is>
          <t>text/html; charset=UTF-8</t>
        </is>
      </c>
      <c r="W84" s="24" t="inlineStr">
        <is>
          <t>HTTP/1.1</t>
        </is>
      </c>
      <c r="X84" s="24" t="n">
        <v>245.48</v>
      </c>
      <c r="Y84" s="25" t="b">
        <v>0</v>
      </c>
      <c r="Z84" s="24" t="n"/>
      <c r="AA84" s="24" t="n"/>
      <c r="AB84" s="24" t="n"/>
      <c r="AC84" s="24" t="n"/>
      <c r="AD84" s="27" t="n"/>
      <c r="AE84" s="27" t="n"/>
      <c r="AF84" s="25" t="b">
        <v>0</v>
      </c>
      <c r="AG84" s="25" t="b">
        <v>0</v>
      </c>
      <c r="AH84" s="24" t="n">
        <v>0</v>
      </c>
      <c r="AI84" s="24" t="b">
        <v>0</v>
      </c>
      <c r="AJ84" s="24" t="n"/>
      <c r="AK84" s="24" t="b">
        <v>0</v>
      </c>
      <c r="AL84" s="25" t="b">
        <v>0</v>
      </c>
      <c r="AM84" s="24" t="b">
        <v>0</v>
      </c>
      <c r="AN84" s="24" t="b">
        <v>0</v>
      </c>
      <c r="AO84" s="24" t="n"/>
      <c r="AP84" s="24" t="n"/>
      <c r="AQ84" s="24" t="inlineStr">
        <is>
          <t>2024-04-11T06:14:27+00:00</t>
        </is>
      </c>
      <c r="AR84" s="24" t="inlineStr">
        <is>
          <t>2024-04-11T06:14:27+00:00</t>
        </is>
      </c>
      <c r="AS84" s="24" t="inlineStr">
        <is>
          <t>weekly</t>
        </is>
      </c>
      <c r="AT84" s="24" t="inlineStr">
        <is>
          <t>0.7</t>
        </is>
      </c>
      <c r="AU84" s="24" t="n">
        <v>0</v>
      </c>
      <c r="AV84" s="24" t="n">
        <v>3</v>
      </c>
      <c r="AW84" s="24" t="n">
        <v>7</v>
      </c>
      <c r="AX84" s="24" t="inlineStr">
        <is>
          <t>0</t>
        </is>
      </c>
      <c r="AY84" s="24" t="b">
        <v>1</v>
      </c>
      <c r="AZ84" s="24" t="b">
        <v>0</v>
      </c>
      <c r="BA84" s="24" t="b">
        <v>0</v>
      </c>
      <c r="BB84" s="24" t="n">
        <v>482</v>
      </c>
      <c r="BC84" s="24" t="n">
        <v>347</v>
      </c>
      <c r="BD84" s="24" t="n"/>
      <c r="BE84" s="24" t="inlineStr">
        <is>
          <t>https://africanmarketingconfederation.org/thank-you-for-the-submission-2024/::missing_h1 | https://africanmarketingconfederation.org/thank-you-for-the-submission-2024/::thin_content | https://africanmarketingconfederation.org/thank-you-for-the-submission-2024/::low_aeo_readiness_score | https://africanmarketingconfederation.org/thank-you-for-the-submission-2024/::no_compression_header | https://africanmarketingconfederation.org/thank-you-for-the-submission-2024/::no_cache-control_header | https://africanmarketingconfederation.org/thank-you-for-the-submission-2024/::no_etag_header | https://africanmarketingconfederation.org/thank-you-for-the-submission-2024/::no_faq_qa_schema | https://africanmarketingconfederation.org/thank-you-for-the-submission-2024/::no_question_headings | https://africanmarketingconfederation.org/thank-you-for-the-submission-2024/::no_answer-friendly_structure | https://africanmarketingconfederation.org/thank-you-for-the-submission-2024/::no_40-60_word_answer_paragraphs</t>
        </is>
      </c>
      <c r="BF84" s="27" t="n">
        <v>1</v>
      </c>
      <c r="BG84" s="27" t="b">
        <v>0</v>
      </c>
      <c r="BH84">
        <f>IFERROR(HYPERLINK("#Main!A"&amp;MATCH(A84,Main!A:A,0),"Open"),HYPERLINK("#Main!A1","Open"))</f>
        <v/>
      </c>
    </row>
    <row r="85" ht="30" customHeight="1">
      <c r="A85" s="33" t="inlineStr">
        <is>
          <t>https://africanmarketingconfederation.org/upcoming-events/</t>
        </is>
      </c>
      <c r="B85" s="4" t="n">
        <v>200</v>
      </c>
      <c r="C85" s="6" t="inlineStr">
        <is>
          <t>2xx</t>
        </is>
      </c>
      <c r="D85" s="6" t="n">
        <v>49</v>
      </c>
      <c r="E85" s="25" t="inlineStr">
        <is>
          <t>Warning</t>
        </is>
      </c>
      <c r="F85" s="6" t="inlineStr">
        <is>
          <t>Yes</t>
        </is>
      </c>
      <c r="G85" s="4" t="inlineStr">
        <is>
          <t>Indexable</t>
        </is>
      </c>
      <c r="H85" s="6" t="n">
        <v>67.66</v>
      </c>
      <c r="I85" s="6" t="n">
        <v>81.68000000000001</v>
      </c>
      <c r="J85" s="30" t="inlineStr">
        <is>
          <t>https://africanmarketingconfederation.org/upcoming-events/</t>
        </is>
      </c>
      <c r="K85" s="30" t="inlineStr">
        <is>
          <t>https</t>
        </is>
      </c>
      <c r="L85" s="6" t="n">
        <v>0</v>
      </c>
      <c r="M85" s="6" t="inlineStr">
        <is>
          <t>Copy Writer</t>
        </is>
      </c>
      <c r="N85" s="25" t="inlineStr">
        <is>
          <t>Open</t>
        </is>
      </c>
      <c r="O85" s="6" t="inlineStr"/>
      <c r="P85" s="6" t="inlineStr">
        <is>
          <t>WARN 🟡</t>
        </is>
      </c>
      <c r="Q85" s="6" t="inlineStr">
        <is>
          <t>https</t>
        </is>
      </c>
      <c r="R85" s="6" t="n">
        <v>0</v>
      </c>
      <c r="S85" s="6" t="inlineStr">
        <is>
          <t>text/html; charset=UTF-8</t>
        </is>
      </c>
      <c r="T85" s="30" t="inlineStr">
        <is>
          <t>HTTP/1.1</t>
        </is>
      </c>
      <c r="U85" s="6" t="b">
        <v>0</v>
      </c>
      <c r="V85" s="6" t="inlineStr">
        <is>
          <t>text/html; charset=UTF-8</t>
        </is>
      </c>
      <c r="W85" s="6" t="inlineStr">
        <is>
          <t>HTTP/1.1</t>
        </is>
      </c>
      <c r="X85" s="6" t="n">
        <v>253.81</v>
      </c>
      <c r="Y85" s="25" t="b">
        <v>0</v>
      </c>
      <c r="Z85" s="6" t="n"/>
      <c r="AA85" s="6" t="n"/>
      <c r="AB85" s="6" t="n"/>
      <c r="AC85" s="6" t="n"/>
      <c r="AD85" s="30" t="n"/>
      <c r="AE85" s="30" t="n"/>
      <c r="AF85" s="25" t="b">
        <v>0</v>
      </c>
      <c r="AG85" s="25" t="b">
        <v>0</v>
      </c>
      <c r="AH85" s="6" t="n">
        <v>0</v>
      </c>
      <c r="AI85" s="6" t="b">
        <v>0</v>
      </c>
      <c r="AJ85" s="6" t="n"/>
      <c r="AK85" s="6" t="b">
        <v>0</v>
      </c>
      <c r="AL85" s="25" t="b">
        <v>0</v>
      </c>
      <c r="AM85" s="6" t="b">
        <v>0</v>
      </c>
      <c r="AN85" s="6" t="b">
        <v>0</v>
      </c>
      <c r="AO85" s="6" t="n"/>
      <c r="AP85" s="6" t="n"/>
      <c r="AQ85" s="6" t="inlineStr">
        <is>
          <t>2023-01-18T11:02:32+00:00</t>
        </is>
      </c>
      <c r="AR85" s="6" t="inlineStr">
        <is>
          <t>2023-01-18T11:02:32+00:00</t>
        </is>
      </c>
      <c r="AS85" s="6" t="inlineStr">
        <is>
          <t>weekly</t>
        </is>
      </c>
      <c r="AT85" s="6" t="inlineStr">
        <is>
          <t>0.7</t>
        </is>
      </c>
      <c r="AU85" s="6" t="n">
        <v>0</v>
      </c>
      <c r="AV85" s="6" t="n">
        <v>3</v>
      </c>
      <c r="AW85" s="6" t="n">
        <v>7</v>
      </c>
      <c r="AX85" s="6" t="inlineStr">
        <is>
          <t>0</t>
        </is>
      </c>
      <c r="AY85" s="6" t="b">
        <v>1</v>
      </c>
      <c r="AZ85" s="6" t="b">
        <v>0</v>
      </c>
      <c r="BA85" s="6" t="b">
        <v>0</v>
      </c>
      <c r="BB85" s="6" t="n">
        <v>352</v>
      </c>
      <c r="BC85" s="6" t="n">
        <v>2182</v>
      </c>
      <c r="BD85" s="6" t="n"/>
      <c r="BE85" s="6" t="inlineStr">
        <is>
          <t>https://africanmarketingconfederation.org/upcoming-events/::missing_h1 | https://africanmarketingconfederation.org/upcoming-events/::thin_content | https://africanmarketingconfederation.org/upcoming-events/::low_aeo_readiness_score | https://africanmarketingconfederation.org/upcoming-events/::no_compression_header | https://africanmarketingconfederation.org/upcoming-events/::no_cache-control_header | https://africanmarketingconfederation.org/upcoming-events/::no_etag_header | https://africanmarketingconfederation.org/upcoming-events/::no_faq_qa_schema | https://africanmarketingconfederation.org/upcoming-events/::no_question_headings | https://africanmarketingconfederation.org/upcoming-events/::no_answer-friendly_structure | https://africanmarketingconfederation.org/upcoming-events/::no_40-60_word_answer_paragraphs</t>
        </is>
      </c>
      <c r="BF85" s="30" t="n">
        <v>1</v>
      </c>
      <c r="BG85" s="30" t="b">
        <v>0</v>
      </c>
      <c r="BH85">
        <f>IFERROR(HYPERLINK("#Main!A"&amp;MATCH(A85,Main!A:A,0),"Open"),HYPERLINK("#Main!A1","Open"))</f>
        <v/>
      </c>
    </row>
    <row r="86" ht="30" customHeight="1">
      <c r="A86" s="33" t="inlineStr">
        <is>
          <t>https://africanmarketingconfederation.org/virtual-programme/</t>
        </is>
      </c>
      <c r="B86" s="4" t="n">
        <v>200</v>
      </c>
      <c r="C86" s="24" t="inlineStr">
        <is>
          <t>2xx</t>
        </is>
      </c>
      <c r="D86" s="24" t="n">
        <v>59</v>
      </c>
      <c r="E86" s="25" t="inlineStr">
        <is>
          <t>Warning</t>
        </is>
      </c>
      <c r="F86" s="24" t="inlineStr">
        <is>
          <t>Yes</t>
        </is>
      </c>
      <c r="G86" s="4" t="inlineStr">
        <is>
          <t>Indexable</t>
        </is>
      </c>
      <c r="H86" s="24" t="n">
        <v>51.02</v>
      </c>
      <c r="I86" s="24" t="n">
        <v>65.52</v>
      </c>
      <c r="J86" s="27" t="inlineStr">
        <is>
          <t>https://africanmarketingconfederation.org/virtual-programme/</t>
        </is>
      </c>
      <c r="K86" s="27" t="inlineStr">
        <is>
          <t>https</t>
        </is>
      </c>
      <c r="L86" s="24" t="n">
        <v>0</v>
      </c>
      <c r="M86" s="24" t="inlineStr">
        <is>
          <t>Copy Writer</t>
        </is>
      </c>
      <c r="N86" s="25" t="inlineStr">
        <is>
          <t>Open</t>
        </is>
      </c>
      <c r="O86" s="24" t="inlineStr"/>
      <c r="P86" s="24" t="inlineStr">
        <is>
          <t>WARN 🟡</t>
        </is>
      </c>
      <c r="Q86" s="24" t="inlineStr">
        <is>
          <t>https</t>
        </is>
      </c>
      <c r="R86" s="24" t="n">
        <v>0</v>
      </c>
      <c r="S86" s="24" t="inlineStr">
        <is>
          <t>text/html; charset=UTF-8</t>
        </is>
      </c>
      <c r="T86" s="27" t="inlineStr">
        <is>
          <t>HTTP/1.1</t>
        </is>
      </c>
      <c r="U86" s="24" t="b">
        <v>0</v>
      </c>
      <c r="V86" s="24" t="inlineStr">
        <is>
          <t>text/html; charset=UTF-8</t>
        </is>
      </c>
      <c r="W86" s="24" t="inlineStr">
        <is>
          <t>HTTP/1.1</t>
        </is>
      </c>
      <c r="X86" s="24" t="n">
        <v>361.15</v>
      </c>
      <c r="Y86" s="25" t="b">
        <v>0</v>
      </c>
      <c r="Z86" s="24" t="n"/>
      <c r="AA86" s="24" t="n"/>
      <c r="AB86" s="24" t="n"/>
      <c r="AC86" s="24" t="n"/>
      <c r="AD86" s="27" t="n"/>
      <c r="AE86" s="27" t="n"/>
      <c r="AF86" s="25" t="b">
        <v>0</v>
      </c>
      <c r="AG86" s="25" t="b">
        <v>0</v>
      </c>
      <c r="AH86" s="24" t="n">
        <v>0</v>
      </c>
      <c r="AI86" s="24" t="b">
        <v>0</v>
      </c>
      <c r="AJ86" s="24" t="n"/>
      <c r="AK86" s="24" t="b">
        <v>0</v>
      </c>
      <c r="AL86" s="25" t="b">
        <v>0</v>
      </c>
      <c r="AM86" s="24" t="b">
        <v>0</v>
      </c>
      <c r="AN86" s="24" t="b">
        <v>0</v>
      </c>
      <c r="AO86" s="24" t="n"/>
      <c r="AP86" s="24" t="n"/>
      <c r="AQ86" s="24" t="inlineStr">
        <is>
          <t>2022-01-17T12:56:22+00:00</t>
        </is>
      </c>
      <c r="AR86" s="24" t="inlineStr">
        <is>
          <t>2022-01-17T12:56:22+00:00</t>
        </is>
      </c>
      <c r="AS86" s="24" t="inlineStr">
        <is>
          <t>weekly</t>
        </is>
      </c>
      <c r="AT86" s="24" t="inlineStr">
        <is>
          <t>0.7</t>
        </is>
      </c>
      <c r="AU86" s="24" t="n">
        <v>0</v>
      </c>
      <c r="AV86" s="24" t="n">
        <v>2</v>
      </c>
      <c r="AW86" s="24" t="n">
        <v>7</v>
      </c>
      <c r="AX86" s="24" t="inlineStr">
        <is>
          <t>0</t>
        </is>
      </c>
      <c r="AY86" s="24" t="b">
        <v>1</v>
      </c>
      <c r="AZ86" s="24" t="b">
        <v>0</v>
      </c>
      <c r="BA86" s="24" t="b">
        <v>0</v>
      </c>
      <c r="BB86" s="24" t="n">
        <v>367</v>
      </c>
      <c r="BC86" s="24" t="n">
        <v>2151</v>
      </c>
      <c r="BD86" s="24" t="inlineStr">
        <is>
          <t>Near-duplicate title cluster</t>
        </is>
      </c>
      <c r="BE86" s="24" t="inlineStr">
        <is>
          <t>https://africanmarketingconfederation.org/virtual-programme/::missing_h1 | https://africanmarketingconfederation.org/virtual-programme/::low_aeo_readiness_score | https://africanmarketingconfederation.org/virtual-programme/::no_compression_header | https://africanmarketingconfederation.org/virtual-programme/::no_cache-control_header | https://africanmarketingconfederation.org/virtual-programme/::no_etag_header | https://africanmarketingconfederation.org/virtual-programme/::no_faq_qa_schema | https://africanmarketingconfederation.org/virtual-programme/::no_question_headings | https://africanmarketingconfederation.org/virtual-programme/::no_answer-friendly_structure | https://africanmarketingconfederation.org/virtual-programme/::no_40-60_word_answer_paragraphs</t>
        </is>
      </c>
      <c r="BF86" s="27" t="n">
        <v>1</v>
      </c>
      <c r="BG86" s="27" t="b">
        <v>0</v>
      </c>
      <c r="BH86">
        <f>IFERROR(HYPERLINK("#Main!A"&amp;MATCH(A86,Main!A:A,0),"Open"),HYPERLINK("#Main!A1","Open"))</f>
        <v/>
      </c>
    </row>
  </sheetData>
  <autoFilter ref="A1:BG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H2:H86">
    <cfRule type="colorScale" priority="4">
      <colorScale>
        <cfvo type="min"/>
        <cfvo type="percentile" val="50"/>
        <cfvo type="max"/>
        <color rgb="0063BE7B"/>
        <color rgb="00FFEB84"/>
        <color rgb="00F8696B"/>
      </colorScale>
    </cfRule>
  </conditionalFormatting>
  <conditionalFormatting sqref="D2:D86">
    <cfRule type="colorScale" priority="5">
      <colorScale>
        <cfvo type="min"/>
        <cfvo type="percentile" val="50"/>
        <cfvo type="max"/>
        <color rgb="00F8696B"/>
        <color rgb="00FFEB84"/>
        <color rgb="0063BE7B"/>
      </colorScale>
    </cfRule>
  </conditionalFormatting>
  <conditionalFormatting sqref="F2:F86">
    <cfRule type="expression" priority="6" dxfId="2" stopIfTrue="1">
      <formula>LOWER(F2)="yes"</formula>
    </cfRule>
    <cfRule type="expression" priority="7" dxfId="0" stopIfTrue="1">
      <formula>LOWER(F2)="no"</formula>
    </cfRule>
  </conditionalFormatting>
  <conditionalFormatting sqref="E2:E86">
    <cfRule type="expression" priority="8" dxfId="2" stopIfTrue="1">
      <formula>LOWER(E2)="critical"</formula>
    </cfRule>
    <cfRule type="expression" priority="9" dxfId="3" stopIfTrue="1">
      <formula>LOWER(E2)="warning"</formula>
    </cfRule>
    <cfRule type="expression" priority="10" dxfId="0" stopIfTrue="1">
      <formula>LOWER(E2)="pass"</formula>
    </cfRule>
  </conditionalFormatting>
  <conditionalFormatting sqref="N2:N86">
    <cfRule type="expression" priority="11" dxfId="4" stopIfTrue="1">
      <formula>LOWER(N2)="done"</formula>
    </cfRule>
    <cfRule type="expression" priority="12" dxfId="5" stopIfTrue="1">
      <formula>OR(LOWER(N2)="to do",LOWER(N2)="in progress",LOWER(N2)="in review")</formula>
    </cfRule>
  </conditionalFormatting>
  <dataValidations count="6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ze backend performance, caching, and CDN usage." type="custom">
      <formula1>TRUE</formula1>
    </dataValidation>
    <dataValidation sqref="I1" showDropDown="0" showInputMessage="1" showErrorMessage="0" allowBlank="1" promptTitle="Total Request Time (ms)" prompt="Page/request speed metric. Fix: optimiz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Health Icon" prompt="Health Icon. Review this metric to identify risk, then use linked tabs for details and remediation." type="custom">
      <formula1>TRUE</formula1>
    </dataValidation>
    <dataValidation sqref="Q1" showDropDown="0" showInputMessage="1" showErrorMessage="0" allowBlank="1" promptTitle="Protocol" prompt="Protocol. Review this metric to identify risk, then use linked tabs for details and remediation." type="custom">
      <formula1>TRUE</formula1>
    </dataValidation>
    <dataValidation sqref="R1" showDropDown="0" showInputMessage="1" showErrorMessage="0" allowBlank="1" promptTitle="Redirect Chain Length" prompt="Redirect Chain Length. Review this metric to identify risk, then use linked tabs for details and remediation." type="custom">
      <formula1>TRUE</formula1>
    </dataValidation>
    <dataValidation sqref="S1" showDropDown="0" showInputMessage="1" showErrorMessage="0" allowBlank="1" promptTitle="Redirect Target" prompt="Redirect Target. Review this metric to identify risk, then use linked tabs for details and remediation." type="custom">
      <formula1>TRUE</formula1>
    </dataValidation>
    <dataValidation sqref="T1" showDropDown="0" showInputMessage="1" showErrorMessage="0" allowBlank="1" promptTitle="Redirect Hops" prompt="Redirect Hops. Review this metric to identify risk, then use linked tabs for details and remediation." type="custom">
      <formula1>TRUE</formula1>
    </dataValidation>
    <dataValidation sqref="U1" showDropDown="0" showInputMessage="1" showErrorMessage="0" allowBlank="1" promptTitle="HTTP-&gt;HTTPS Redirect" prompt="HTTP-&gt;HTTPS Redirect. Review this metric to identify risk, then use linked tabs for details and remediation." type="custom">
      <formula1>TRUE</formula1>
    </dataValidation>
    <dataValidation sqref="V1" showDropDown="0" showInputMessage="1" showErrorMessage="0" allowBlank="1" promptTitle="Content-Type" prompt="Content-Type. Review this metric to identify risk, then use linked tabs for details and remediation." type="custom">
      <formula1>TRUE</formula1>
    </dataValidation>
    <dataValidation sqref="W1" showDropDown="0" showInputMessage="1" showErrorMessage="0" allowBlank="1" promptTitle="HTTP Version" prompt="HTTP Version. Review this metric to identify risk, then use linked tabs for details and remediation." type="custom">
      <formula1>TRUE</formula1>
    </dataValidation>
    <dataValidation sqref="X1" showDropDown="0" showInputMessage="1" showErrorMessage="0" allowBlank="1" promptTitle="HTML Size (KB)" prompt="HTML Size (KB). Review this metric to identify risk, then use linked tabs for details and remediation." type="custom">
      <formula1>TRUE</formula1>
    </dataValidation>
    <dataValidation sqref="Y1" showDropDown="0" showInputMessage="1" showErrorMessage="0" allowBlank="1" promptTitle="Compression Enabled" prompt="Compression Enabled. Review this metric to identify risk, then use linked tabs for details and remediation." type="custom">
      <formula1>TRUE</formula1>
    </dataValidation>
    <dataValidation sqref="Z1" showDropDown="0" showInputMessage="1" showErrorMessage="0" allowBlank="1" promptTitle="Cache-Control" prompt="Cache-Control. Review this metric to identify risk, then use linked tabs for details and remediation." type="custom">
      <formula1>TRUE</formula1>
    </dataValidation>
    <dataValidation sqref="AA1" showDropDown="0" showInputMessage="1" showErrorMessage="0" allowBlank="1" promptTitle="ETag" prompt="ETag. Review this metric to identify risk, then use linked tabs for details and remediation." type="custom">
      <formula1>TRUE</formula1>
    </dataValidation>
    <dataValidation sqref="AB1" showDropDown="0" showInputMessage="1" showErrorMessage="0" allowBlank="1" promptTitle="X-Robots-Tag" prompt="Robots directives that influence indexation. Fix: remove unintended noindex/nofollow values on important pages." type="custom">
      <formula1>TRUE</formula1>
    </dataValidation>
    <dataValidation sqref="AC1" showDropDown="0" showInputMessage="1" showErrorMessage="0" allowBlank="1" promptTitle="Meta Robots Raw" prompt="Robots directives that influence indexation. Fix: remove unintended noindex/nofollow values on important pages." type="custom">
      <formula1>TRUE</formula1>
    </dataValidation>
    <dataValidation sqref="AD1" showDropDown="0" showInputMessage="1" showErrorMessage="0" allowBlank="1" promptTitle="Canonical Matches Final URL" prompt="Canonical Matches Final URL. Use this URL to inspect the page directly or jump to related tabs." type="custom">
      <formula1>TRUE</formula1>
    </dataValidation>
    <dataValidation sqref="AE1" showDropDown="0" showInputMessage="1" showErrorMessage="0" allowBlank="1" promptTitle="Canonical Absolute URL" prompt="Canonical Absolute URL. Use this URL to inspect the page directly or jump to related tabs." type="custom">
      <formula1>TRUE</formula1>
    </dataValidation>
    <dataValidation sqref="AF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G1" showDropDown="0" showInputMessage="1" showErrorMessage="0" allowBlank="1" promptTitle="Hreflang Present" prompt="Hreflang Present. Review this metric to identify risk, then use linked tabs for details and remediation." type="custom">
      <formula1>TRUE</formula1>
    </dataValidation>
    <dataValidation sqref="AH1" showDropDown="0" showInputMessage="1" showErrorMessage="0" allowBlank="1" promptTitle="Hreflang Count" prompt="Hreflang Count. Review this metric to identify risk, then use linked tabs for details and remediation." type="custom">
      <formula1>TRUE</formula1>
    </dataValidation>
    <dataValidation sqref="AI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J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K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L1" showDropDown="0" showInputMessage="1" showErrorMessage="0" allowBlank="1" promptTitle="x-default Present" prompt="x-default Present. Review this metric to identify risk, then use linked tabs for details and remediation." type="custom">
      <formula1>TRUE</formula1>
    </dataValidation>
    <dataValidation sqref="AM1" showDropDown="0" showInputMessage="1" showErrorMessage="0" allowBlank="1" promptTitle="Pagination rel=next" prompt="Pagination rel=next. Review this metric to identify risk, then use linked tabs for details and remediation." type="custom">
      <formula1>TRUE</formula1>
    </dataValidation>
    <dataValidation sqref="AN1" showDropDown="0" showInputMessage="1" showErrorMessage="0" allowBlank="1" promptTitle="Pagination rel=prev" prompt="Pagination rel=prev. Review this metric to identify risk, then use linked tabs for details and remediation." type="custom">
      <formula1>TRUE</formula1>
    </dataValidation>
    <dataValidation sqref="AO1" showDropDown="0" showInputMessage="1" showErrorMessage="0" allowBlank="1" promptTitle="Last-Modified" prompt="Last-Modified. Review this metric to identify risk, then use linked tabs for details and remediation." type="custom">
      <formula1>TRUE</formula1>
    </dataValidation>
    <dataValidation sqref="AP1" showDropDown="0" showInputMessage="1" showErrorMessage="0" allowBlank="1" promptTitle="Published Date" prompt="Published Date. Review this metric to identify risk, then use linked tabs for details and remediation." type="custom">
      <formula1>TRUE</formula1>
    </dataValidation>
    <dataValidation sqref="AQ1" showDropDown="0" showInputMessage="1" showErrorMessage="0" allowBlank="1" promptTitle="Modified Date" prompt="Modified Date. Review this metric to identify risk, then use linked tabs for details and remediation." type="custom">
      <formula1>TRUE</formula1>
    </dataValidation>
    <dataValidation sqref="AR1" showDropDown="0" showInputMessage="1" showErrorMessage="0" allowBlank="1" promptTitle="Last Updated" prompt="Last Updated. Review this metric to identify risk, then use linked tabs for details and remediation." type="custom">
      <formula1>TRUE</formula1>
    </dataValidation>
    <dataValidation sqref="AS1" showDropDown="0" showInputMessage="1" showErrorMessage="0" allowBlank="1" promptTitle="Change Frequency" prompt="Change Frequency. Review this metric to identify risk, then use linked tabs for details and remediation." type="custom">
      <formula1>TRUE</formula1>
    </dataValidation>
    <dataValidation sqref="AT1" showDropDown="0" showInputMessage="1" showErrorMessage="0" allowBlank="1" promptTitle="Priority" prompt="Priority. Review this metric to identify risk, then use linked tabs for details and remediation." type="custom">
      <formula1>TRUE</formula1>
    </dataValidation>
    <dataValidation sqref="AU1" showDropDown="0" showInputMessage="1" showErrorMessage="0" allowBlank="1" promptTitle="Critical Issues Count" prompt="Critical Issues Count. Review this metric to identify risk, then use linked tabs for details and remediation." type="custom">
      <formula1>TRUE</formula1>
    </dataValidation>
    <dataValidation sqref="AV1" showDropDown="0" showInputMessage="1" showErrorMessage="0" allowBlank="1" promptTitle="Warning Issues Count" prompt="Warning Issues Count. Review this metric to identify risk, then use linked tabs for details and remediation." type="custom">
      <formula1>TRUE</formula1>
    </dataValidation>
    <dataValidation sqref="AW1" showDropDown="0" showInputMessage="1" showErrorMessage="0" allowBlank="1" promptTitle="Info Issues Count" prompt="Info Issues Count. Review this metric to identify risk, then use linked tabs for details and remediation." type="custom">
      <formula1>TRUE</formula1>
    </dataValidation>
    <dataValidation sqref="AX1" showDropDown="0" showInputMessage="1" showErrorMessage="0" allowBlank="1" promptTitle="Inlinks Bucket" prompt="Link quality and crawl-path metric. Fix: repair broken links and improve internal linking relevance." type="custom">
      <formula1>TRUE</formula1>
    </dataValidation>
    <dataValidation sqref="AY1" showDropDown="0" showInputMessage="1" showErrorMessage="0" allowBlank="1" promptTitle="Important But Underlinked" prompt="Link quality and crawl-path metric. Fix: repair broken links and improve internal linking relevance." type="custom">
      <formula1>TRUE</formula1>
    </dataValidation>
    <dataValidation sqref="AZ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BA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BB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BC1" showDropDown="0" showInputMessage="1" showErrorMessage="0" allowBlank="1" promptTitle="SERP Meta Pixel Approx" prompt="SERP Meta Pixel Approx. Review this metric to identify risk, then use linked tabs for details and remediation." type="custom">
      <formula1>TRUE</formula1>
    </dataValidation>
    <dataValidation sqref="BD1" showDropDown="0" showInputMessage="1" showErrorMessage="0" allowBlank="1" promptTitle="Cannibalization Hint" prompt="Cannibalization Hint. Review this metric to identify risk, then use linked tabs for details and remediation." type="custom">
      <formula1>TRUE</formula1>
    </dataValidation>
    <dataValidation sqref="BE1" showDropDown="0" showInputMessage="1" showErrorMessage="0" allowBlank="1" promptTitle="Stable Issue IDs" prompt="Stable Issue IDs. Review this metric to identify risk, then use linked tabs for details and remediation." type="custom">
      <formula1>TRUE</formula1>
    </dataValidation>
    <dataValidation sqref="BF1" showDropDown="0" showInputMessage="1" showErrorMessage="0" allowBlank="1" promptTitle="URL Depth" prompt="URL Depth. Use this URL to inspect the page directly or jump to related tabs." type="custom">
      <formula1>TRUE</formula1>
    </dataValidation>
    <dataValidation sqref="BG1" showDropDown="0" showInputMessage="1" showErrorMessage="0" allowBlank="1" promptTitle="Param URL Flag" prompt="Param URL Flag. Use this URL to inspect the page directly or jump to related tabs." type="custom">
      <formula1>TRUE</formula1>
    </dataValidation>
    <dataValidation sqref="BH1" showDropDown="0" showInputMessage="1" showErrorMessage="0" allowBlank="1" promptTitle="Open in Main" prompt="Navigation helper. Click to jump directly to the related record in another tab." type="custom">
      <formula1>TRUE</formula1>
    </dataValidation>
    <dataValidation sqref="BI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R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B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0" customWidth="1" min="2" max="2"/>
    <col width="16" customWidth="1" min="3" max="3"/>
    <col width="16" customWidth="1" min="4" max="4"/>
    <col width="55" customWidth="1" min="5" max="5"/>
    <col width="45" customWidth="1" min="6" max="6"/>
    <col width="60" customWidth="1" min="7" max="7"/>
    <col width="60" customWidth="1" min="8" max="8"/>
    <col width="13" customWidth="1" min="9" max="9"/>
    <col width="14" customWidth="1" min="10" max="10"/>
    <col width="8" customWidth="1" min="11" max="11"/>
    <col width="12" customWidth="1" min="12" max="12"/>
    <col width="20" customWidth="1" min="13" max="13"/>
    <col width="28" customWidth="1" min="14" max="14"/>
    <col width="11" customWidth="1" min="15" max="15"/>
    <col width="15" customWidth="1" min="16" max="16"/>
    <col width="18" customWidth="1" min="17" max="17"/>
    <col width="8" customWidth="1" min="18" max="18"/>
    <col width="10" customWidth="1" min="19" max="19"/>
  </cols>
  <sheetData>
    <row r="1">
      <c r="A1" s="1" t="inlineStr">
        <is>
          <t>Issue Type</t>
        </is>
      </c>
      <c r="B1" s="1" t="inlineStr">
        <is>
          <t>Severity</t>
        </is>
      </c>
      <c r="C1" s="1" t="inlineStr">
        <is>
          <t>Priority Score</t>
        </is>
      </c>
      <c r="D1" s="1" t="inlineStr">
        <is>
          <t>Affected Count</t>
        </is>
      </c>
      <c r="E1" s="1" t="inlineStr">
        <is>
          <t>Affected URLs</t>
        </is>
      </c>
      <c r="F1" s="1" t="inlineStr">
        <is>
          <t>URL</t>
        </is>
      </c>
      <c r="G1" s="1" t="inlineStr">
        <is>
          <t>Recommended Fix</t>
        </is>
      </c>
      <c r="H1" s="1" t="inlineStr">
        <is>
          <t>Likely Root Cause</t>
        </is>
      </c>
      <c r="I1" s="1" t="inlineStr">
        <is>
          <t>Owner</t>
        </is>
      </c>
      <c r="J1" s="1" t="inlineStr">
        <is>
          <t>Agency Owner</t>
        </is>
      </c>
      <c r="K1" s="1" t="inlineStr">
        <is>
          <t>Effort</t>
        </is>
      </c>
      <c r="L1" s="1" t="inlineStr">
        <is>
          <t>Est. Hours</t>
        </is>
      </c>
      <c r="M1" s="1" t="inlineStr">
        <is>
          <t>Est. Sprint Points</t>
        </is>
      </c>
      <c r="N1" s="1" t="inlineStr">
        <is>
          <t>Aging/Priority</t>
        </is>
      </c>
      <c r="O1" s="1" t="inlineStr">
        <is>
          <t>Status</t>
        </is>
      </c>
      <c r="P1" s="1" t="inlineStr">
        <is>
          <t>Action Needed</t>
        </is>
      </c>
      <c r="Q1" s="1" t="inlineStr">
        <is>
          <t>Jump to Details</t>
        </is>
      </c>
      <c r="R1" s="1" t="inlineStr">
        <is>
          <t>Sprint</t>
        </is>
      </c>
      <c r="S1" s="1" t="inlineStr">
        <is>
          <t>Category</t>
        </is>
      </c>
      <c r="T1" t="inlineStr">
        <is>
          <t>View Details</t>
        </is>
      </c>
      <c r="U1" t="inlineStr">
        <is>
          <t>Open in Main</t>
        </is>
      </c>
      <c r="V1" s="23" t="inlineStr">
        <is>
          <t>BACK TO DASHBOARD</t>
        </is>
      </c>
    </row>
    <row r="2">
      <c r="A2" s="24" t="inlineStr">
        <is>
          <t>Noindex Directive</t>
        </is>
      </c>
      <c r="B2" s="32" t="inlineStr">
        <is>
          <t>Critical</t>
        </is>
      </c>
      <c r="C2" s="32" t="n">
        <v>105</v>
      </c>
      <c r="D2" s="24" t="n">
        <v>0</v>
      </c>
      <c r="E2" s="27" t="inlineStr"/>
      <c r="F2" s="27" t="inlineStr"/>
      <c r="G2" s="24" t="inlineStr">
        <is>
          <t>Remove unintended noindex directives on index-worthy URLs.</t>
        </is>
      </c>
      <c r="H2" s="24" t="inlineStr">
        <is>
          <t>Meta robots or X-Robots-Tag contains noindex.</t>
        </is>
      </c>
      <c r="I2" s="24" t="inlineStr">
        <is>
          <t>Dev</t>
        </is>
      </c>
      <c r="J2" s="24" t="inlineStr">
        <is>
          <t>Dev</t>
        </is>
      </c>
      <c r="K2" s="24" t="inlineStr">
        <is>
          <t>M</t>
        </is>
      </c>
      <c r="L2" s="24" t="n">
        <v>10</v>
      </c>
      <c r="M2" s="25" t="n">
        <v>5</v>
      </c>
      <c r="N2" s="32" t="inlineStr">
        <is>
          <t>Immediate (Current Sprint)</t>
        </is>
      </c>
      <c r="O2" s="24" t="inlineStr">
        <is>
          <t>To Do</t>
        </is>
      </c>
      <c r="P2" s="24" t="inlineStr">
        <is>
          <t>Yes</t>
        </is>
      </c>
      <c r="Q2" s="24">
        <f>HYPERLINK("#Main!A1","Open Main")</f>
        <v/>
      </c>
      <c r="R2" s="24" t="inlineStr"/>
      <c r="S2" s="24" t="inlineStr">
        <is>
          <t>SEO</t>
        </is>
      </c>
      <c r="T2">
        <f>IFERROR(HYPERLINK("#Main!A"&amp;MATCH(F2,Main!A:A,0),"View URL Details"),HYPERLINK("#Main!A1","View URL Details"))</f>
        <v/>
      </c>
      <c r="U2">
        <f>IFERROR(HYPERLINK("#Main!A"&amp;MATCH(F2,Main!A:A,0),"Open"),HYPERLINK("#Main!A1","Open"))</f>
        <v/>
      </c>
    </row>
    <row r="3">
      <c r="A3" s="6" t="inlineStr">
        <is>
          <t>Canonical Points Elsewhere</t>
        </is>
      </c>
      <c r="B3" s="32" t="inlineStr">
        <is>
          <t>Critical</t>
        </is>
      </c>
      <c r="C3" s="32" t="n">
        <v>105</v>
      </c>
      <c r="D3" s="6" t="n">
        <v>0</v>
      </c>
      <c r="E3" s="30" t="inlineStr"/>
      <c r="F3" s="30" t="inlineStr"/>
      <c r="G3" s="6" t="inlineStr">
        <is>
          <t>Align canonical to preferred final URL and ensure internal links use canonical target.</t>
        </is>
      </c>
      <c r="H3" s="6" t="inlineStr">
        <is>
          <t>Canonical targets a different URL variant.</t>
        </is>
      </c>
      <c r="I3" s="6" t="inlineStr">
        <is>
          <t>Dev</t>
        </is>
      </c>
      <c r="J3" s="6" t="inlineStr">
        <is>
          <t>Dev</t>
        </is>
      </c>
      <c r="K3" s="6" t="inlineStr">
        <is>
          <t>M</t>
        </is>
      </c>
      <c r="L3" s="6" t="n">
        <v>10</v>
      </c>
      <c r="M3" s="25" t="n">
        <v>5</v>
      </c>
      <c r="N3" s="32" t="inlineStr">
        <is>
          <t>Immediate (Current Sprint)</t>
        </is>
      </c>
      <c r="O3" s="6" t="inlineStr">
        <is>
          <t>To Do</t>
        </is>
      </c>
      <c r="P3" s="6" t="inlineStr">
        <is>
          <t>Yes</t>
        </is>
      </c>
      <c r="Q3" s="6">
        <f>HYPERLINK("#Main!A1","Open Main")</f>
        <v/>
      </c>
      <c r="R3" s="6" t="inlineStr"/>
      <c r="S3" s="6" t="inlineStr">
        <is>
          <t>SEO</t>
        </is>
      </c>
      <c r="T3">
        <f>IFERROR(HYPERLINK("#Main!A"&amp;MATCH(F3,Main!A:A,0),"View URL Details"),HYPERLINK("#Main!A1","View URL Details"))</f>
        <v/>
      </c>
      <c r="U3">
        <f>IFERROR(HYPERLINK("#Main!A"&amp;MATCH(F3,Main!A:A,0),"Open"),HYPERLINK("#Main!A1","Open"))</f>
        <v/>
      </c>
    </row>
    <row r="4">
      <c r="A4" s="24" t="inlineStr">
        <is>
          <t>Robots.txt Disallow Root</t>
        </is>
      </c>
      <c r="B4" s="32" t="inlineStr">
        <is>
          <t>Critical</t>
        </is>
      </c>
      <c r="C4" s="32" t="n">
        <v>105</v>
      </c>
      <c r="D4" s="24" t="n">
        <v>0</v>
      </c>
      <c r="E4" s="27" t="inlineStr"/>
      <c r="F4" s="27" t="inlineStr"/>
      <c r="G4" s="24" t="inlineStr">
        <is>
          <t>Apply fix based on issue type and re-run audit.</t>
        </is>
      </c>
      <c r="H4" s="24" t="inlineStr">
        <is>
          <t>Template/technical implementation quality issue.</t>
        </is>
      </c>
      <c r="I4" s="24" t="inlineStr">
        <is>
          <t>Server/Host</t>
        </is>
      </c>
      <c r="J4" s="24" t="inlineStr">
        <is>
          <t>Server/Host</t>
        </is>
      </c>
      <c r="K4" s="24" t="inlineStr">
        <is>
          <t>M</t>
        </is>
      </c>
      <c r="L4" s="24" t="n">
        <v>10</v>
      </c>
      <c r="M4" s="25" t="n">
        <v>5</v>
      </c>
      <c r="N4" s="32" t="inlineStr">
        <is>
          <t>Immediate (Current Sprint)</t>
        </is>
      </c>
      <c r="O4" s="24" t="inlineStr">
        <is>
          <t>To Do</t>
        </is>
      </c>
      <c r="P4" s="24" t="inlineStr">
        <is>
          <t>Yes</t>
        </is>
      </c>
      <c r="Q4" s="24">
        <f>HYPERLINK("#Main!A1","Open Main")</f>
        <v/>
      </c>
      <c r="R4" s="24" t="inlineStr"/>
      <c r="S4" s="24" t="inlineStr">
        <is>
          <t>SEO</t>
        </is>
      </c>
      <c r="T4">
        <f>IFERROR(HYPERLINK("#Main!A"&amp;MATCH(F4,Main!A:A,0),"View URL Details"),HYPERLINK("#Main!A1","View URL Details"))</f>
        <v/>
      </c>
      <c r="U4">
        <f>IFERROR(HYPERLINK("#Main!A"&amp;MATCH(F4,Main!A:A,0),"Open"),HYPERLINK("#Main!A1","Open"))</f>
        <v/>
      </c>
    </row>
    <row r="5">
      <c r="A5" s="6" t="inlineStr">
        <is>
          <t>Broken Internal Links</t>
        </is>
      </c>
      <c r="B5" s="32" t="inlineStr">
        <is>
          <t>Critical</t>
        </is>
      </c>
      <c r="C5" s="32" t="n">
        <v>105</v>
      </c>
      <c r="D5" s="6" t="n">
        <v>0</v>
      </c>
      <c r="E5" s="30" t="inlineStr"/>
      <c r="F5" s="30" t="inlineStr"/>
      <c r="G5" s="6" t="inlineStr">
        <is>
          <t>Update internal links to valid URLs and remove dead references.</t>
        </is>
      </c>
      <c r="H5" s="6" t="inlineStr">
        <is>
          <t>Internal links resolve to missing or error pages.</t>
        </is>
      </c>
      <c r="I5" s="6" t="inlineStr">
        <is>
          <t>Dev</t>
        </is>
      </c>
      <c r="J5" s="6" t="inlineStr">
        <is>
          <t>Dev</t>
        </is>
      </c>
      <c r="K5" s="6" t="inlineStr">
        <is>
          <t>M</t>
        </is>
      </c>
      <c r="L5" s="6" t="n">
        <v>10</v>
      </c>
      <c r="M5" s="25" t="n">
        <v>5</v>
      </c>
      <c r="N5" s="32" t="inlineStr">
        <is>
          <t>Immediate (Current Sprint)</t>
        </is>
      </c>
      <c r="O5" s="6" t="inlineStr">
        <is>
          <t>To Do</t>
        </is>
      </c>
      <c r="P5" s="6" t="inlineStr">
        <is>
          <t>Yes</t>
        </is>
      </c>
      <c r="Q5" s="6">
        <f>HYPERLINK("#Main!A1","Open Main")</f>
        <v/>
      </c>
      <c r="R5" s="6" t="inlineStr"/>
      <c r="S5" s="6" t="inlineStr">
        <is>
          <t>SEO</t>
        </is>
      </c>
      <c r="T5">
        <f>IFERROR(HYPERLINK("#Main!A"&amp;MATCH(F5,Main!A:A,0),"View URL Details"),HYPERLINK("#Main!A1","View URL Details"))</f>
        <v/>
      </c>
      <c r="U5">
        <f>IFERROR(HYPERLINK("#Main!A"&amp;MATCH(F5,Main!A:A,0),"Open"),HYPERLINK("#Main!A1","Open"))</f>
        <v/>
      </c>
    </row>
    <row r="6" ht="60" customHeight="1">
      <c r="A6" s="24" t="inlineStr">
        <is>
          <t>Non-200 Status</t>
        </is>
      </c>
      <c r="B6" s="32" t="inlineStr">
        <is>
          <t>Critical</t>
        </is>
      </c>
      <c r="C6" s="32" t="n">
        <v>105</v>
      </c>
      <c r="D6" s="24" t="n">
        <v>2</v>
      </c>
      <c r="E6" s="27" t="inlineStr">
        <is>
          <t>https://africanmarketingconfederation.org/amc-marketing-conference-2024/speakers-2024/
https://africanmarketingconfederation.org/amc-conference-sponsors/</t>
        </is>
      </c>
      <c r="F6" s="33" t="inlineStr">
        <is>
          <t>https://africanmarketingconfederation.org/amc-marketing-conference-2024/speakers-2024/</t>
        </is>
      </c>
      <c r="G6" s="24" t="inlineStr">
        <is>
          <t>Fix status code, restore page, or implement correct redirect to canonical destination.</t>
        </is>
      </c>
      <c r="H6" s="24" t="inlineStr">
        <is>
          <t>URL returns 4xx/5xx or equivalent failure.</t>
        </is>
      </c>
      <c r="I6" s="24" t="inlineStr">
        <is>
          <t>Server/Host</t>
        </is>
      </c>
      <c r="J6" s="24" t="inlineStr">
        <is>
          <t>Server/Host</t>
        </is>
      </c>
      <c r="K6" s="24" t="inlineStr">
        <is>
          <t>M</t>
        </is>
      </c>
      <c r="L6" s="24" t="n">
        <v>10</v>
      </c>
      <c r="M6" s="25" t="n">
        <v>5</v>
      </c>
      <c r="N6" s="32" t="inlineStr">
        <is>
          <t>Immediate (Current Sprint)</t>
        </is>
      </c>
      <c r="O6" s="24" t="inlineStr">
        <is>
          <t>To Do</t>
        </is>
      </c>
      <c r="P6" s="24" t="inlineStr">
        <is>
          <t>Yes</t>
        </is>
      </c>
      <c r="Q6" s="24">
        <f>IFERROR(HYPERLINK("#Main!A"&amp;MATCH("https://africanmarketingconfederation.org/amc-marketing-conference-2024/speakers-2024/",Main!A:A,0),"Jump to Main"),HYPERLINK("#Main!A1","Open Main"))</f>
        <v/>
      </c>
      <c r="R6" s="24" t="inlineStr"/>
      <c r="S6" s="24" t="inlineStr">
        <is>
          <t>SEO</t>
        </is>
      </c>
      <c r="T6">
        <f>IFERROR(HYPERLINK("#Main!A"&amp;MATCH(F6,Main!A:A,0),"View URL Details"),HYPERLINK("#Main!A1","View URL Details"))</f>
        <v/>
      </c>
      <c r="U6">
        <f>IFERROR(HYPERLINK("#Main!A"&amp;MATCH(F6,Main!A:A,0),"Open"),HYPERLINK("#Main!A1","Open"))</f>
        <v/>
      </c>
    </row>
    <row r="7">
      <c r="A7" s="6" t="inlineStr">
        <is>
          <t>Redirect Chains</t>
        </is>
      </c>
      <c r="B7" s="25" t="inlineStr">
        <is>
          <t>Warning</t>
        </is>
      </c>
      <c r="C7" s="25" t="n">
        <v>67</v>
      </c>
      <c r="D7" s="6" t="n">
        <v>0</v>
      </c>
      <c r="E7" s="30" t="inlineStr"/>
      <c r="F7" s="30" t="inlineStr"/>
      <c r="G7" s="6" t="inlineStr">
        <is>
          <t>Apply fix based on issue type and re-run audit.</t>
        </is>
      </c>
      <c r="H7" s="6" t="inlineStr">
        <is>
          <t>Template/technical implementation quality issue.</t>
        </is>
      </c>
      <c r="I7" s="6" t="inlineStr">
        <is>
          <t>Dev</t>
        </is>
      </c>
      <c r="J7" s="6" t="inlineStr">
        <is>
          <t>Dev</t>
        </is>
      </c>
      <c r="K7" s="6" t="inlineStr">
        <is>
          <t>S</t>
        </is>
      </c>
      <c r="L7" s="6" t="n">
        <v>4</v>
      </c>
      <c r="M7" s="4" t="n">
        <v>2</v>
      </c>
      <c r="N7" s="25" t="inlineStr">
        <is>
          <t>Next Sprint</t>
        </is>
      </c>
      <c r="O7" s="6" t="inlineStr">
        <is>
          <t>To Do</t>
        </is>
      </c>
      <c r="P7" s="6" t="inlineStr">
        <is>
          <t>Yes</t>
        </is>
      </c>
      <c r="Q7" s="6">
        <f>HYPERLINK("#Main!A1","Open Main")</f>
        <v/>
      </c>
      <c r="R7" s="6" t="inlineStr"/>
      <c r="S7" s="6" t="inlineStr">
        <is>
          <t>SEO</t>
        </is>
      </c>
      <c r="T7">
        <f>IFERROR(HYPERLINK("#Main!A"&amp;MATCH(F7,Main!A:A,0),"View URL Details"),HYPERLINK("#Main!A1","View URL Details"))</f>
        <v/>
      </c>
      <c r="U7">
        <f>IFERROR(HYPERLINK("#Main!A"&amp;MATCH(F7,Main!A:A,0),"Open"),HYPERLINK("#Main!A1","Open"))</f>
        <v/>
      </c>
    </row>
    <row r="8">
      <c r="A8" s="24" t="inlineStr">
        <is>
          <t>Low Image Alt Coverage</t>
        </is>
      </c>
      <c r="B8" s="25" t="inlineStr">
        <is>
          <t>Warning</t>
        </is>
      </c>
      <c r="C8" s="25" t="n">
        <v>67</v>
      </c>
      <c r="D8" s="24" t="n">
        <v>0</v>
      </c>
      <c r="E8" s="27" t="inlineStr"/>
      <c r="F8" s="27" t="inlineStr"/>
      <c r="G8" s="24" t="inlineStr">
        <is>
          <t>Apply fix based on issue type and re-run audit.</t>
        </is>
      </c>
      <c r="H8" s="24" t="inlineStr">
        <is>
          <t>Template/technical implementation quality issue.</t>
        </is>
      </c>
      <c r="I8" s="24" t="inlineStr">
        <is>
          <t>Copy Writer</t>
        </is>
      </c>
      <c r="J8" s="24" t="inlineStr">
        <is>
          <t>Copy Writer</t>
        </is>
      </c>
      <c r="K8" s="24" t="inlineStr">
        <is>
          <t>S</t>
        </is>
      </c>
      <c r="L8" s="24" t="n">
        <v>4</v>
      </c>
      <c r="M8" s="4" t="n">
        <v>2</v>
      </c>
      <c r="N8" s="25" t="inlineStr">
        <is>
          <t>Next Sprint</t>
        </is>
      </c>
      <c r="O8" s="24" t="inlineStr">
        <is>
          <t>To Do</t>
        </is>
      </c>
      <c r="P8" s="24" t="inlineStr">
        <is>
          <t>Yes</t>
        </is>
      </c>
      <c r="Q8" s="24">
        <f>HYPERLINK("#Main!A1","Open Main")</f>
        <v/>
      </c>
      <c r="R8" s="24" t="inlineStr"/>
      <c r="S8" s="24" t="inlineStr">
        <is>
          <t>SEO</t>
        </is>
      </c>
      <c r="T8">
        <f>IFERROR(HYPERLINK("#Main!A"&amp;MATCH(F8,Main!A:A,0),"View URL Details"),HYPERLINK("#Main!A1","View URL Details"))</f>
        <v/>
      </c>
      <c r="U8">
        <f>IFERROR(HYPERLINK("#Main!A"&amp;MATCH(F8,Main!A:A,0),"Open"),HYPERLINK("#Main!A1","Open"))</f>
        <v/>
      </c>
    </row>
    <row r="9">
      <c r="A9" s="6" t="inlineStr">
        <is>
          <t>Mixed Content</t>
        </is>
      </c>
      <c r="B9" s="25" t="inlineStr">
        <is>
          <t>Warning</t>
        </is>
      </c>
      <c r="C9" s="25" t="n">
        <v>67</v>
      </c>
      <c r="D9" s="6" t="n">
        <v>0</v>
      </c>
      <c r="E9" s="30" t="inlineStr"/>
      <c r="F9" s="30" t="inlineStr"/>
      <c r="G9" s="6" t="inlineStr">
        <is>
          <t>Serve all assets over HTTPS and update hardcoded URLs.</t>
        </is>
      </c>
      <c r="H9" s="6" t="inlineStr">
        <is>
          <t>HTTPS page references insecure HTTP assets.</t>
        </is>
      </c>
      <c r="I9" s="6" t="inlineStr">
        <is>
          <t>Dev</t>
        </is>
      </c>
      <c r="J9" s="6" t="inlineStr">
        <is>
          <t>Dev</t>
        </is>
      </c>
      <c r="K9" s="6" t="inlineStr">
        <is>
          <t>S</t>
        </is>
      </c>
      <c r="L9" s="6" t="n">
        <v>4</v>
      </c>
      <c r="M9" s="4" t="n">
        <v>2</v>
      </c>
      <c r="N9" s="25" t="inlineStr">
        <is>
          <t>Next Sprint</t>
        </is>
      </c>
      <c r="O9" s="6" t="inlineStr">
        <is>
          <t>To Do</t>
        </is>
      </c>
      <c r="P9" s="6" t="inlineStr">
        <is>
          <t>Yes</t>
        </is>
      </c>
      <c r="Q9" s="6">
        <f>HYPERLINK("#Main!A1","Open Main")</f>
        <v/>
      </c>
      <c r="R9" s="6" t="inlineStr"/>
      <c r="S9" s="6" t="inlineStr">
        <is>
          <t>SEO</t>
        </is>
      </c>
      <c r="T9">
        <f>IFERROR(HYPERLINK("#Main!A"&amp;MATCH(F9,Main!A:A,0),"View URL Details"),HYPERLINK("#Main!A1","View URL Details"))</f>
        <v/>
      </c>
      <c r="U9">
        <f>IFERROR(HYPERLINK("#Main!A"&amp;MATCH(F9,Main!A:A,0),"Open"),HYPERLINK("#Main!A1","Open"))</f>
        <v/>
      </c>
    </row>
    <row r="10">
      <c r="A10" s="24" t="inlineStr">
        <is>
          <t>Canonical Missing</t>
        </is>
      </c>
      <c r="B10" s="25" t="inlineStr">
        <is>
          <t>Warning</t>
        </is>
      </c>
      <c r="C10" s="25" t="n">
        <v>67</v>
      </c>
      <c r="D10" s="24" t="n">
        <v>0</v>
      </c>
      <c r="E10" s="27" t="inlineStr"/>
      <c r="F10" s="27" t="inlineStr"/>
      <c r="G10" s="24" t="inlineStr">
        <is>
          <t>Apply fix based on issue type and re-run audit.</t>
        </is>
      </c>
      <c r="H10" s="24" t="inlineStr">
        <is>
          <t>Template/technical implementation quality issue.</t>
        </is>
      </c>
      <c r="I10" s="24" t="inlineStr">
        <is>
          <t>Dev</t>
        </is>
      </c>
      <c r="J10" s="24" t="inlineStr">
        <is>
          <t>Dev</t>
        </is>
      </c>
      <c r="K10" s="24" t="inlineStr">
        <is>
          <t>S</t>
        </is>
      </c>
      <c r="L10" s="24" t="n">
        <v>4</v>
      </c>
      <c r="M10" s="4" t="n">
        <v>2</v>
      </c>
      <c r="N10" s="25" t="inlineStr">
        <is>
          <t>Next Sprint</t>
        </is>
      </c>
      <c r="O10" s="24" t="inlineStr">
        <is>
          <t>To Do</t>
        </is>
      </c>
      <c r="P10" s="24" t="inlineStr">
        <is>
          <t>Yes</t>
        </is>
      </c>
      <c r="Q10" s="24">
        <f>HYPERLINK("#Main!A1","Open Main")</f>
        <v/>
      </c>
      <c r="R10" s="24" t="inlineStr"/>
      <c r="S10" s="24" t="inlineStr">
        <is>
          <t>SEO</t>
        </is>
      </c>
      <c r="T10">
        <f>IFERROR(HYPERLINK("#Main!A"&amp;MATCH(F10,Main!A:A,0),"View URL Details"),HYPERLINK("#Main!A1","View URL Details"))</f>
        <v/>
      </c>
      <c r="U10">
        <f>IFERROR(HYPERLINK("#Main!A"&amp;MATCH(F10,Main!A:A,0),"Open"),HYPERLINK("#Main!A1","Open"))</f>
        <v/>
      </c>
    </row>
    <row r="11">
      <c r="A11" s="6" t="inlineStr">
        <is>
          <t>Hreflang Without Reciprocity</t>
        </is>
      </c>
      <c r="B11" s="25" t="inlineStr">
        <is>
          <t>Warning</t>
        </is>
      </c>
      <c r="C11" s="25" t="n">
        <v>67</v>
      </c>
      <c r="D11" s="6" t="n">
        <v>0</v>
      </c>
      <c r="E11" s="30" t="inlineStr"/>
      <c r="F11" s="30" t="inlineStr"/>
      <c r="G11" s="6" t="inlineStr">
        <is>
          <t>Apply fix based on issue type and re-run audit.</t>
        </is>
      </c>
      <c r="H11" s="6" t="inlineStr">
        <is>
          <t>Template/technical implementation quality issue.</t>
        </is>
      </c>
      <c r="I11" s="6" t="inlineStr">
        <is>
          <t>Copy Writer</t>
        </is>
      </c>
      <c r="J11" s="6" t="inlineStr">
        <is>
          <t>Copy Writer</t>
        </is>
      </c>
      <c r="K11" s="6" t="inlineStr">
        <is>
          <t>S</t>
        </is>
      </c>
      <c r="L11" s="6" t="n">
        <v>4</v>
      </c>
      <c r="M11" s="4" t="n">
        <v>2</v>
      </c>
      <c r="N11" s="25" t="inlineStr">
        <is>
          <t>Next Sprint</t>
        </is>
      </c>
      <c r="O11" s="6" t="inlineStr">
        <is>
          <t>To Do</t>
        </is>
      </c>
      <c r="P11" s="6" t="inlineStr">
        <is>
          <t>Yes</t>
        </is>
      </c>
      <c r="Q11" s="6">
        <f>HYPERLINK("#Main!A1","Open Main")</f>
        <v/>
      </c>
      <c r="R11" s="6" t="inlineStr"/>
      <c r="S11" s="6" t="inlineStr">
        <is>
          <t>SEO</t>
        </is>
      </c>
      <c r="T11">
        <f>IFERROR(HYPERLINK("#Main!A"&amp;MATCH(F11,Main!A:A,0),"View URL Details"),HYPERLINK("#Main!A1","View URL Details"))</f>
        <v/>
      </c>
      <c r="U11">
        <f>IFERROR(HYPERLINK("#Main!A"&amp;MATCH(F11,Main!A:A,0),"Open"),HYPERLINK("#Main!A1","Open"))</f>
        <v/>
      </c>
    </row>
    <row r="12" ht="120" customHeight="1">
      <c r="A12" s="24" t="inlineStr">
        <is>
          <t>Low AEO Readiness Score</t>
        </is>
      </c>
      <c r="B12" s="25" t="inlineStr">
        <is>
          <t>Warning</t>
        </is>
      </c>
      <c r="C12" s="25" t="n">
        <v>67</v>
      </c>
      <c r="D12" s="24" t="n">
        <v>85</v>
      </c>
      <c r="E12" s="27"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12" s="33" t="inlineStr">
        <is>
          <t>https://africanmarketingconfederation.org/</t>
        </is>
      </c>
      <c r="G12" s="24" t="inlineStr">
        <is>
          <t>Add short direct answer blocks, question-led headings, and answer-ready formatting.</t>
        </is>
      </c>
      <c r="H12" s="24" t="inlineStr">
        <is>
          <t>Page lacks concise answer-oriented signals and structured answer patterns.</t>
        </is>
      </c>
      <c r="I12" s="24" t="inlineStr">
        <is>
          <t>Copy Writer</t>
        </is>
      </c>
      <c r="J12" s="24" t="inlineStr">
        <is>
          <t>Copy Writer</t>
        </is>
      </c>
      <c r="K12" s="24" t="inlineStr">
        <is>
          <t>S</t>
        </is>
      </c>
      <c r="L12" s="24" t="n">
        <v>4</v>
      </c>
      <c r="M12" s="4" t="n">
        <v>2</v>
      </c>
      <c r="N12" s="25" t="inlineStr">
        <is>
          <t>Next Sprint</t>
        </is>
      </c>
      <c r="O12" s="24" t="inlineStr">
        <is>
          <t>To Do</t>
        </is>
      </c>
      <c r="P12" s="24" t="inlineStr">
        <is>
          <t>Yes</t>
        </is>
      </c>
      <c r="Q12" s="24">
        <f>IFERROR(HYPERLINK("#Main!A"&amp;MATCH("https://africanmarketingconfederation.org/",Main!A:A,0),"Jump to Main"),HYPERLINK("#Main!A1","Open Main"))</f>
        <v/>
      </c>
      <c r="R12" s="24" t="inlineStr"/>
      <c r="S12" s="24" t="inlineStr">
        <is>
          <t>AEO</t>
        </is>
      </c>
      <c r="T12">
        <f>IFERROR(HYPERLINK("#Main!A"&amp;MATCH(F12,Main!A:A,0),"View URL Details"),HYPERLINK("#Main!A1","View URL Details"))</f>
        <v/>
      </c>
      <c r="U12">
        <f>IFERROR(HYPERLINK("#Main!A"&amp;MATCH(F12,Main!A:A,0),"Open"),HYPERLINK("#Main!A1","Open"))</f>
        <v/>
      </c>
    </row>
    <row r="13" ht="120" customHeight="1">
      <c r="A13" s="6" t="inlineStr">
        <is>
          <t>Multiple H1</t>
        </is>
      </c>
      <c r="B13" s="25" t="inlineStr">
        <is>
          <t>Warning</t>
        </is>
      </c>
      <c r="C13" s="25" t="n">
        <v>67</v>
      </c>
      <c r="D13" s="6" t="n">
        <v>18</v>
      </c>
      <c r="E13" s="30" t="inlineStr">
        <is>
          <t>https://africanmarketingconfederation.org/
https://africanmarketingconfederation.org/awards-2026/
https://africanmarketingconfederation.org/contact-us/
https://africanmarketingconfederation.org/african-marketing-confederation-tourism-chapter/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https://africanmarketingconfederation.org/amc-conference-2025-highlights/
https://africanmarketingconfederation.org/amc-conference-2024-recap/
https://africanmarketingconfederation.org/amc-marketing-conference-2024/amc-programme-2025/
https://africanmarketingconfederation.org/amc-conference-2025/
https://africanmarketingconfederation.org/amc-awards-2024/
https://africanmarketingconfederation.org/amc-marketing-conference-2024/amc-speakers-presentations-2024/
https://africanmarketingconfederation.org/amc-marketing-conference-2024/testimony-thank-you-page/
https://africanmarketingconfederation.org/privacy-policy/</t>
        </is>
      </c>
      <c r="F13" s="33" t="inlineStr">
        <is>
          <t>https://africanmarketingconfederation.org/</t>
        </is>
      </c>
      <c r="G13" s="6" t="inlineStr">
        <is>
          <t>Apply fix based on issue type and re-run audit.</t>
        </is>
      </c>
      <c r="H13" s="6" t="inlineStr">
        <is>
          <t>Template/technical implementation quality issue.</t>
        </is>
      </c>
      <c r="I13" s="6" t="inlineStr">
        <is>
          <t>Copy Writer</t>
        </is>
      </c>
      <c r="J13" s="6" t="inlineStr">
        <is>
          <t>Copy Writer</t>
        </is>
      </c>
      <c r="K13" s="6" t="inlineStr">
        <is>
          <t>S</t>
        </is>
      </c>
      <c r="L13" s="6" t="n">
        <v>4</v>
      </c>
      <c r="M13" s="4" t="n">
        <v>2</v>
      </c>
      <c r="N13" s="25" t="inlineStr">
        <is>
          <t>Next Sprint</t>
        </is>
      </c>
      <c r="O13" s="6" t="inlineStr">
        <is>
          <t>To Do</t>
        </is>
      </c>
      <c r="P13" s="6" t="inlineStr">
        <is>
          <t>Yes</t>
        </is>
      </c>
      <c r="Q13" s="6">
        <f>IFERROR(HYPERLINK("#Main!A"&amp;MATCH("https://africanmarketingconfederation.org/",Main!A:A,0),"Jump to Main"),HYPERLINK("#Main!A1","Open Main"))</f>
        <v/>
      </c>
      <c r="R13" s="6" t="inlineStr"/>
      <c r="S13" s="6" t="inlineStr">
        <is>
          <t>SEO</t>
        </is>
      </c>
      <c r="T13">
        <f>IFERROR(HYPERLINK("#Main!A"&amp;MATCH(F13,Main!A:A,0),"View URL Details"),HYPERLINK("#Main!A1","View URL Details"))</f>
        <v/>
      </c>
      <c r="U13">
        <f>IFERROR(HYPERLINK("#Main!A"&amp;MATCH(F13,Main!A:A,0),"Open"),HYPERLINK("#Main!A1","Open"))</f>
        <v/>
      </c>
    </row>
    <row r="14" ht="120" customHeight="1">
      <c r="A14" s="24" t="inlineStr">
        <is>
          <t>Missing Meta Description</t>
        </is>
      </c>
      <c r="B14" s="25" t="inlineStr">
        <is>
          <t>Warning</t>
        </is>
      </c>
      <c r="C14" s="25" t="n">
        <v>67</v>
      </c>
      <c r="D14" s="24" t="n">
        <v>5</v>
      </c>
      <c r="E14" s="27" t="inlineStr">
        <is>
          <t>https://africanmarketingconfederation.org/amc-marketing-conference-2024/speakers-2024/
https://africanmarketingconfederation.org/amc-conference-sponsors/
https://africanmarketingconfederation.org/elementor-20341/
https://africanmarketingconfederation.org/amc-conference-2023/amc-awards-book-now/
https://africanmarketingconfederation.org/amc-masterclass-bookings/</t>
        </is>
      </c>
      <c r="F14" s="33" t="inlineStr">
        <is>
          <t>https://africanmarketingconfederation.org/amc-marketing-conference-2024/speakers-2024/</t>
        </is>
      </c>
      <c r="G14" s="24" t="inlineStr">
        <is>
          <t>Add concise unique description aligned with user intent.</t>
        </is>
      </c>
      <c r="H14" s="24" t="inlineStr">
        <is>
          <t>Meta description missing or empty.</t>
        </is>
      </c>
      <c r="I14" s="24" t="inlineStr">
        <is>
          <t>Copy Writer</t>
        </is>
      </c>
      <c r="J14" s="24" t="inlineStr">
        <is>
          <t>Copy Writer</t>
        </is>
      </c>
      <c r="K14" s="24" t="inlineStr">
        <is>
          <t>S</t>
        </is>
      </c>
      <c r="L14" s="24" t="n">
        <v>4</v>
      </c>
      <c r="M14" s="4" t="n">
        <v>2</v>
      </c>
      <c r="N14" s="25" t="inlineStr">
        <is>
          <t>Next Sprint</t>
        </is>
      </c>
      <c r="O14" s="24" t="inlineStr">
        <is>
          <t>To Do</t>
        </is>
      </c>
      <c r="P14" s="24" t="inlineStr">
        <is>
          <t>Yes</t>
        </is>
      </c>
      <c r="Q14" s="24">
        <f>IFERROR(HYPERLINK("#Main!A"&amp;MATCH("https://africanmarketingconfederation.org/amc-marketing-conference-2024/speakers-2024/",Main!A:A,0),"Jump to Main"),HYPERLINK("#Main!A1","Open Main"))</f>
        <v/>
      </c>
      <c r="R14" s="24" t="inlineStr"/>
      <c r="S14" s="24" t="inlineStr">
        <is>
          <t>SEO</t>
        </is>
      </c>
      <c r="T14">
        <f>IFERROR(HYPERLINK("#Main!A"&amp;MATCH(F14,Main!A:A,0),"View URL Details"),HYPERLINK("#Main!A1","View URL Details"))</f>
        <v/>
      </c>
      <c r="U14">
        <f>IFERROR(HYPERLINK("#Main!A"&amp;MATCH(F14,Main!A:A,0),"Open"),HYPERLINK("#Main!A1","Open"))</f>
        <v/>
      </c>
    </row>
    <row r="15" ht="60" customHeight="1">
      <c r="A15" s="6" t="inlineStr">
        <is>
          <t>Missing Title</t>
        </is>
      </c>
      <c r="B15" s="25" t="inlineStr">
        <is>
          <t>Warning</t>
        </is>
      </c>
      <c r="C15" s="25" t="n">
        <v>67</v>
      </c>
      <c r="D15" s="6" t="n">
        <v>2</v>
      </c>
      <c r="E15" s="30" t="inlineStr">
        <is>
          <t>https://africanmarketingconfederation.org/amc-marketing-conference-2024/speakers-2024/
https://africanmarketingconfederation.org/amc-conference-sponsors/</t>
        </is>
      </c>
      <c r="F15" s="33" t="inlineStr">
        <is>
          <t>https://africanmarketingconfederation.org/amc-marketing-conference-2024/speakers-2024/</t>
        </is>
      </c>
      <c r="G15" s="6" t="inlineStr">
        <is>
          <t>Add unique descriptive title on affected template/page type.</t>
        </is>
      </c>
      <c r="H15" s="6" t="inlineStr">
        <is>
          <t>Template/page missing title tag.</t>
        </is>
      </c>
      <c r="I15" s="6" t="inlineStr">
        <is>
          <t>Copy Writer</t>
        </is>
      </c>
      <c r="J15" s="6" t="inlineStr">
        <is>
          <t>Copy Writer</t>
        </is>
      </c>
      <c r="K15" s="6" t="inlineStr">
        <is>
          <t>S</t>
        </is>
      </c>
      <c r="L15" s="6" t="n">
        <v>4</v>
      </c>
      <c r="M15" s="4" t="n">
        <v>2</v>
      </c>
      <c r="N15" s="25" t="inlineStr">
        <is>
          <t>Next Sprint</t>
        </is>
      </c>
      <c r="O15" s="6" t="inlineStr">
        <is>
          <t>To Do</t>
        </is>
      </c>
      <c r="P15" s="6" t="inlineStr">
        <is>
          <t>Yes</t>
        </is>
      </c>
      <c r="Q15" s="6">
        <f>IFERROR(HYPERLINK("#Main!A"&amp;MATCH("https://africanmarketingconfederation.org/amc-marketing-conference-2024/speakers-2024/",Main!A:A,0),"Jump to Main"),HYPERLINK("#Main!A1","Open Main"))</f>
        <v/>
      </c>
      <c r="R15" s="6" t="inlineStr"/>
      <c r="S15" s="6" t="inlineStr">
        <is>
          <t>SEO</t>
        </is>
      </c>
      <c r="T15">
        <f>IFERROR(HYPERLINK("#Main!A"&amp;MATCH(F15,Main!A:A,0),"View URL Details"),HYPERLINK("#Main!A1","View URL Details"))</f>
        <v/>
      </c>
      <c r="U15">
        <f>IFERROR(HYPERLINK("#Main!A"&amp;MATCH(F15,Main!A:A,0),"Open"),HYPERLINK("#Main!A1","Open"))</f>
        <v/>
      </c>
    </row>
    <row r="16" ht="120" customHeight="1">
      <c r="A16" s="24" t="inlineStr">
        <is>
          <t>Thin Content</t>
        </is>
      </c>
      <c r="B16" s="25" t="inlineStr">
        <is>
          <t>Warning</t>
        </is>
      </c>
      <c r="C16" s="25" t="n">
        <v>67</v>
      </c>
      <c r="D16" s="24" t="n">
        <v>41</v>
      </c>
      <c r="E16" s="27" t="inlineStr">
        <is>
          <t>https://africanmarketingconfederation.org/publication-download-list/
https://africanmarketingconfederation.org/launch-event-2026-amc-conference/
https://africanmarketingconfederation.org/publications-2/
https://africanmarketingconfederation.org/about-us/
https://africanmarketingconfederation.org/amc-conference-2026-awards-nominations-thank-you/
https://africanmarketingconfederation.org/amc-conference-2026-zambia-thank-you/
https://africanmarketingconfederation.org/amc-launch-event-zambia-thank-you-2026/
https://africanmarketingconfederation.org/amc-conference-2023/gallery/
https://africanmarketingconfederation.org/amc-marketing-conference-2024/amc-programme-2025/
https://africanmarketingconfederation.org/amc-conference-2022-prospectus/
https://africanmarketingconfederation.org/test-payment-gate/
https://africanmarketingconfederation.org/amc-marketing-conference-2024/amc-conference-2025-ghana-sponsors/
https://africanmarketingconfederation.org/amc-forum-payments/
https://africanmarketingconfederation.org/checkout/
https://africanmarketingconfederation.org/amc-marketing-conference-2024/amc-speakers-presentations-2024/
https://africanmarketingconfederation.org/amc-marketing-conference-2024/testimony-thank-you-page/
https://africanmarketingconfederation.org/thank-you-for-registering-2024-registrations/
https://africanmarketingconfederation.org/download-prospectus-2024/
https://africanmarketingconfederation.org/thank-you-for-registering-2024-registrations-kenya/
https://africanmarketingconfederation.org/elementor-20341/
https://africanmarketingconfederation.org/chartered-marketer-africa-final-submission-fee/
https://africanmarketingconfederation.org/chartered-marketer-africa-programme-fee/
https://africanmarketingconfederation.org/download-brochure/
https://africanmarketingconfederation.org/thank-you-for-the-nomination-2024/
https://africanmarketingconfederation.org/thank-you-for-the-submission-2024/
https://africanmarketingconfederation.org/amc-conference-2024-sponsors-packages/
https://africanmarketingconfederation.org/elementor-16548/
https://africanmarketingconfederation.org/amc-conference-2023/partners/
https://africanmarketingconfederation.org/chartered-marketer-africa-thank-you/
https://africanmarketingconfederation.org/amc-conference-2023/amc-awards-book-now/
https://africanmarketingconfederation.org/amc-conference-2023/book-now/
https://africanmarketingconfederation.org/amc-conference-2023/download-prospectus/
https://africanmarketingconfederation.org/thank-you-for-subscribing/
https://africanmarketingconfederation.org/amc-conference-2023/book-now-thank-you/
https://africanmarketingconfederation.org/upcoming-events/
https://africanmarketingconfederation.org/amc-masterclass/
https://africanmarketingconfederation.org/amc-masterclass-thank-you/
https://africanmarketingconfederation.org/amc-masterclass-bookings/
https://africanmarketingconfederation.org/test-homeslider/
https://africanmarketingconfederation.org/general-enquiry-form-thank-you/
https://africanmarketingconfederation.org/speakers/</t>
        </is>
      </c>
      <c r="F16" s="33" t="inlineStr">
        <is>
          <t>https://africanmarketingconfederation.org/publication-download-list/</t>
        </is>
      </c>
      <c r="G16" s="24" t="inlineStr">
        <is>
          <t>Expand page with helpful, unique, intent-matching content.</t>
        </is>
      </c>
      <c r="H16" s="24" t="inlineStr">
        <is>
          <t>Insufficient body content for indexing confidence.</t>
        </is>
      </c>
      <c r="I16" s="24" t="inlineStr">
        <is>
          <t>Copy Writer</t>
        </is>
      </c>
      <c r="J16" s="24" t="inlineStr">
        <is>
          <t>Copy Writer</t>
        </is>
      </c>
      <c r="K16" s="24" t="inlineStr">
        <is>
          <t>S</t>
        </is>
      </c>
      <c r="L16" s="24" t="n">
        <v>4</v>
      </c>
      <c r="M16" s="4" t="n">
        <v>2</v>
      </c>
      <c r="N16" s="25" t="inlineStr">
        <is>
          <t>Next Sprint</t>
        </is>
      </c>
      <c r="O16" s="24" t="inlineStr">
        <is>
          <t>To Do</t>
        </is>
      </c>
      <c r="P16" s="24" t="inlineStr">
        <is>
          <t>Yes</t>
        </is>
      </c>
      <c r="Q16" s="24">
        <f>IFERROR(HYPERLINK("#Main!A"&amp;MATCH("https://africanmarketingconfederation.org/publication-download-list/",Main!A:A,0),"Jump to Main"),HYPERLINK("#Main!A1","Open Main"))</f>
        <v/>
      </c>
      <c r="R16" s="24" t="inlineStr"/>
      <c r="S16" s="24" t="inlineStr">
        <is>
          <t>SEO</t>
        </is>
      </c>
      <c r="T16">
        <f>IFERROR(HYPERLINK("#Main!A"&amp;MATCH(F16,Main!A:A,0),"View URL Details"),HYPERLINK("#Main!A1","View URL Details"))</f>
        <v/>
      </c>
      <c r="U16">
        <f>IFERROR(HYPERLINK("#Main!A"&amp;MATCH(F16,Main!A:A,0),"Open"),HYPERLINK("#Main!A1","Open"))</f>
        <v/>
      </c>
    </row>
    <row r="17" ht="120" customHeight="1">
      <c r="A17" s="6" t="inlineStr">
        <is>
          <t>Missing H1</t>
        </is>
      </c>
      <c r="B17" s="25" t="inlineStr">
        <is>
          <t>Warning</t>
        </is>
      </c>
      <c r="C17" s="25" t="n">
        <v>67</v>
      </c>
      <c r="D17" s="6" t="n">
        <v>32</v>
      </c>
      <c r="E17" s="30" t="inlineStr">
        <is>
          <t>https://africanmarketingconfederation.org/publication-download-list/
https://africanmarketingconfederation.org/certified-professional-marketer-africa/
https://africanmarketingconfederation.org/education/
https://africanmarketingconfederation.org/amc-conference-2022/
https://africanmarketingconfederation.org/amc-conference-2022-prospectus/
https://africanmarketingconfederation.org/test-payment-gate/
https://africanmarketingconfederation.org/amc-forum-payments/
https://africanmarketingconfederation.org/checkout/
https://africanmarketingconfederation.org/thank-you-for-registering-2024-registrations/
https://africanmarketingconfederation.org/download-prospectus-2024/
https://africanmarketingconfederation.org/thank-you-for-registering-2024-registrations-kenya/
https://africanmarketingconfederation.org/subscribe/
https://africanmarketingconfederation.org/elementor-20341/
https://africanmarketingconfederation.org/download-brochure/
https://africanmarketingconfederation.org/thank-you-for-the-nomination-2024/
https://africanmarketingconfederation.org/thank-you-for-the-submission-2024/
https://africanmarketingconfederation.org/elementor-16548/
https://africanmarketingconfederation.org/chartered-marketer-africa-thank-you/
https://africanmarketingconfederation.org/amc-conference-2023/amc-awards-book-now/
https://africanmarketingconfederation.org/thank-you-for-subscribing/
https://africanmarketingconfederation.org/amc-conference-2023/book-now-thank-you/
https://africanmarketingconfederation.org/upcoming-events/
https://africanmarketingconfederation.org/amc-masterclass/
https://africanmarketingconfederation.org/amc-relaunch-programme/
https://africanmarketingconfederation.org/amc-masterclass-thank-you/
https://africanmarketingconfederation.org/amc-masterclass-bookings/
https://africanmarketingconfederation.org/amc-conference-programme/
https://africanmarketingconfederation.org/test-homeslider/
https://africanmarketingconfederation.org/virtual-programme/
https://africanmarketingconfederation.org/general-enquiry-form-thank-you/
https://africanmarketingconfederation.org/amc-conference-2022-thank-you/
https://africanmarketingconfederation.org/speakers/</t>
        </is>
      </c>
      <c r="F17" s="33" t="inlineStr">
        <is>
          <t>https://africanmarketingconfederation.org/publication-download-list/</t>
        </is>
      </c>
      <c r="G17" s="6" t="inlineStr">
        <is>
          <t>Apply fix based on issue type and re-run audit.</t>
        </is>
      </c>
      <c r="H17" s="6" t="inlineStr">
        <is>
          <t>Template/technical implementation quality issue.</t>
        </is>
      </c>
      <c r="I17" s="6" t="inlineStr">
        <is>
          <t>Copy Writer</t>
        </is>
      </c>
      <c r="J17" s="6" t="inlineStr">
        <is>
          <t>Copy Writer</t>
        </is>
      </c>
      <c r="K17" s="6" t="inlineStr">
        <is>
          <t>S</t>
        </is>
      </c>
      <c r="L17" s="6" t="n">
        <v>4</v>
      </c>
      <c r="M17" s="4" t="n">
        <v>2</v>
      </c>
      <c r="N17" s="25" t="inlineStr">
        <is>
          <t>Next Sprint</t>
        </is>
      </c>
      <c r="O17" s="6" t="inlineStr">
        <is>
          <t>To Do</t>
        </is>
      </c>
      <c r="P17" s="6" t="inlineStr">
        <is>
          <t>Yes</t>
        </is>
      </c>
      <c r="Q17" s="6">
        <f>IFERROR(HYPERLINK("#Main!A"&amp;MATCH("https://africanmarketingconfederation.org/publication-download-list/",Main!A:A,0),"Jump to Main"),HYPERLINK("#Main!A1","Open Main"))</f>
        <v/>
      </c>
      <c r="R17" s="6" t="inlineStr"/>
      <c r="S17" s="6" t="inlineStr">
        <is>
          <t>SEO</t>
        </is>
      </c>
      <c r="T17">
        <f>IFERROR(HYPERLINK("#Main!A"&amp;MATCH(F17,Main!A:A,0),"View URL Details"),HYPERLINK("#Main!A1","View URL Details"))</f>
        <v/>
      </c>
      <c r="U17">
        <f>IFERROR(HYPERLINK("#Main!A"&amp;MATCH(F17,Main!A:A,0),"Open"),HYPERLINK("#Main!A1","Open"))</f>
        <v/>
      </c>
    </row>
    <row r="18">
      <c r="A18" s="4" t="inlineStr">
        <is>
          <t>Uses URL Parameters</t>
        </is>
      </c>
      <c r="B18" s="29" t="inlineStr">
        <is>
          <t>Info</t>
        </is>
      </c>
      <c r="C18" s="29" t="n">
        <v>37</v>
      </c>
      <c r="D18" s="24" t="n">
        <v>0</v>
      </c>
      <c r="E18" s="27" t="inlineStr"/>
      <c r="F18" s="27" t="inlineStr"/>
      <c r="G18" s="24" t="inlineStr">
        <is>
          <t>Apply fix based on issue type and re-run audit.</t>
        </is>
      </c>
      <c r="H18" s="24" t="inlineStr">
        <is>
          <t>Template/technical implementation quality issue.</t>
        </is>
      </c>
      <c r="I18" s="24" t="inlineStr">
        <is>
          <t>Dev</t>
        </is>
      </c>
      <c r="J18" s="24" t="inlineStr">
        <is>
          <t>Dev</t>
        </is>
      </c>
      <c r="K18" s="24" t="inlineStr">
        <is>
          <t>S</t>
        </is>
      </c>
      <c r="L18" s="24" t="n">
        <v>4</v>
      </c>
      <c r="M18" s="4" t="n">
        <v>2</v>
      </c>
      <c r="N18" s="29" t="inlineStr">
        <is>
          <t>Backlog</t>
        </is>
      </c>
      <c r="O18" s="24" t="inlineStr">
        <is>
          <t>In Review</t>
        </is>
      </c>
      <c r="P18" s="24" t="inlineStr">
        <is>
          <t>No</t>
        </is>
      </c>
      <c r="Q18" s="24">
        <f>HYPERLINK("#Main!A1","Open Main")</f>
        <v/>
      </c>
      <c r="R18" s="24" t="inlineStr"/>
      <c r="S18" s="24" t="inlineStr">
        <is>
          <t>SEO</t>
        </is>
      </c>
      <c r="T18">
        <f>IFERROR(HYPERLINK("#Main!A"&amp;MATCH(F18,Main!A:A,0),"View URL Details"),HYPERLINK("#Main!A1","View URL Details"))</f>
        <v/>
      </c>
      <c r="U18">
        <f>IFERROR(HYPERLINK("#Main!A"&amp;MATCH(F18,Main!A:A,0),"Open"),HYPERLINK("#Main!A1","Open"))</f>
        <v/>
      </c>
    </row>
    <row r="19">
      <c r="A19" s="4" t="inlineStr">
        <is>
          <t>Generic Anchor Text Present</t>
        </is>
      </c>
      <c r="B19" s="29" t="inlineStr">
        <is>
          <t>Info</t>
        </is>
      </c>
      <c r="C19" s="29" t="n">
        <v>37</v>
      </c>
      <c r="D19" s="6" t="n">
        <v>0</v>
      </c>
      <c r="E19" s="30" t="inlineStr"/>
      <c r="F19" s="30" t="inlineStr"/>
      <c r="G19" s="6" t="inlineStr">
        <is>
          <t>Apply fix based on issue type and re-run audit.</t>
        </is>
      </c>
      <c r="H19" s="6" t="inlineStr">
        <is>
          <t>Template/technical implementation quality issue.</t>
        </is>
      </c>
      <c r="I19" s="6" t="inlineStr">
        <is>
          <t>Copy Writer</t>
        </is>
      </c>
      <c r="J19" s="6" t="inlineStr">
        <is>
          <t>Copy Writer</t>
        </is>
      </c>
      <c r="K19" s="6" t="inlineStr">
        <is>
          <t>S</t>
        </is>
      </c>
      <c r="L19" s="6" t="n">
        <v>4</v>
      </c>
      <c r="M19" s="4" t="n">
        <v>2</v>
      </c>
      <c r="N19" s="29" t="inlineStr">
        <is>
          <t>Backlog</t>
        </is>
      </c>
      <c r="O19" s="6" t="inlineStr">
        <is>
          <t>In Review</t>
        </is>
      </c>
      <c r="P19" s="6" t="inlineStr">
        <is>
          <t>No</t>
        </is>
      </c>
      <c r="Q19" s="6">
        <f>HYPERLINK("#Main!A1","Open Main")</f>
        <v/>
      </c>
      <c r="R19" s="6" t="inlineStr"/>
      <c r="S19" s="6" t="inlineStr">
        <is>
          <t>SEO</t>
        </is>
      </c>
      <c r="T19">
        <f>IFERROR(HYPERLINK("#Main!A"&amp;MATCH(F19,Main!A:A,0),"View URL Details"),HYPERLINK("#Main!A1","View URL Details"))</f>
        <v/>
      </c>
      <c r="U19">
        <f>IFERROR(HYPERLINK("#Main!A"&amp;MATCH(F19,Main!A:A,0),"Open"),HYPERLINK("#Main!A1","Open"))</f>
        <v/>
      </c>
    </row>
    <row r="20" ht="120" customHeight="1">
      <c r="A20" s="4" t="inlineStr">
        <is>
          <t>No Compression Header</t>
        </is>
      </c>
      <c r="B20" s="29" t="inlineStr">
        <is>
          <t>Info</t>
        </is>
      </c>
      <c r="C20" s="29" t="n">
        <v>37</v>
      </c>
      <c r="D20" s="24" t="n">
        <v>85</v>
      </c>
      <c r="E20" s="27"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20" s="33" t="inlineStr">
        <is>
          <t>https://africanmarketingconfederation.org/</t>
        </is>
      </c>
      <c r="G20" s="24" t="inlineStr">
        <is>
          <t>Apply fix based on issue type and re-run audit.</t>
        </is>
      </c>
      <c r="H20" s="24" t="inlineStr">
        <is>
          <t>Template/technical implementation quality issue.</t>
        </is>
      </c>
      <c r="I20" s="24" t="inlineStr">
        <is>
          <t>Server/Host</t>
        </is>
      </c>
      <c r="J20" s="24" t="inlineStr">
        <is>
          <t>Server/Host</t>
        </is>
      </c>
      <c r="K20" s="24" t="inlineStr">
        <is>
          <t>S</t>
        </is>
      </c>
      <c r="L20" s="24" t="n">
        <v>4</v>
      </c>
      <c r="M20" s="4" t="n">
        <v>2</v>
      </c>
      <c r="N20" s="29" t="inlineStr">
        <is>
          <t>Backlog</t>
        </is>
      </c>
      <c r="O20" s="24" t="inlineStr">
        <is>
          <t>In Review</t>
        </is>
      </c>
      <c r="P20" s="24" t="inlineStr">
        <is>
          <t>No</t>
        </is>
      </c>
      <c r="Q20" s="24">
        <f>IFERROR(HYPERLINK("#Main!A"&amp;MATCH("https://africanmarketingconfederation.org/",Main!A:A,0),"Jump to Main"),HYPERLINK("#Main!A1","Open Main"))</f>
        <v/>
      </c>
      <c r="R20" s="24" t="inlineStr"/>
      <c r="S20" s="24" t="inlineStr">
        <is>
          <t>SEO</t>
        </is>
      </c>
      <c r="T20">
        <f>IFERROR(HYPERLINK("#Main!A"&amp;MATCH(F20,Main!A:A,0),"View URL Details"),HYPERLINK("#Main!A1","View URL Details"))</f>
        <v/>
      </c>
      <c r="U20">
        <f>IFERROR(HYPERLINK("#Main!A"&amp;MATCH(F20,Main!A:A,0),"Open"),HYPERLINK("#Main!A1","Open"))</f>
        <v/>
      </c>
    </row>
    <row r="21" ht="120" customHeight="1">
      <c r="A21" s="4" t="inlineStr">
        <is>
          <t>No Cache-Control Header</t>
        </is>
      </c>
      <c r="B21" s="29" t="inlineStr">
        <is>
          <t>Info</t>
        </is>
      </c>
      <c r="C21" s="29" t="n">
        <v>37</v>
      </c>
      <c r="D21" s="6" t="n">
        <v>85</v>
      </c>
      <c r="E21" s="30"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21" s="33" t="inlineStr">
        <is>
          <t>https://africanmarketingconfederation.org/</t>
        </is>
      </c>
      <c r="G21" s="6" t="inlineStr">
        <is>
          <t>Apply fix based on issue type and re-run audit.</t>
        </is>
      </c>
      <c r="H21" s="6" t="inlineStr">
        <is>
          <t>Template/technical implementation quality issue.</t>
        </is>
      </c>
      <c r="I21" s="6" t="inlineStr">
        <is>
          <t>Server/Host</t>
        </is>
      </c>
      <c r="J21" s="6" t="inlineStr">
        <is>
          <t>Server/Host</t>
        </is>
      </c>
      <c r="K21" s="6" t="inlineStr">
        <is>
          <t>S</t>
        </is>
      </c>
      <c r="L21" s="6" t="n">
        <v>4</v>
      </c>
      <c r="M21" s="4" t="n">
        <v>2</v>
      </c>
      <c r="N21" s="29" t="inlineStr">
        <is>
          <t>Backlog</t>
        </is>
      </c>
      <c r="O21" s="6" t="inlineStr">
        <is>
          <t>In Review</t>
        </is>
      </c>
      <c r="P21" s="6" t="inlineStr">
        <is>
          <t>No</t>
        </is>
      </c>
      <c r="Q21" s="6">
        <f>IFERROR(HYPERLINK("#Main!A"&amp;MATCH("https://africanmarketingconfederation.org/",Main!A:A,0),"Jump to Main"),HYPERLINK("#Main!A1","Open Main"))</f>
        <v/>
      </c>
      <c r="R21" s="6" t="inlineStr"/>
      <c r="S21" s="6" t="inlineStr">
        <is>
          <t>SEO</t>
        </is>
      </c>
      <c r="T21">
        <f>IFERROR(HYPERLINK("#Main!A"&amp;MATCH(F21,Main!A:A,0),"View URL Details"),HYPERLINK("#Main!A1","View URL Details"))</f>
        <v/>
      </c>
      <c r="U21">
        <f>IFERROR(HYPERLINK("#Main!A"&amp;MATCH(F21,Main!A:A,0),"Open"),HYPERLINK("#Main!A1","Open"))</f>
        <v/>
      </c>
    </row>
    <row r="22" ht="120" customHeight="1">
      <c r="A22" s="4" t="inlineStr">
        <is>
          <t>No ETag Header</t>
        </is>
      </c>
      <c r="B22" s="29" t="inlineStr">
        <is>
          <t>Info</t>
        </is>
      </c>
      <c r="C22" s="29" t="n">
        <v>37</v>
      </c>
      <c r="D22" s="24" t="n">
        <v>85</v>
      </c>
      <c r="E22" s="27"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22" s="33" t="inlineStr">
        <is>
          <t>https://africanmarketingconfederation.org/</t>
        </is>
      </c>
      <c r="G22" s="24" t="inlineStr">
        <is>
          <t>Apply fix based on issue type and re-run audit.</t>
        </is>
      </c>
      <c r="H22" s="24" t="inlineStr">
        <is>
          <t>Template/technical implementation quality issue.</t>
        </is>
      </c>
      <c r="I22" s="24" t="inlineStr">
        <is>
          <t>Server/Host</t>
        </is>
      </c>
      <c r="J22" s="24" t="inlineStr">
        <is>
          <t>Server/Host</t>
        </is>
      </c>
      <c r="K22" s="24" t="inlineStr">
        <is>
          <t>S</t>
        </is>
      </c>
      <c r="L22" s="24" t="n">
        <v>4</v>
      </c>
      <c r="M22" s="4" t="n">
        <v>2</v>
      </c>
      <c r="N22" s="29" t="inlineStr">
        <is>
          <t>Backlog</t>
        </is>
      </c>
      <c r="O22" s="24" t="inlineStr">
        <is>
          <t>In Review</t>
        </is>
      </c>
      <c r="P22" s="24" t="inlineStr">
        <is>
          <t>No</t>
        </is>
      </c>
      <c r="Q22" s="24">
        <f>IFERROR(HYPERLINK("#Main!A"&amp;MATCH("https://africanmarketingconfederation.org/",Main!A:A,0),"Jump to Main"),HYPERLINK("#Main!A1","Open Main"))</f>
        <v/>
      </c>
      <c r="R22" s="24" t="inlineStr"/>
      <c r="S22" s="24" t="inlineStr">
        <is>
          <t>SEO</t>
        </is>
      </c>
      <c r="T22">
        <f>IFERROR(HYPERLINK("#Main!A"&amp;MATCH(F22,Main!A:A,0),"View URL Details"),HYPERLINK("#Main!A1","View URL Details"))</f>
        <v/>
      </c>
      <c r="U22">
        <f>IFERROR(HYPERLINK("#Main!A"&amp;MATCH(F22,Main!A:A,0),"Open"),HYPERLINK("#Main!A1","Open"))</f>
        <v/>
      </c>
    </row>
    <row r="23" ht="120" customHeight="1">
      <c r="A23" s="4" t="inlineStr">
        <is>
          <t>No FAQ/QA Schema</t>
        </is>
      </c>
      <c r="B23" s="29" t="inlineStr">
        <is>
          <t>Info</t>
        </is>
      </c>
      <c r="C23" s="29" t="n">
        <v>37</v>
      </c>
      <c r="D23" s="6" t="n">
        <v>85</v>
      </c>
      <c r="E23" s="30"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23" s="33" t="inlineStr">
        <is>
          <t>https://africanmarketingconfederation.org/</t>
        </is>
      </c>
      <c r="G23" s="6" t="inlineStr">
        <is>
          <t>Add valid FAQPage or QAPage JSON-LD where appropriate and ensure on-page parity.</t>
        </is>
      </c>
      <c r="H23" s="6" t="inlineStr">
        <is>
          <t>No FAQPage/QAPage schema found for likely Q&amp;A style content.</t>
        </is>
      </c>
      <c r="I23" s="6" t="inlineStr">
        <is>
          <t>Dev</t>
        </is>
      </c>
      <c r="J23" s="6" t="inlineStr">
        <is>
          <t>Dev</t>
        </is>
      </c>
      <c r="K23" s="6" t="inlineStr">
        <is>
          <t>S</t>
        </is>
      </c>
      <c r="L23" s="6" t="n">
        <v>4</v>
      </c>
      <c r="M23" s="4" t="n">
        <v>2</v>
      </c>
      <c r="N23" s="29" t="inlineStr">
        <is>
          <t>Backlog</t>
        </is>
      </c>
      <c r="O23" s="6" t="inlineStr">
        <is>
          <t>In Review</t>
        </is>
      </c>
      <c r="P23" s="6" t="inlineStr">
        <is>
          <t>No</t>
        </is>
      </c>
      <c r="Q23" s="6">
        <f>IFERROR(HYPERLINK("#Main!A"&amp;MATCH("https://africanmarketingconfederation.org/",Main!A:A,0),"Jump to Main"),HYPERLINK("#Main!A1","Open Main"))</f>
        <v/>
      </c>
      <c r="R23" s="6" t="inlineStr"/>
      <c r="S23" s="6" t="inlineStr">
        <is>
          <t>AEO</t>
        </is>
      </c>
      <c r="T23">
        <f>IFERROR(HYPERLINK("#Main!A"&amp;MATCH(F23,Main!A:A,0),"View URL Details"),HYPERLINK("#Main!A1","View URL Details"))</f>
        <v/>
      </c>
      <c r="U23">
        <f>IFERROR(HYPERLINK("#Main!A"&amp;MATCH(F23,Main!A:A,0),"Open"),HYPERLINK("#Main!A1","Open"))</f>
        <v/>
      </c>
    </row>
    <row r="24" ht="120" customHeight="1">
      <c r="A24" s="4" t="inlineStr">
        <is>
          <t>No Question Headings</t>
        </is>
      </c>
      <c r="B24" s="29" t="inlineStr">
        <is>
          <t>Info</t>
        </is>
      </c>
      <c r="C24" s="29" t="n">
        <v>37</v>
      </c>
      <c r="D24" s="24" t="n">
        <v>85</v>
      </c>
      <c r="E24" s="27"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24" s="33" t="inlineStr">
        <is>
          <t>https://africanmarketingconfederation.org/</t>
        </is>
      </c>
      <c r="G24" s="24" t="inlineStr">
        <is>
          <t>Add clear question-style headings (especially H2/H3) for key intents.</t>
        </is>
      </c>
      <c r="H24" s="24" t="inlineStr">
        <is>
          <t>Headings are not phrased as user questions.</t>
        </is>
      </c>
      <c r="I24" s="24" t="inlineStr">
        <is>
          <t>Copy Writer</t>
        </is>
      </c>
      <c r="J24" s="24" t="inlineStr">
        <is>
          <t>Copy Writer</t>
        </is>
      </c>
      <c r="K24" s="24" t="inlineStr">
        <is>
          <t>S</t>
        </is>
      </c>
      <c r="L24" s="24" t="n">
        <v>4</v>
      </c>
      <c r="M24" s="4" t="n">
        <v>2</v>
      </c>
      <c r="N24" s="29" t="inlineStr">
        <is>
          <t>Backlog</t>
        </is>
      </c>
      <c r="O24" s="24" t="inlineStr">
        <is>
          <t>In Review</t>
        </is>
      </c>
      <c r="P24" s="24" t="inlineStr">
        <is>
          <t>No</t>
        </is>
      </c>
      <c r="Q24" s="24">
        <f>IFERROR(HYPERLINK("#Main!A"&amp;MATCH("https://africanmarketingconfederation.org/",Main!A:A,0),"Jump to Main"),HYPERLINK("#Main!A1","Open Main"))</f>
        <v/>
      </c>
      <c r="R24" s="24" t="inlineStr"/>
      <c r="S24" s="24" t="inlineStr">
        <is>
          <t>AEO</t>
        </is>
      </c>
      <c r="T24">
        <f>IFERROR(HYPERLINK("#Main!A"&amp;MATCH(F24,Main!A:A,0),"View URL Details"),HYPERLINK("#Main!A1","View URL Details"))</f>
        <v/>
      </c>
      <c r="U24">
        <f>IFERROR(HYPERLINK("#Main!A"&amp;MATCH(F24,Main!A:A,0),"Open"),HYPERLINK("#Main!A1","Open"))</f>
        <v/>
      </c>
    </row>
    <row r="25" ht="120" customHeight="1">
      <c r="A25" s="4" t="inlineStr">
        <is>
          <t>No Answer-Friendly Structure</t>
        </is>
      </c>
      <c r="B25" s="29" t="inlineStr">
        <is>
          <t>Info</t>
        </is>
      </c>
      <c r="C25" s="29" t="n">
        <v>37</v>
      </c>
      <c r="D25" s="6" t="n">
        <v>85</v>
      </c>
      <c r="E25" s="30"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25" s="33" t="inlineStr">
        <is>
          <t>https://africanmarketingconfederation.org/</t>
        </is>
      </c>
      <c r="G25" s="6" t="inlineStr">
        <is>
          <t>Introduce structured bullets, ordered steps, or tables for key answers.</t>
        </is>
      </c>
      <c r="H25" s="6" t="inlineStr">
        <is>
          <t>Page lacks lists/tables that help concise answer extraction.</t>
        </is>
      </c>
      <c r="I25" s="6" t="inlineStr">
        <is>
          <t>Copy Writer</t>
        </is>
      </c>
      <c r="J25" s="6" t="inlineStr">
        <is>
          <t>Copy Writer</t>
        </is>
      </c>
      <c r="K25" s="6" t="inlineStr">
        <is>
          <t>S</t>
        </is>
      </c>
      <c r="L25" s="6" t="n">
        <v>4</v>
      </c>
      <c r="M25" s="4" t="n">
        <v>2</v>
      </c>
      <c r="N25" s="29" t="inlineStr">
        <is>
          <t>Backlog</t>
        </is>
      </c>
      <c r="O25" s="6" t="inlineStr">
        <is>
          <t>In Review</t>
        </is>
      </c>
      <c r="P25" s="6" t="inlineStr">
        <is>
          <t>No</t>
        </is>
      </c>
      <c r="Q25" s="6">
        <f>IFERROR(HYPERLINK("#Main!A"&amp;MATCH("https://africanmarketingconfederation.org/",Main!A:A,0),"Jump to Main"),HYPERLINK("#Main!A1","Open Main"))</f>
        <v/>
      </c>
      <c r="R25" s="6" t="inlineStr"/>
      <c r="S25" s="6" t="inlineStr">
        <is>
          <t>AEO</t>
        </is>
      </c>
      <c r="T25">
        <f>IFERROR(HYPERLINK("#Main!A"&amp;MATCH(F25,Main!A:A,0),"View URL Details"),HYPERLINK("#Main!A1","View URL Details"))</f>
        <v/>
      </c>
      <c r="U25">
        <f>IFERROR(HYPERLINK("#Main!A"&amp;MATCH(F25,Main!A:A,0),"Open"),HYPERLINK("#Main!A1","Open"))</f>
        <v/>
      </c>
    </row>
    <row r="26" ht="120" customHeight="1">
      <c r="A26" s="4" t="inlineStr">
        <is>
          <t>No 40-60 Word Answer Paragraphs</t>
        </is>
      </c>
      <c r="B26" s="29" t="inlineStr">
        <is>
          <t>Info</t>
        </is>
      </c>
      <c r="C26" s="29" t="n">
        <v>37</v>
      </c>
      <c r="D26" s="24" t="n">
        <v>85</v>
      </c>
      <c r="E26" s="27" t="inlineStr">
        <is>
          <t>https://africanmarketingconfederation.org/
https://africanmarketingconfederation.org/publication-download-list/
https://africanmarketingconfederation.org/launch-event-2026-amc-conference/
https://africanmarketingconfederation.org/publications-2/
https://africanmarketingconfederation.org/certified-professional-marketer-africa/
https://africanmarketingconfederation.org/chartered-marketer-africa/
https://africanmarketingconfederation.org/amc-conference-2026/
https://africanmarketingconfederation.org/education/
https://africanmarketingconfederation.org/awards-2026/
https://africanmarketingconfederation.org/contact-us/
https://africanmarketingconfederation.org/news-articles/
https://africanmarketingconfederation.org/african-marketing-confederation-tourism-chapter/
https://africanmarketingconfederation.org/sub-committees/
https://africanmarketingconfederation.org/members/
https://africanmarketingconfederation.org/about-us/
https://africanmarketingconfederation.org/awards-2026-1/
https://africanmarketingconfederation.org/awards-2026-test/
https://africanmarketingconfederation.org/amc-conference-2026-awards-nominations-thank-you/
https://africanmarketingconfederation.org/speakers-2025/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https://africanmarketingconfederation.org/checkout/
https://africanmarketingconfederation.org/amc-awards-2024/
https://africanmarketingconfederation.org/amc-conference-2023/
https://africanmarketingconfederation.org/amc-forum-mombasa/
https://africanmarketingconfederation.org/amc-marketing-conference-2024/amc-speakers-presentations-2024/
https://africanmarketingconfederation.org/amc-marketing-conference-2024/testimony-thank-you-page/
https://africanmarketingconfederation.org/amc-sign-up-now-form-2025/
https://africanmarketingconfederation.org/amc-marketing-conference-2024/
https://africanmarketingconfederation.org/amc-testimony-page-2024/
https://africanmarketingconfederation.org/thank-you-for-registering-2024-registrations/
https://africanmarketingconfederation.org/download-prospectus-2024/
https://africanmarketingconfederation.org/thank-you-for-registering-2024-registrations-kenya/</t>
        </is>
      </c>
      <c r="F26" s="33" t="inlineStr">
        <is>
          <t>https://africanmarketingconfederation.org/</t>
        </is>
      </c>
      <c r="G26" s="24" t="inlineStr">
        <is>
          <t>Add a direct 40-60 word answer summary near question headings.</t>
        </is>
      </c>
      <c r="H26" s="24" t="inlineStr">
        <is>
          <t>No concise answer-length paragraph detected.</t>
        </is>
      </c>
      <c r="I26" s="24" t="inlineStr">
        <is>
          <t>Copy Writer</t>
        </is>
      </c>
      <c r="J26" s="24" t="inlineStr">
        <is>
          <t>Copy Writer</t>
        </is>
      </c>
      <c r="K26" s="24" t="inlineStr">
        <is>
          <t>S</t>
        </is>
      </c>
      <c r="L26" s="24" t="n">
        <v>4</v>
      </c>
      <c r="M26" s="4" t="n">
        <v>2</v>
      </c>
      <c r="N26" s="29" t="inlineStr">
        <is>
          <t>Backlog</t>
        </is>
      </c>
      <c r="O26" s="24" t="inlineStr">
        <is>
          <t>In Review</t>
        </is>
      </c>
      <c r="P26" s="24" t="inlineStr">
        <is>
          <t>No</t>
        </is>
      </c>
      <c r="Q26" s="24">
        <f>IFERROR(HYPERLINK("#Main!A"&amp;MATCH("https://africanmarketingconfederation.org/",Main!A:A,0),"Jump to Main"),HYPERLINK("#Main!A1","Open Main"))</f>
        <v/>
      </c>
      <c r="R26" s="24" t="inlineStr"/>
      <c r="S26" s="24" t="inlineStr">
        <is>
          <t>AEO</t>
        </is>
      </c>
      <c r="T26">
        <f>IFERROR(HYPERLINK("#Main!A"&amp;MATCH(F26,Main!A:A,0),"View URL Details"),HYPERLINK("#Main!A1","View URL Details"))</f>
        <v/>
      </c>
      <c r="U26">
        <f>IFERROR(HYPERLINK("#Main!A"&amp;MATCH(F26,Main!A:A,0),"Open"),HYPERLINK("#Main!A1","Open"))</f>
        <v/>
      </c>
    </row>
    <row r="27" ht="45" customHeight="1">
      <c r="A27" s="4" t="inlineStr">
        <is>
          <t>Image Filename Quality Issues</t>
        </is>
      </c>
      <c r="B27" s="29" t="inlineStr">
        <is>
          <t>Info</t>
        </is>
      </c>
      <c r="C27" s="29" t="n">
        <v>37</v>
      </c>
      <c r="D27" s="6" t="n">
        <v>2</v>
      </c>
      <c r="E27" s="30" t="inlineStr">
        <is>
          <t>https://africanmarketingconfederation.org/amc-conference-2026/
https://africanmarketingconfederation.org/amc-conference-2025-highlights/</t>
        </is>
      </c>
      <c r="F27" s="33" t="inlineStr">
        <is>
          <t>https://africanmarketingconfederation.org/amc-conference-2026/</t>
        </is>
      </c>
      <c r="G27" s="6" t="inlineStr">
        <is>
          <t>Apply fix based on issue type and re-run audit.</t>
        </is>
      </c>
      <c r="H27" s="6" t="inlineStr">
        <is>
          <t>Template/technical implementation quality issue.</t>
        </is>
      </c>
      <c r="I27" s="6" t="inlineStr">
        <is>
          <t>Copy Writer</t>
        </is>
      </c>
      <c r="J27" s="6" t="inlineStr">
        <is>
          <t>Copy Writer</t>
        </is>
      </c>
      <c r="K27" s="6" t="inlineStr">
        <is>
          <t>S</t>
        </is>
      </c>
      <c r="L27" s="6" t="n">
        <v>4</v>
      </c>
      <c r="M27" s="4" t="n">
        <v>2</v>
      </c>
      <c r="N27" s="29" t="inlineStr">
        <is>
          <t>Backlog</t>
        </is>
      </c>
      <c r="O27" s="6" t="inlineStr">
        <is>
          <t>In Review</t>
        </is>
      </c>
      <c r="P27" s="6" t="inlineStr">
        <is>
          <t>No</t>
        </is>
      </c>
      <c r="Q27" s="6">
        <f>IFERROR(HYPERLINK("#Main!A"&amp;MATCH("https://africanmarketingconfederation.org/amc-conference-2026/",Main!A:A,0),"Jump to Main"),HYPERLINK("#Main!A1","Open Main"))</f>
        <v/>
      </c>
      <c r="R27" s="6" t="inlineStr"/>
      <c r="S27" s="6" t="inlineStr">
        <is>
          <t>SEO</t>
        </is>
      </c>
      <c r="T27">
        <f>IFERROR(HYPERLINK("#Main!A"&amp;MATCH(F27,Main!A:A,0),"View URL Details"),HYPERLINK("#Main!A1","View URL Details"))</f>
        <v/>
      </c>
      <c r="U27">
        <f>IFERROR(HYPERLINK("#Main!A"&amp;MATCH(F27,Main!A:A,0),"Open"),HYPERLINK("#Main!A1","Open"))</f>
        <v/>
      </c>
    </row>
  </sheetData>
  <autoFilter ref="A1:S27"/>
  <conditionalFormatting sqref="C2:C27">
    <cfRule type="cellIs" priority="1" operator="greaterThanOrEqual" dxfId="6">
      <formula>85</formula>
    </cfRule>
    <cfRule type="cellIs" priority="2" operator="between" dxfId="7">
      <formula>65</formula>
      <formula>84</formula>
    </cfRule>
  </conditionalFormatting>
  <conditionalFormatting sqref="P2:P27">
    <cfRule type="expression" priority="3" dxfId="2" stopIfTrue="1">
      <formula>LOWER(P2)="yes"</formula>
    </cfRule>
    <cfRule type="expression" priority="4" dxfId="0" stopIfTrue="1">
      <formula>LOWER(P2)="no"</formula>
    </cfRule>
  </conditionalFormatting>
  <conditionalFormatting sqref="O2:O27">
    <cfRule type="expression" priority="5" dxfId="4" stopIfTrue="1">
      <formula>LOWER(O2)="done"</formula>
    </cfRule>
    <cfRule type="expression" priority="6" dxfId="5" stopIfTrue="1">
      <formula>OR(LOWER(O2)="to do",LOWER(O2)="in progress",LOWER(O2)="in review")</formula>
    </cfRule>
  </conditionalFormatting>
  <dataValidations count="26">
    <dataValidation sqref="O2:O27" showDropDown="0" showInputMessage="0" showErrorMessage="0" allowBlank="1" type="list">
      <formula1>"To Do,In Progress,Done"</formula1>
    </dataValidation>
    <dataValidation sqref="J2:J27" showDropDown="0" showInputMessage="0" showErrorMessage="0" allowBlank="1" type="list">
      <formula1>"Copy Writer,Dev,Server/Host"</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URL" prompt="URL. Use this URL to inspect the page directly or jump to related tabs." type="custom">
      <formula1>TRUE</formula1>
    </dataValidation>
    <dataValidation sqref="G1" showDropDown="0" showInputMessage="1" showErrorMessage="0" allowBlank="1" promptTitle="Recommended Fix" prompt="Recommended Fix. Review this metric to identify risk, then use linked tabs for details and remediation." type="custom">
      <formula1>TRUE</formula1>
    </dataValidation>
    <dataValidation sqref="H1" showDropDown="0" showInputMessage="1" showErrorMessage="0" allowBlank="1" promptTitle="Likely Root Cause" prompt="Likely Root Cause.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Agency Owner" prompt="Workflow management field for planning and tracking remediation progress." type="custom">
      <formula1>TRUE</formula1>
    </dataValidation>
    <dataValidation sqref="K1" showDropDown="0" showInputMessage="1" showErrorMessage="0" allowBlank="1" promptTitle="Effort" prompt="Effort. Review this metric to identify risk, then use linked tabs for details and remediation." type="custom">
      <formula1>TRUE</formula1>
    </dataValidation>
    <dataValidation sqref="L1" showDropDown="0" showInputMessage="1" showErrorMessage="0" allowBlank="1" promptTitle="Est. Hours" prompt="Est. Hours. Review this metric to identify risk, then use linked tabs for details and remediation." type="custom">
      <formula1>TRUE</formula1>
    </dataValidation>
    <dataValidation sqref="M1" showDropDown="0" showInputMessage="1" showErrorMessage="0" allowBlank="1" promptTitle="Est. Sprint Points" prompt="Workflow management field for planning and tracking remediation progress." type="custom">
      <formula1>TRUE</formula1>
    </dataValidation>
    <dataValidation sqref="N1" showDropDown="0" showInputMessage="1" showErrorMessage="0" allowBlank="1" promptTitle="Aging/Priority" prompt="Aging/Priority. Review this metric to identify risk, then use linked tabs for details and remediation."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Action Needed" prompt="Action Needed. Review this metric to identify risk, then use linked tabs for details and remediation." type="custom">
      <formula1>TRUE</formula1>
    </dataValidation>
    <dataValidation sqref="Q1" showDropDown="0" showInputMessage="1" showErrorMessage="0" allowBlank="1" promptTitle="Jump to Details" prompt="Jump to Details. Review this metric to identify risk, then use linked tabs for details and remediation." type="custom">
      <formula1>TRUE</formula1>
    </dataValidation>
    <dataValidation sqref="R1" showDropDown="0" showInputMessage="1" showErrorMessage="0" allowBlank="1" promptTitle="Sprint" prompt="Workflow management field for planning and tracking remediation progress." type="custom">
      <formula1>TRUE</formula1>
    </dataValidation>
    <dataValidation sqref="S1" showDropDown="0" showInputMessage="1" showErrorMessage="0" allowBlank="1" promptTitle="Category" prompt="Category. Review this metric to identify risk, then use linked tabs for details and remediation." type="custom">
      <formula1>TRUE</formula1>
    </dataValidation>
    <dataValidation sqref="T1" showDropDown="0" showInputMessage="1" showErrorMessage="0" allowBlank="1" promptTitle="View Details" prompt="Navigation helper. Click to jump directly to the related record in another tab." type="custom">
      <formula1>TRUE</formula1>
    </dataValidation>
    <dataValidation sqref="U1" showDropDown="0" showInputMessage="1" showErrorMessage="0" allowBlank="1" promptTitle="Open in Main" prompt="Navigation helper. Click to jump directly to the related record in another tab." type="custom">
      <formula1>TRUE</formula1>
    </dataValidation>
    <dataValidation sqref="V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V1" r:id="rId1"/>
    <hyperlink xmlns:r="http://schemas.openxmlformats.org/officeDocument/2006/relationships" ref="F6" r:id="rId2"/>
    <hyperlink xmlns:r="http://schemas.openxmlformats.org/officeDocument/2006/relationships" ref="F12" r:id="rId3"/>
    <hyperlink xmlns:r="http://schemas.openxmlformats.org/officeDocument/2006/relationships" ref="F13" r:id="rId4"/>
    <hyperlink xmlns:r="http://schemas.openxmlformats.org/officeDocument/2006/relationships" ref="F14" r:id="rId5"/>
    <hyperlink xmlns:r="http://schemas.openxmlformats.org/officeDocument/2006/relationships" ref="F15" r:id="rId6"/>
    <hyperlink xmlns:r="http://schemas.openxmlformats.org/officeDocument/2006/relationships" ref="F16" r:id="rId7"/>
    <hyperlink xmlns:r="http://schemas.openxmlformats.org/officeDocument/2006/relationships" ref="F17" r:id="rId8"/>
    <hyperlink xmlns:r="http://schemas.openxmlformats.org/officeDocument/2006/relationships" ref="F20" r:id="rId9"/>
    <hyperlink xmlns:r="http://schemas.openxmlformats.org/officeDocument/2006/relationships" ref="F21" r:id="rId10"/>
    <hyperlink xmlns:r="http://schemas.openxmlformats.org/officeDocument/2006/relationships" ref="F22" r:id="rId11"/>
    <hyperlink xmlns:r="http://schemas.openxmlformats.org/officeDocument/2006/relationships" ref="F23" r:id="rId12"/>
    <hyperlink xmlns:r="http://schemas.openxmlformats.org/officeDocument/2006/relationships" ref="F24" r:id="rId13"/>
    <hyperlink xmlns:r="http://schemas.openxmlformats.org/officeDocument/2006/relationships" ref="F25" r:id="rId14"/>
    <hyperlink xmlns:r="http://schemas.openxmlformats.org/officeDocument/2006/relationships" ref="F26" r:id="rId15"/>
    <hyperlink xmlns:r="http://schemas.openxmlformats.org/officeDocument/2006/relationships" ref="F27"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6" customWidth="1" min="3" max="3"/>
    <col width="18" customWidth="1" min="4" max="4"/>
    <col width="23" customWidth="1" min="5" max="5"/>
    <col width="22" customWidth="1" min="6" max="6"/>
    <col width="15" customWidth="1" min="7" max="7"/>
    <col width="21" customWidth="1" min="8" max="8"/>
    <col width="13" customWidth="1" min="9" max="9"/>
    <col width="8" customWidth="1" min="10" max="10"/>
    <col width="8" customWidth="1" min="11" max="11"/>
    <col width="21" customWidth="1" min="12" max="12"/>
    <col width="29" customWidth="1" min="13" max="13"/>
    <col width="16" customWidth="1" min="14" max="14"/>
  </cols>
  <sheetData>
    <row r="1">
      <c r="A1" s="1" t="inlineStr">
        <is>
          <t>URL</t>
        </is>
      </c>
      <c r="B1" s="1" t="inlineStr">
        <is>
          <t>Business Risk Score</t>
        </is>
      </c>
      <c r="C1" s="1" t="inlineStr">
        <is>
          <t>Severity Badge</t>
        </is>
      </c>
      <c r="D1" s="1" t="inlineStr">
        <is>
          <t>SEO Health Score</t>
        </is>
      </c>
      <c r="E1" s="1" t="inlineStr">
        <is>
          <t>Critical Issues Count</t>
        </is>
      </c>
      <c r="F1" s="1" t="inlineStr">
        <is>
          <t>Warning Issues Count</t>
        </is>
      </c>
      <c r="G1" s="1" t="inlineStr">
        <is>
          <t>Action Needed</t>
        </is>
      </c>
      <c r="H1" s="1" t="inlineStr">
        <is>
          <t>Why Prioritized</t>
        </is>
      </c>
      <c r="I1" s="1" t="inlineStr">
        <is>
          <t>Owner</t>
        </is>
      </c>
      <c r="J1" s="1" t="inlineStr">
        <is>
          <t>Status</t>
        </is>
      </c>
      <c r="K1" s="1" t="inlineStr">
        <is>
          <t>Sprint</t>
        </is>
      </c>
      <c r="L1" s="1" t="inlineStr">
        <is>
          <t>Indexability Reason</t>
        </is>
      </c>
      <c r="M1" s="1" t="inlineStr">
        <is>
          <t>Broken Internal Links Count</t>
        </is>
      </c>
      <c r="N1" s="1" t="inlineStr">
        <is>
          <t>Canonical Type</t>
        </is>
      </c>
      <c r="O1" t="inlineStr">
        <is>
          <t>Open in Main</t>
        </is>
      </c>
      <c r="P1" t="inlineStr">
        <is>
          <t>Open in Technical</t>
        </is>
      </c>
      <c r="Q1" s="23" t="inlineStr">
        <is>
          <t>BACK TO DASHBOARD</t>
        </is>
      </c>
    </row>
    <row r="2" ht="30" customHeight="1">
      <c r="A2" s="33" t="inlineStr">
        <is>
          <t>https://africanmarketingconfederation.org/amc-marketing-conference-2024/speakers-2024/</t>
        </is>
      </c>
      <c r="B2" s="24" t="n">
        <v>136</v>
      </c>
      <c r="C2" s="32" t="inlineStr">
        <is>
          <t>Critical</t>
        </is>
      </c>
      <c r="D2" s="24" t="n">
        <v>24</v>
      </c>
      <c r="E2" s="24" t="n">
        <v>1</v>
      </c>
      <c r="F2" s="24" t="n">
        <v>3</v>
      </c>
      <c r="G2" s="24" t="inlineStr">
        <is>
          <t>Yes</t>
        </is>
      </c>
      <c r="H2" s="24" t="inlineStr">
        <is>
          <t>Has critical issues</t>
        </is>
      </c>
      <c r="I2" s="24" t="inlineStr">
        <is>
          <t>Dev</t>
        </is>
      </c>
      <c r="J2" s="25" t="inlineStr">
        <is>
          <t>Open</t>
        </is>
      </c>
      <c r="K2" s="24" t="inlineStr"/>
      <c r="L2" s="32" t="inlineStr">
        <is>
          <t>HTTP 404</t>
        </is>
      </c>
      <c r="M2" s="4" t="n">
        <v>0</v>
      </c>
      <c r="N2" s="24" t="inlineStr"/>
      <c r="O2">
        <f>IFERROR(HYPERLINK("#Main!A"&amp;MATCH(A2,Main!A:A,0),"Open"),HYPERLINK("#Main!A1","Open"))</f>
        <v/>
      </c>
      <c r="P2">
        <f>IFERROR(HYPERLINK("#Technical!A"&amp;MATCH(A2,Technical!A:A,0),"Open"),HYPERLINK("#Technical!A1","Open"))</f>
        <v/>
      </c>
    </row>
    <row r="3" ht="30" customHeight="1">
      <c r="A3" s="33" t="inlineStr">
        <is>
          <t>https://africanmarketingconfederation.org/amc-conference-sponsors/</t>
        </is>
      </c>
      <c r="B3" s="6" t="n">
        <v>136</v>
      </c>
      <c r="C3" s="32" t="inlineStr">
        <is>
          <t>Critical</t>
        </is>
      </c>
      <c r="D3" s="6" t="n">
        <v>24</v>
      </c>
      <c r="E3" s="6" t="n">
        <v>1</v>
      </c>
      <c r="F3" s="6" t="n">
        <v>3</v>
      </c>
      <c r="G3" s="6" t="inlineStr">
        <is>
          <t>Yes</t>
        </is>
      </c>
      <c r="H3" s="6" t="inlineStr">
        <is>
          <t>Has critical issues</t>
        </is>
      </c>
      <c r="I3" s="6" t="inlineStr">
        <is>
          <t>Dev</t>
        </is>
      </c>
      <c r="J3" s="25" t="inlineStr">
        <is>
          <t>Open</t>
        </is>
      </c>
      <c r="K3" s="6" t="inlineStr"/>
      <c r="L3" s="32" t="inlineStr">
        <is>
          <t>HTTP 404</t>
        </is>
      </c>
      <c r="M3" s="4" t="n">
        <v>0</v>
      </c>
      <c r="N3" s="6" t="inlineStr"/>
      <c r="O3">
        <f>IFERROR(HYPERLINK("#Main!A"&amp;MATCH(A3,Main!A:A,0),"Open"),HYPERLINK("#Main!A1","Open"))</f>
        <v/>
      </c>
      <c r="P3">
        <f>IFERROR(HYPERLINK("#Technical!A"&amp;MATCH(A3,Technical!A:A,0),"Open"),HYPERLINK("#Technical!A1","Open"))</f>
        <v/>
      </c>
    </row>
    <row r="4" ht="30" customHeight="1">
      <c r="A4" s="33" t="inlineStr">
        <is>
          <t>https://africanmarketingconfederation.org/elementor-20341/</t>
        </is>
      </c>
      <c r="B4" s="24" t="n">
        <v>101</v>
      </c>
      <c r="C4" s="25" t="inlineStr">
        <is>
          <t>Warning</t>
        </is>
      </c>
      <c r="D4" s="24" t="n">
        <v>39</v>
      </c>
      <c r="E4" s="24" t="n">
        <v>0</v>
      </c>
      <c r="F4" s="24" t="n">
        <v>4</v>
      </c>
      <c r="G4" s="24" t="inlineStr">
        <is>
          <t>Yes</t>
        </is>
      </c>
      <c r="H4" s="24" t="inlineStr">
        <is>
          <t>Monitor</t>
        </is>
      </c>
      <c r="I4" s="24" t="inlineStr">
        <is>
          <t>Copy Writer</t>
        </is>
      </c>
      <c r="J4" s="25" t="inlineStr">
        <is>
          <t>Open</t>
        </is>
      </c>
      <c r="K4" s="24" t="inlineStr"/>
      <c r="L4" s="4" t="inlineStr">
        <is>
          <t>Indexable</t>
        </is>
      </c>
      <c r="M4" s="4" t="n">
        <v>0</v>
      </c>
      <c r="N4" s="24" t="inlineStr"/>
      <c r="O4">
        <f>IFERROR(HYPERLINK("#Main!A"&amp;MATCH(A4,Main!A:A,0),"Open"),HYPERLINK("#Main!A1","Open"))</f>
        <v/>
      </c>
      <c r="P4">
        <f>IFERROR(HYPERLINK("#Technical!A"&amp;MATCH(A4,Technical!A:A,0),"Open"),HYPERLINK("#Technical!A1","Open"))</f>
        <v/>
      </c>
    </row>
    <row r="5" ht="30" customHeight="1">
      <c r="A5" s="33" t="inlineStr">
        <is>
          <t>https://africanmarketingconfederation.org/amc-conference-2023/amc-awards-book-now/</t>
        </is>
      </c>
      <c r="B5" s="6" t="n">
        <v>101</v>
      </c>
      <c r="C5" s="25" t="inlineStr">
        <is>
          <t>Warning</t>
        </is>
      </c>
      <c r="D5" s="6" t="n">
        <v>39</v>
      </c>
      <c r="E5" s="6" t="n">
        <v>0</v>
      </c>
      <c r="F5" s="6" t="n">
        <v>4</v>
      </c>
      <c r="G5" s="6" t="inlineStr">
        <is>
          <t>Yes</t>
        </is>
      </c>
      <c r="H5" s="6" t="inlineStr">
        <is>
          <t>Monitor</t>
        </is>
      </c>
      <c r="I5" s="6" t="inlineStr">
        <is>
          <t>Copy Writer</t>
        </is>
      </c>
      <c r="J5" s="25" t="inlineStr">
        <is>
          <t>Open</t>
        </is>
      </c>
      <c r="K5" s="6" t="inlineStr"/>
      <c r="L5" s="4" t="inlineStr">
        <is>
          <t>Indexable</t>
        </is>
      </c>
      <c r="M5" s="4" t="n">
        <v>0</v>
      </c>
      <c r="N5" s="6" t="inlineStr"/>
      <c r="O5">
        <f>IFERROR(HYPERLINK("#Main!A"&amp;MATCH(A5,Main!A:A,0),"Open"),HYPERLINK("#Main!A1","Open"))</f>
        <v/>
      </c>
      <c r="P5">
        <f>IFERROR(HYPERLINK("#Technical!A"&amp;MATCH(A5,Technical!A:A,0),"Open"),HYPERLINK("#Technical!A1","Open"))</f>
        <v/>
      </c>
    </row>
    <row r="6" ht="30" customHeight="1">
      <c r="A6" s="33" t="inlineStr">
        <is>
          <t>https://africanmarketingconfederation.org/amc-masterclass-bookings/</t>
        </is>
      </c>
      <c r="B6" s="24" t="n">
        <v>101</v>
      </c>
      <c r="C6" s="25" t="inlineStr">
        <is>
          <t>Warning</t>
        </is>
      </c>
      <c r="D6" s="24" t="n">
        <v>39</v>
      </c>
      <c r="E6" s="24" t="n">
        <v>0</v>
      </c>
      <c r="F6" s="24" t="n">
        <v>4</v>
      </c>
      <c r="G6" s="24" t="inlineStr">
        <is>
          <t>Yes</t>
        </is>
      </c>
      <c r="H6" s="24" t="inlineStr">
        <is>
          <t>Monitor</t>
        </is>
      </c>
      <c r="I6" s="24" t="inlineStr">
        <is>
          <t>Copy Writer</t>
        </is>
      </c>
      <c r="J6" s="25" t="inlineStr">
        <is>
          <t>Open</t>
        </is>
      </c>
      <c r="K6" s="24" t="inlineStr"/>
      <c r="L6" s="4" t="inlineStr">
        <is>
          <t>Indexable</t>
        </is>
      </c>
      <c r="M6" s="4" t="n">
        <v>0</v>
      </c>
      <c r="N6" s="24" t="inlineStr"/>
      <c r="O6">
        <f>IFERROR(HYPERLINK("#Main!A"&amp;MATCH(A6,Main!A:A,0),"Open"),HYPERLINK("#Main!A1","Open"))</f>
        <v/>
      </c>
      <c r="P6">
        <f>IFERROR(HYPERLINK("#Technical!A"&amp;MATCH(A6,Technical!A:A,0),"Open"),HYPERLINK("#Technical!A1","Open"))</f>
        <v/>
      </c>
    </row>
    <row r="7" ht="30" customHeight="1">
      <c r="A7" s="33" t="inlineStr">
        <is>
          <t>https://africanmarketingconfederation.org/publication-download-list/</t>
        </is>
      </c>
      <c r="B7" s="6" t="n">
        <v>81</v>
      </c>
      <c r="C7" s="25" t="inlineStr">
        <is>
          <t>Warning</t>
        </is>
      </c>
      <c r="D7" s="6" t="n">
        <v>49</v>
      </c>
      <c r="E7" s="6" t="n">
        <v>0</v>
      </c>
      <c r="F7" s="6" t="n">
        <v>3</v>
      </c>
      <c r="G7" s="6" t="inlineStr">
        <is>
          <t>Yes</t>
        </is>
      </c>
      <c r="H7" s="6" t="inlineStr">
        <is>
          <t>Monitor</t>
        </is>
      </c>
      <c r="I7" s="6" t="inlineStr">
        <is>
          <t>Copy Writer</t>
        </is>
      </c>
      <c r="J7" s="25" t="inlineStr">
        <is>
          <t>Open</t>
        </is>
      </c>
      <c r="K7" s="6" t="inlineStr"/>
      <c r="L7" s="4" t="inlineStr">
        <is>
          <t>Indexable</t>
        </is>
      </c>
      <c r="M7" s="4" t="n">
        <v>0</v>
      </c>
      <c r="N7" s="6" t="inlineStr"/>
      <c r="O7">
        <f>IFERROR(HYPERLINK("#Main!A"&amp;MATCH(A7,Main!A:A,0),"Open"),HYPERLINK("#Main!A1","Open"))</f>
        <v/>
      </c>
      <c r="P7">
        <f>IFERROR(HYPERLINK("#Technical!A"&amp;MATCH(A7,Technical!A:A,0),"Open"),HYPERLINK("#Technical!A1","Open"))</f>
        <v/>
      </c>
    </row>
    <row r="8" ht="30" customHeight="1">
      <c r="A8" s="33" t="inlineStr">
        <is>
          <t>https://africanmarketingconfederation.org/amc-conference-2026-awards-nominations-thank-you/</t>
        </is>
      </c>
      <c r="B8" s="24" t="n">
        <v>81</v>
      </c>
      <c r="C8" s="25" t="inlineStr">
        <is>
          <t>Warning</t>
        </is>
      </c>
      <c r="D8" s="24" t="n">
        <v>49</v>
      </c>
      <c r="E8" s="24" t="n">
        <v>0</v>
      </c>
      <c r="F8" s="24" t="n">
        <v>3</v>
      </c>
      <c r="G8" s="24" t="inlineStr">
        <is>
          <t>Yes</t>
        </is>
      </c>
      <c r="H8" s="24" t="inlineStr">
        <is>
          <t>Monitor</t>
        </is>
      </c>
      <c r="I8" s="24" t="inlineStr">
        <is>
          <t>Copy Writer</t>
        </is>
      </c>
      <c r="J8" s="25" t="inlineStr">
        <is>
          <t>Open</t>
        </is>
      </c>
      <c r="K8" s="24" t="inlineStr"/>
      <c r="L8" s="4" t="inlineStr">
        <is>
          <t>Indexable</t>
        </is>
      </c>
      <c r="M8" s="4" t="n">
        <v>0</v>
      </c>
      <c r="N8" s="24" t="inlineStr"/>
      <c r="O8">
        <f>IFERROR(HYPERLINK("#Main!A"&amp;MATCH(A8,Main!A:A,0),"Open"),HYPERLINK("#Main!A1","Open"))</f>
        <v/>
      </c>
      <c r="P8">
        <f>IFERROR(HYPERLINK("#Technical!A"&amp;MATCH(A8,Technical!A:A,0),"Open"),HYPERLINK("#Technical!A1","Open"))</f>
        <v/>
      </c>
    </row>
    <row r="9" ht="30" customHeight="1">
      <c r="A9" s="33" t="inlineStr">
        <is>
          <t>https://africanmarketingconfederation.org/amc-conference-2026-zambia-thank-you/</t>
        </is>
      </c>
      <c r="B9" s="6" t="n">
        <v>81</v>
      </c>
      <c r="C9" s="25" t="inlineStr">
        <is>
          <t>Warning</t>
        </is>
      </c>
      <c r="D9" s="6" t="n">
        <v>49</v>
      </c>
      <c r="E9" s="6" t="n">
        <v>0</v>
      </c>
      <c r="F9" s="6" t="n">
        <v>3</v>
      </c>
      <c r="G9" s="6" t="inlineStr">
        <is>
          <t>Yes</t>
        </is>
      </c>
      <c r="H9" s="6" t="inlineStr">
        <is>
          <t>Monitor</t>
        </is>
      </c>
      <c r="I9" s="6" t="inlineStr">
        <is>
          <t>Copy Writer</t>
        </is>
      </c>
      <c r="J9" s="25" t="inlineStr">
        <is>
          <t>Open</t>
        </is>
      </c>
      <c r="K9" s="6" t="inlineStr"/>
      <c r="L9" s="4" t="inlineStr">
        <is>
          <t>Indexable</t>
        </is>
      </c>
      <c r="M9" s="4" t="n">
        <v>0</v>
      </c>
      <c r="N9" s="6" t="inlineStr"/>
      <c r="O9">
        <f>IFERROR(HYPERLINK("#Main!A"&amp;MATCH(A9,Main!A:A,0),"Open"),HYPERLINK("#Main!A1","Open"))</f>
        <v/>
      </c>
      <c r="P9">
        <f>IFERROR(HYPERLINK("#Technical!A"&amp;MATCH(A9,Technical!A:A,0),"Open"),HYPERLINK("#Technical!A1","Open"))</f>
        <v/>
      </c>
    </row>
    <row r="10" ht="30" customHeight="1">
      <c r="A10" s="33" t="inlineStr">
        <is>
          <t>https://africanmarketingconfederation.org/amc-launch-event-zambia-thank-you-2026/</t>
        </is>
      </c>
      <c r="B10" s="24" t="n">
        <v>81</v>
      </c>
      <c r="C10" s="25" t="inlineStr">
        <is>
          <t>Warning</t>
        </is>
      </c>
      <c r="D10" s="24" t="n">
        <v>49</v>
      </c>
      <c r="E10" s="24" t="n">
        <v>0</v>
      </c>
      <c r="F10" s="24" t="n">
        <v>3</v>
      </c>
      <c r="G10" s="24" t="inlineStr">
        <is>
          <t>Yes</t>
        </is>
      </c>
      <c r="H10" s="24" t="inlineStr">
        <is>
          <t>Monitor</t>
        </is>
      </c>
      <c r="I10" s="24" t="inlineStr">
        <is>
          <t>Copy Writer</t>
        </is>
      </c>
      <c r="J10" s="25" t="inlineStr">
        <is>
          <t>Open</t>
        </is>
      </c>
      <c r="K10" s="24" t="inlineStr"/>
      <c r="L10" s="4" t="inlineStr">
        <is>
          <t>Indexable</t>
        </is>
      </c>
      <c r="M10" s="4" t="n">
        <v>0</v>
      </c>
      <c r="N10" s="24" t="inlineStr"/>
      <c r="O10">
        <f>IFERROR(HYPERLINK("#Main!A"&amp;MATCH(A10,Main!A:A,0),"Open"),HYPERLINK("#Main!A1","Open"))</f>
        <v/>
      </c>
      <c r="P10">
        <f>IFERROR(HYPERLINK("#Technical!A"&amp;MATCH(A10,Technical!A:A,0),"Open"),HYPERLINK("#Technical!A1","Open"))</f>
        <v/>
      </c>
    </row>
    <row r="11" ht="30" customHeight="1">
      <c r="A11" s="33" t="inlineStr">
        <is>
          <t>https://africanmarketingconfederation.org/amc-marketing-conference-2024/amc-programme-2025/</t>
        </is>
      </c>
      <c r="B11" s="6" t="n">
        <v>81</v>
      </c>
      <c r="C11" s="25" t="inlineStr">
        <is>
          <t>Warning</t>
        </is>
      </c>
      <c r="D11" s="6" t="n">
        <v>49</v>
      </c>
      <c r="E11" s="6" t="n">
        <v>0</v>
      </c>
      <c r="F11" s="6" t="n">
        <v>3</v>
      </c>
      <c r="G11" s="6" t="inlineStr">
        <is>
          <t>Yes</t>
        </is>
      </c>
      <c r="H11" s="6" t="inlineStr">
        <is>
          <t>Monitor</t>
        </is>
      </c>
      <c r="I11" s="6" t="inlineStr">
        <is>
          <t>Copy Writer</t>
        </is>
      </c>
      <c r="J11" s="25" t="inlineStr">
        <is>
          <t>Open</t>
        </is>
      </c>
      <c r="K11" s="6" t="inlineStr"/>
      <c r="L11" s="4" t="inlineStr">
        <is>
          <t>Indexable</t>
        </is>
      </c>
      <c r="M11" s="4" t="n">
        <v>0</v>
      </c>
      <c r="N11" s="6" t="inlineStr"/>
      <c r="O11">
        <f>IFERROR(HYPERLINK("#Main!A"&amp;MATCH(A11,Main!A:A,0),"Open"),HYPERLINK("#Main!A1","Open"))</f>
        <v/>
      </c>
      <c r="P11">
        <f>IFERROR(HYPERLINK("#Technical!A"&amp;MATCH(A11,Technical!A:A,0),"Open"),HYPERLINK("#Technical!A1","Open"))</f>
        <v/>
      </c>
    </row>
    <row r="12" ht="30" customHeight="1">
      <c r="A12" s="33" t="inlineStr">
        <is>
          <t>https://africanmarketingconfederation.org/amc-conference-2022-prospectus/</t>
        </is>
      </c>
      <c r="B12" s="24" t="n">
        <v>81</v>
      </c>
      <c r="C12" s="25" t="inlineStr">
        <is>
          <t>Warning</t>
        </is>
      </c>
      <c r="D12" s="24" t="n">
        <v>49</v>
      </c>
      <c r="E12" s="24" t="n">
        <v>0</v>
      </c>
      <c r="F12" s="24" t="n">
        <v>3</v>
      </c>
      <c r="G12" s="24" t="inlineStr">
        <is>
          <t>Yes</t>
        </is>
      </c>
      <c r="H12" s="24" t="inlineStr">
        <is>
          <t>Monitor</t>
        </is>
      </c>
      <c r="I12" s="24" t="inlineStr">
        <is>
          <t>Copy Writer</t>
        </is>
      </c>
      <c r="J12" s="25" t="inlineStr">
        <is>
          <t>Open</t>
        </is>
      </c>
      <c r="K12" s="24" t="inlineStr"/>
      <c r="L12" s="4" t="inlineStr">
        <is>
          <t>Indexable</t>
        </is>
      </c>
      <c r="M12" s="4" t="n">
        <v>0</v>
      </c>
      <c r="N12" s="24" t="inlineStr"/>
      <c r="O12">
        <f>IFERROR(HYPERLINK("#Main!A"&amp;MATCH(A12,Main!A:A,0),"Open"),HYPERLINK("#Main!A1","Open"))</f>
        <v/>
      </c>
      <c r="P12">
        <f>IFERROR(HYPERLINK("#Technical!A"&amp;MATCH(A12,Technical!A:A,0),"Open"),HYPERLINK("#Technical!A1","Open"))</f>
        <v/>
      </c>
    </row>
    <row r="13" ht="30" customHeight="1">
      <c r="A13" s="33" t="inlineStr">
        <is>
          <t>https://africanmarketingconfederation.org/test-payment-gate/</t>
        </is>
      </c>
      <c r="B13" s="6" t="n">
        <v>81</v>
      </c>
      <c r="C13" s="25" t="inlineStr">
        <is>
          <t>Warning</t>
        </is>
      </c>
      <c r="D13" s="6" t="n">
        <v>49</v>
      </c>
      <c r="E13" s="6" t="n">
        <v>0</v>
      </c>
      <c r="F13" s="6" t="n">
        <v>3</v>
      </c>
      <c r="G13" s="6" t="inlineStr">
        <is>
          <t>Yes</t>
        </is>
      </c>
      <c r="H13" s="6" t="inlineStr">
        <is>
          <t>Monitor</t>
        </is>
      </c>
      <c r="I13" s="6" t="inlineStr">
        <is>
          <t>Copy Writer</t>
        </is>
      </c>
      <c r="J13" s="25" t="inlineStr">
        <is>
          <t>Open</t>
        </is>
      </c>
      <c r="K13" s="6" t="inlineStr"/>
      <c r="L13" s="4" t="inlineStr">
        <is>
          <t>Indexable</t>
        </is>
      </c>
      <c r="M13" s="4" t="n">
        <v>0</v>
      </c>
      <c r="N13" s="6" t="inlineStr"/>
      <c r="O13">
        <f>IFERROR(HYPERLINK("#Main!A"&amp;MATCH(A13,Main!A:A,0),"Open"),HYPERLINK("#Main!A1","Open"))</f>
        <v/>
      </c>
      <c r="P13">
        <f>IFERROR(HYPERLINK("#Technical!A"&amp;MATCH(A13,Technical!A:A,0),"Open"),HYPERLINK("#Technical!A1","Open"))</f>
        <v/>
      </c>
    </row>
    <row r="14" ht="30" customHeight="1">
      <c r="A14" s="33" t="inlineStr">
        <is>
          <t>https://africanmarketingconfederation.org/amc-forum-payments/</t>
        </is>
      </c>
      <c r="B14" s="24" t="n">
        <v>81</v>
      </c>
      <c r="C14" s="25" t="inlineStr">
        <is>
          <t>Warning</t>
        </is>
      </c>
      <c r="D14" s="24" t="n">
        <v>49</v>
      </c>
      <c r="E14" s="24" t="n">
        <v>0</v>
      </c>
      <c r="F14" s="24" t="n">
        <v>3</v>
      </c>
      <c r="G14" s="24" t="inlineStr">
        <is>
          <t>Yes</t>
        </is>
      </c>
      <c r="H14" s="24" t="inlineStr">
        <is>
          <t>Monitor</t>
        </is>
      </c>
      <c r="I14" s="24" t="inlineStr">
        <is>
          <t>Copy Writer</t>
        </is>
      </c>
      <c r="J14" s="25" t="inlineStr">
        <is>
          <t>Open</t>
        </is>
      </c>
      <c r="K14" s="24" t="inlineStr"/>
      <c r="L14" s="4" t="inlineStr">
        <is>
          <t>Indexable</t>
        </is>
      </c>
      <c r="M14" s="4" t="n">
        <v>0</v>
      </c>
      <c r="N14" s="24" t="inlineStr"/>
      <c r="O14">
        <f>IFERROR(HYPERLINK("#Main!A"&amp;MATCH(A14,Main!A:A,0),"Open"),HYPERLINK("#Main!A1","Open"))</f>
        <v/>
      </c>
      <c r="P14">
        <f>IFERROR(HYPERLINK("#Technical!A"&amp;MATCH(A14,Technical!A:A,0),"Open"),HYPERLINK("#Technical!A1","Open"))</f>
        <v/>
      </c>
    </row>
    <row r="15" ht="30" customHeight="1">
      <c r="A15" s="33" t="inlineStr">
        <is>
          <t>https://africanmarketingconfederation.org/checkout/</t>
        </is>
      </c>
      <c r="B15" s="6" t="n">
        <v>81</v>
      </c>
      <c r="C15" s="25" t="inlineStr">
        <is>
          <t>Warning</t>
        </is>
      </c>
      <c r="D15" s="6" t="n">
        <v>49</v>
      </c>
      <c r="E15" s="6" t="n">
        <v>0</v>
      </c>
      <c r="F15" s="6" t="n">
        <v>3</v>
      </c>
      <c r="G15" s="6" t="inlineStr">
        <is>
          <t>Yes</t>
        </is>
      </c>
      <c r="H15" s="6" t="inlineStr">
        <is>
          <t>Monitor</t>
        </is>
      </c>
      <c r="I15" s="6" t="inlineStr">
        <is>
          <t>Copy Writer</t>
        </is>
      </c>
      <c r="J15" s="25" t="inlineStr">
        <is>
          <t>Open</t>
        </is>
      </c>
      <c r="K15" s="6" t="inlineStr"/>
      <c r="L15" s="4" t="inlineStr">
        <is>
          <t>Indexable</t>
        </is>
      </c>
      <c r="M15" s="4" t="n">
        <v>0</v>
      </c>
      <c r="N15" s="6" t="inlineStr"/>
      <c r="O15">
        <f>IFERROR(HYPERLINK("#Main!A"&amp;MATCH(A15,Main!A:A,0),"Open"),HYPERLINK("#Main!A1","Open"))</f>
        <v/>
      </c>
      <c r="P15">
        <f>IFERROR(HYPERLINK("#Technical!A"&amp;MATCH(A15,Technical!A:A,0),"Open"),HYPERLINK("#Technical!A1","Open"))</f>
        <v/>
      </c>
    </row>
    <row r="16" ht="45" customHeight="1">
      <c r="A16" s="33" t="inlineStr">
        <is>
          <t>https://africanmarketingconfederation.org/amc-marketing-conference-2024/amc-speakers-presentations-2024/</t>
        </is>
      </c>
      <c r="B16" s="24" t="n">
        <v>81</v>
      </c>
      <c r="C16" s="25" t="inlineStr">
        <is>
          <t>Warning</t>
        </is>
      </c>
      <c r="D16" s="24" t="n">
        <v>49</v>
      </c>
      <c r="E16" s="24" t="n">
        <v>0</v>
      </c>
      <c r="F16" s="24" t="n">
        <v>3</v>
      </c>
      <c r="G16" s="24" t="inlineStr">
        <is>
          <t>Yes</t>
        </is>
      </c>
      <c r="H16" s="24" t="inlineStr">
        <is>
          <t>Monitor</t>
        </is>
      </c>
      <c r="I16" s="24" t="inlineStr">
        <is>
          <t>Copy Writer</t>
        </is>
      </c>
      <c r="J16" s="25" t="inlineStr">
        <is>
          <t>Open</t>
        </is>
      </c>
      <c r="K16" s="24" t="inlineStr"/>
      <c r="L16" s="4" t="inlineStr">
        <is>
          <t>Indexable</t>
        </is>
      </c>
      <c r="M16" s="4" t="n">
        <v>0</v>
      </c>
      <c r="N16" s="24" t="inlineStr"/>
      <c r="O16">
        <f>IFERROR(HYPERLINK("#Main!A"&amp;MATCH(A16,Main!A:A,0),"Open"),HYPERLINK("#Main!A1","Open"))</f>
        <v/>
      </c>
      <c r="P16">
        <f>IFERROR(HYPERLINK("#Technical!A"&amp;MATCH(A16,Technical!A:A,0),"Open"),HYPERLINK("#Technical!A1","Open"))</f>
        <v/>
      </c>
    </row>
    <row r="17" ht="30" customHeight="1">
      <c r="A17" s="33" t="inlineStr">
        <is>
          <t>https://africanmarketingconfederation.org/amc-marketing-conference-2024/testimony-thank-you-page/</t>
        </is>
      </c>
      <c r="B17" s="6" t="n">
        <v>81</v>
      </c>
      <c r="C17" s="25" t="inlineStr">
        <is>
          <t>Warning</t>
        </is>
      </c>
      <c r="D17" s="6" t="n">
        <v>49</v>
      </c>
      <c r="E17" s="6" t="n">
        <v>0</v>
      </c>
      <c r="F17" s="6" t="n">
        <v>3</v>
      </c>
      <c r="G17" s="6" t="inlineStr">
        <is>
          <t>Yes</t>
        </is>
      </c>
      <c r="H17" s="6" t="inlineStr">
        <is>
          <t>Monitor</t>
        </is>
      </c>
      <c r="I17" s="6" t="inlineStr">
        <is>
          <t>Copy Writer</t>
        </is>
      </c>
      <c r="J17" s="25" t="inlineStr">
        <is>
          <t>Open</t>
        </is>
      </c>
      <c r="K17" s="6" t="inlineStr"/>
      <c r="L17" s="4" t="inlineStr">
        <is>
          <t>Indexable</t>
        </is>
      </c>
      <c r="M17" s="4" t="n">
        <v>0</v>
      </c>
      <c r="N17" s="6" t="inlineStr"/>
      <c r="O17">
        <f>IFERROR(HYPERLINK("#Main!A"&amp;MATCH(A17,Main!A:A,0),"Open"),HYPERLINK("#Main!A1","Open"))</f>
        <v/>
      </c>
      <c r="P17">
        <f>IFERROR(HYPERLINK("#Technical!A"&amp;MATCH(A17,Technical!A:A,0),"Open"),HYPERLINK("#Technical!A1","Open"))</f>
        <v/>
      </c>
    </row>
    <row r="18" ht="30" customHeight="1">
      <c r="A18" s="33" t="inlineStr">
        <is>
          <t>https://africanmarketingconfederation.org/thank-you-for-registering-2024-registrations/</t>
        </is>
      </c>
      <c r="B18" s="24" t="n">
        <v>81</v>
      </c>
      <c r="C18" s="25" t="inlineStr">
        <is>
          <t>Warning</t>
        </is>
      </c>
      <c r="D18" s="24" t="n">
        <v>49</v>
      </c>
      <c r="E18" s="24" t="n">
        <v>0</v>
      </c>
      <c r="F18" s="24" t="n">
        <v>3</v>
      </c>
      <c r="G18" s="24" t="inlineStr">
        <is>
          <t>Yes</t>
        </is>
      </c>
      <c r="H18" s="24" t="inlineStr">
        <is>
          <t>Monitor</t>
        </is>
      </c>
      <c r="I18" s="24" t="inlineStr">
        <is>
          <t>Copy Writer</t>
        </is>
      </c>
      <c r="J18" s="25" t="inlineStr">
        <is>
          <t>Open</t>
        </is>
      </c>
      <c r="K18" s="24" t="inlineStr"/>
      <c r="L18" s="4" t="inlineStr">
        <is>
          <t>Indexable</t>
        </is>
      </c>
      <c r="M18" s="4" t="n">
        <v>0</v>
      </c>
      <c r="N18" s="24" t="inlineStr"/>
      <c r="O18">
        <f>IFERROR(HYPERLINK("#Main!A"&amp;MATCH(A18,Main!A:A,0),"Open"),HYPERLINK("#Main!A1","Open"))</f>
        <v/>
      </c>
      <c r="P18">
        <f>IFERROR(HYPERLINK("#Technical!A"&amp;MATCH(A18,Technical!A:A,0),"Open"),HYPERLINK("#Technical!A1","Open"))</f>
        <v/>
      </c>
    </row>
    <row r="19" ht="30" customHeight="1">
      <c r="A19" s="33" t="inlineStr">
        <is>
          <t>https://africanmarketingconfederation.org/download-prospectus-2024/</t>
        </is>
      </c>
      <c r="B19" s="6" t="n">
        <v>81</v>
      </c>
      <c r="C19" s="25" t="inlineStr">
        <is>
          <t>Warning</t>
        </is>
      </c>
      <c r="D19" s="6" t="n">
        <v>49</v>
      </c>
      <c r="E19" s="6" t="n">
        <v>0</v>
      </c>
      <c r="F19" s="6" t="n">
        <v>3</v>
      </c>
      <c r="G19" s="6" t="inlineStr">
        <is>
          <t>Yes</t>
        </is>
      </c>
      <c r="H19" s="6" t="inlineStr">
        <is>
          <t>Monitor</t>
        </is>
      </c>
      <c r="I19" s="6" t="inlineStr">
        <is>
          <t>Copy Writer</t>
        </is>
      </c>
      <c r="J19" s="25" t="inlineStr">
        <is>
          <t>Open</t>
        </is>
      </c>
      <c r="K19" s="6" t="inlineStr"/>
      <c r="L19" s="4" t="inlineStr">
        <is>
          <t>Indexable</t>
        </is>
      </c>
      <c r="M19" s="4" t="n">
        <v>0</v>
      </c>
      <c r="N19" s="6" t="inlineStr"/>
      <c r="O19">
        <f>IFERROR(HYPERLINK("#Main!A"&amp;MATCH(A19,Main!A:A,0),"Open"),HYPERLINK("#Main!A1","Open"))</f>
        <v/>
      </c>
      <c r="P19">
        <f>IFERROR(HYPERLINK("#Technical!A"&amp;MATCH(A19,Technical!A:A,0),"Open"),HYPERLINK("#Technical!A1","Open"))</f>
        <v/>
      </c>
    </row>
    <row r="20" ht="30" customHeight="1">
      <c r="A20" s="33" t="inlineStr">
        <is>
          <t>https://africanmarketingconfederation.org/thank-you-for-registering-2024-registrations-kenya/</t>
        </is>
      </c>
      <c r="B20" s="24" t="n">
        <v>81</v>
      </c>
      <c r="C20" s="25" t="inlineStr">
        <is>
          <t>Warning</t>
        </is>
      </c>
      <c r="D20" s="24" t="n">
        <v>49</v>
      </c>
      <c r="E20" s="24" t="n">
        <v>0</v>
      </c>
      <c r="F20" s="24" t="n">
        <v>3</v>
      </c>
      <c r="G20" s="24" t="inlineStr">
        <is>
          <t>Yes</t>
        </is>
      </c>
      <c r="H20" s="24" t="inlineStr">
        <is>
          <t>Monitor</t>
        </is>
      </c>
      <c r="I20" s="24" t="inlineStr">
        <is>
          <t>Copy Writer</t>
        </is>
      </c>
      <c r="J20" s="25" t="inlineStr">
        <is>
          <t>Open</t>
        </is>
      </c>
      <c r="K20" s="24" t="inlineStr"/>
      <c r="L20" s="4" t="inlineStr">
        <is>
          <t>Indexable</t>
        </is>
      </c>
      <c r="M20" s="4" t="n">
        <v>0</v>
      </c>
      <c r="N20" s="24" t="inlineStr"/>
      <c r="O20">
        <f>IFERROR(HYPERLINK("#Main!A"&amp;MATCH(A20,Main!A:A,0),"Open"),HYPERLINK("#Main!A1","Open"))</f>
        <v/>
      </c>
      <c r="P20">
        <f>IFERROR(HYPERLINK("#Technical!A"&amp;MATCH(A20,Technical!A:A,0),"Open"),HYPERLINK("#Technical!A1","Open"))</f>
        <v/>
      </c>
    </row>
    <row r="21" ht="30" customHeight="1">
      <c r="A21" s="33" t="inlineStr">
        <is>
          <t>https://africanmarketingconfederation.org/download-brochure/</t>
        </is>
      </c>
      <c r="B21" s="6" t="n">
        <v>81</v>
      </c>
      <c r="C21" s="25" t="inlineStr">
        <is>
          <t>Warning</t>
        </is>
      </c>
      <c r="D21" s="6" t="n">
        <v>49</v>
      </c>
      <c r="E21" s="6" t="n">
        <v>0</v>
      </c>
      <c r="F21" s="6" t="n">
        <v>3</v>
      </c>
      <c r="G21" s="6" t="inlineStr">
        <is>
          <t>Yes</t>
        </is>
      </c>
      <c r="H21" s="6" t="inlineStr">
        <is>
          <t>Monitor</t>
        </is>
      </c>
      <c r="I21" s="6" t="inlineStr">
        <is>
          <t>Copy Writer</t>
        </is>
      </c>
      <c r="J21" s="25" t="inlineStr">
        <is>
          <t>Open</t>
        </is>
      </c>
      <c r="K21" s="6" t="inlineStr"/>
      <c r="L21" s="4" t="inlineStr">
        <is>
          <t>Indexable</t>
        </is>
      </c>
      <c r="M21" s="4" t="n">
        <v>0</v>
      </c>
      <c r="N21" s="6" t="inlineStr"/>
      <c r="O21">
        <f>IFERROR(HYPERLINK("#Main!A"&amp;MATCH(A21,Main!A:A,0),"Open"),HYPERLINK("#Main!A1","Open"))</f>
        <v/>
      </c>
      <c r="P21">
        <f>IFERROR(HYPERLINK("#Technical!A"&amp;MATCH(A21,Technical!A:A,0),"Open"),HYPERLINK("#Technical!A1","Open"))</f>
        <v/>
      </c>
    </row>
    <row r="22" ht="30" customHeight="1">
      <c r="A22" s="33" t="inlineStr">
        <is>
          <t>https://africanmarketingconfederation.org/thank-you-for-the-nomination-2024/</t>
        </is>
      </c>
      <c r="B22" s="24" t="n">
        <v>81</v>
      </c>
      <c r="C22" s="25" t="inlineStr">
        <is>
          <t>Warning</t>
        </is>
      </c>
      <c r="D22" s="24" t="n">
        <v>49</v>
      </c>
      <c r="E22" s="24" t="n">
        <v>0</v>
      </c>
      <c r="F22" s="24" t="n">
        <v>3</v>
      </c>
      <c r="G22" s="24" t="inlineStr">
        <is>
          <t>Yes</t>
        </is>
      </c>
      <c r="H22" s="24" t="inlineStr">
        <is>
          <t>Monitor</t>
        </is>
      </c>
      <c r="I22" s="24" t="inlineStr">
        <is>
          <t>Copy Writer</t>
        </is>
      </c>
      <c r="J22" s="25" t="inlineStr">
        <is>
          <t>Open</t>
        </is>
      </c>
      <c r="K22" s="24" t="inlineStr"/>
      <c r="L22" s="4" t="inlineStr">
        <is>
          <t>Indexable</t>
        </is>
      </c>
      <c r="M22" s="4" t="n">
        <v>0</v>
      </c>
      <c r="N22" s="24" t="inlineStr"/>
      <c r="O22">
        <f>IFERROR(HYPERLINK("#Main!A"&amp;MATCH(A22,Main!A:A,0),"Open"),HYPERLINK("#Main!A1","Open"))</f>
        <v/>
      </c>
      <c r="P22">
        <f>IFERROR(HYPERLINK("#Technical!A"&amp;MATCH(A22,Technical!A:A,0),"Open"),HYPERLINK("#Technical!A1","Open"))</f>
        <v/>
      </c>
    </row>
    <row r="23" ht="30" customHeight="1">
      <c r="A23" s="33" t="inlineStr">
        <is>
          <t>https://africanmarketingconfederation.org/thank-you-for-the-submission-2024/</t>
        </is>
      </c>
      <c r="B23" s="6" t="n">
        <v>81</v>
      </c>
      <c r="C23" s="25" t="inlineStr">
        <is>
          <t>Warning</t>
        </is>
      </c>
      <c r="D23" s="6" t="n">
        <v>49</v>
      </c>
      <c r="E23" s="6" t="n">
        <v>0</v>
      </c>
      <c r="F23" s="6" t="n">
        <v>3</v>
      </c>
      <c r="G23" s="6" t="inlineStr">
        <is>
          <t>Yes</t>
        </is>
      </c>
      <c r="H23" s="6" t="inlineStr">
        <is>
          <t>Monitor</t>
        </is>
      </c>
      <c r="I23" s="6" t="inlineStr">
        <is>
          <t>Copy Writer</t>
        </is>
      </c>
      <c r="J23" s="25" t="inlineStr">
        <is>
          <t>Open</t>
        </is>
      </c>
      <c r="K23" s="6" t="inlineStr"/>
      <c r="L23" s="4" t="inlineStr">
        <is>
          <t>Indexable</t>
        </is>
      </c>
      <c r="M23" s="4" t="n">
        <v>0</v>
      </c>
      <c r="N23" s="6" t="inlineStr"/>
      <c r="O23">
        <f>IFERROR(HYPERLINK("#Main!A"&amp;MATCH(A23,Main!A:A,0),"Open"),HYPERLINK("#Main!A1","Open"))</f>
        <v/>
      </c>
      <c r="P23">
        <f>IFERROR(HYPERLINK("#Technical!A"&amp;MATCH(A23,Technical!A:A,0),"Open"),HYPERLINK("#Technical!A1","Open"))</f>
        <v/>
      </c>
    </row>
    <row r="24" ht="30" customHeight="1">
      <c r="A24" s="33" t="inlineStr">
        <is>
          <t>https://africanmarketingconfederation.org/elementor-16548/</t>
        </is>
      </c>
      <c r="B24" s="24" t="n">
        <v>81</v>
      </c>
      <c r="C24" s="25" t="inlineStr">
        <is>
          <t>Warning</t>
        </is>
      </c>
      <c r="D24" s="24" t="n">
        <v>49</v>
      </c>
      <c r="E24" s="24" t="n">
        <v>0</v>
      </c>
      <c r="F24" s="24" t="n">
        <v>3</v>
      </c>
      <c r="G24" s="24" t="inlineStr">
        <is>
          <t>Yes</t>
        </is>
      </c>
      <c r="H24" s="24" t="inlineStr">
        <is>
          <t>Monitor</t>
        </is>
      </c>
      <c r="I24" s="24" t="inlineStr">
        <is>
          <t>Copy Writer</t>
        </is>
      </c>
      <c r="J24" s="25" t="inlineStr">
        <is>
          <t>Open</t>
        </is>
      </c>
      <c r="K24" s="24" t="inlineStr"/>
      <c r="L24" s="4" t="inlineStr">
        <is>
          <t>Indexable</t>
        </is>
      </c>
      <c r="M24" s="4" t="n">
        <v>0</v>
      </c>
      <c r="N24" s="24" t="inlineStr"/>
      <c r="O24">
        <f>IFERROR(HYPERLINK("#Main!A"&amp;MATCH(A24,Main!A:A,0),"Open"),HYPERLINK("#Main!A1","Open"))</f>
        <v/>
      </c>
      <c r="P24">
        <f>IFERROR(HYPERLINK("#Technical!A"&amp;MATCH(A24,Technical!A:A,0),"Open"),HYPERLINK("#Technical!A1","Open"))</f>
        <v/>
      </c>
    </row>
    <row r="25" ht="30" customHeight="1">
      <c r="A25" s="33" t="inlineStr">
        <is>
          <t>https://africanmarketingconfederation.org/chartered-marketer-africa-thank-you/</t>
        </is>
      </c>
      <c r="B25" s="6" t="n">
        <v>81</v>
      </c>
      <c r="C25" s="25" t="inlineStr">
        <is>
          <t>Warning</t>
        </is>
      </c>
      <c r="D25" s="6" t="n">
        <v>49</v>
      </c>
      <c r="E25" s="6" t="n">
        <v>0</v>
      </c>
      <c r="F25" s="6" t="n">
        <v>3</v>
      </c>
      <c r="G25" s="6" t="inlineStr">
        <is>
          <t>Yes</t>
        </is>
      </c>
      <c r="H25" s="6" t="inlineStr">
        <is>
          <t>Monitor</t>
        </is>
      </c>
      <c r="I25" s="6" t="inlineStr">
        <is>
          <t>Copy Writer</t>
        </is>
      </c>
      <c r="J25" s="25" t="inlineStr">
        <is>
          <t>Open</t>
        </is>
      </c>
      <c r="K25" s="6" t="inlineStr"/>
      <c r="L25" s="4" t="inlineStr">
        <is>
          <t>Indexable</t>
        </is>
      </c>
      <c r="M25" s="4" t="n">
        <v>0</v>
      </c>
      <c r="N25" s="6" t="inlineStr"/>
      <c r="O25">
        <f>IFERROR(HYPERLINK("#Main!A"&amp;MATCH(A25,Main!A:A,0),"Open"),HYPERLINK("#Main!A1","Open"))</f>
        <v/>
      </c>
      <c r="P25">
        <f>IFERROR(HYPERLINK("#Technical!A"&amp;MATCH(A25,Technical!A:A,0),"Open"),HYPERLINK("#Technical!A1","Open"))</f>
        <v/>
      </c>
    </row>
    <row r="26" ht="30" customHeight="1">
      <c r="A26" s="33" t="inlineStr">
        <is>
          <t>https://africanmarketingconfederation.org/thank-you-for-subscribing/</t>
        </is>
      </c>
      <c r="B26" s="24" t="n">
        <v>81</v>
      </c>
      <c r="C26" s="25" t="inlineStr">
        <is>
          <t>Warning</t>
        </is>
      </c>
      <c r="D26" s="24" t="n">
        <v>49</v>
      </c>
      <c r="E26" s="24" t="n">
        <v>0</v>
      </c>
      <c r="F26" s="24" t="n">
        <v>3</v>
      </c>
      <c r="G26" s="24" t="inlineStr">
        <is>
          <t>Yes</t>
        </is>
      </c>
      <c r="H26" s="24" t="inlineStr">
        <is>
          <t>Monitor</t>
        </is>
      </c>
      <c r="I26" s="24" t="inlineStr">
        <is>
          <t>Copy Writer</t>
        </is>
      </c>
      <c r="J26" s="25" t="inlineStr">
        <is>
          <t>Open</t>
        </is>
      </c>
      <c r="K26" s="24" t="inlineStr"/>
      <c r="L26" s="4" t="inlineStr">
        <is>
          <t>Indexable</t>
        </is>
      </c>
      <c r="M26" s="4" t="n">
        <v>0</v>
      </c>
      <c r="N26" s="24" t="inlineStr"/>
      <c r="O26">
        <f>IFERROR(HYPERLINK("#Main!A"&amp;MATCH(A26,Main!A:A,0),"Open"),HYPERLINK("#Main!A1","Open"))</f>
        <v/>
      </c>
      <c r="P26">
        <f>IFERROR(HYPERLINK("#Technical!A"&amp;MATCH(A26,Technical!A:A,0),"Open"),HYPERLINK("#Technical!A1","Open"))</f>
        <v/>
      </c>
    </row>
    <row r="27" ht="30" customHeight="1">
      <c r="A27" s="33" t="inlineStr">
        <is>
          <t>https://africanmarketingconfederation.org/amc-conference-2023/book-now-thank-you/</t>
        </is>
      </c>
      <c r="B27" s="6" t="n">
        <v>81</v>
      </c>
      <c r="C27" s="25" t="inlineStr">
        <is>
          <t>Warning</t>
        </is>
      </c>
      <c r="D27" s="6" t="n">
        <v>49</v>
      </c>
      <c r="E27" s="6" t="n">
        <v>0</v>
      </c>
      <c r="F27" s="6" t="n">
        <v>3</v>
      </c>
      <c r="G27" s="6" t="inlineStr">
        <is>
          <t>Yes</t>
        </is>
      </c>
      <c r="H27" s="6" t="inlineStr">
        <is>
          <t>Monitor</t>
        </is>
      </c>
      <c r="I27" s="6" t="inlineStr">
        <is>
          <t>Copy Writer</t>
        </is>
      </c>
      <c r="J27" s="25" t="inlineStr">
        <is>
          <t>Open</t>
        </is>
      </c>
      <c r="K27" s="6" t="inlineStr"/>
      <c r="L27" s="4" t="inlineStr">
        <is>
          <t>Indexable</t>
        </is>
      </c>
      <c r="M27" s="4" t="n">
        <v>0</v>
      </c>
      <c r="N27" s="6" t="inlineStr"/>
      <c r="O27">
        <f>IFERROR(HYPERLINK("#Main!A"&amp;MATCH(A27,Main!A:A,0),"Open"),HYPERLINK("#Main!A1","Open"))</f>
        <v/>
      </c>
      <c r="P27">
        <f>IFERROR(HYPERLINK("#Technical!A"&amp;MATCH(A27,Technical!A:A,0),"Open"),HYPERLINK("#Technical!A1","Open"))</f>
        <v/>
      </c>
    </row>
    <row r="28" ht="30" customHeight="1">
      <c r="A28" s="33" t="inlineStr">
        <is>
          <t>https://africanmarketingconfederation.org/upcoming-events/</t>
        </is>
      </c>
      <c r="B28" s="24" t="n">
        <v>81</v>
      </c>
      <c r="C28" s="25" t="inlineStr">
        <is>
          <t>Warning</t>
        </is>
      </c>
      <c r="D28" s="24" t="n">
        <v>49</v>
      </c>
      <c r="E28" s="24" t="n">
        <v>0</v>
      </c>
      <c r="F28" s="24" t="n">
        <v>3</v>
      </c>
      <c r="G28" s="24" t="inlineStr">
        <is>
          <t>Yes</t>
        </is>
      </c>
      <c r="H28" s="24" t="inlineStr">
        <is>
          <t>Monitor</t>
        </is>
      </c>
      <c r="I28" s="24" t="inlineStr">
        <is>
          <t>Copy Writer</t>
        </is>
      </c>
      <c r="J28" s="25" t="inlineStr">
        <is>
          <t>Open</t>
        </is>
      </c>
      <c r="K28" s="24" t="inlineStr"/>
      <c r="L28" s="4" t="inlineStr">
        <is>
          <t>Indexable</t>
        </is>
      </c>
      <c r="M28" s="4" t="n">
        <v>0</v>
      </c>
      <c r="N28" s="24" t="inlineStr"/>
      <c r="O28">
        <f>IFERROR(HYPERLINK("#Main!A"&amp;MATCH(A28,Main!A:A,0),"Open"),HYPERLINK("#Main!A1","Open"))</f>
        <v/>
      </c>
      <c r="P28">
        <f>IFERROR(HYPERLINK("#Technical!A"&amp;MATCH(A28,Technical!A:A,0),"Open"),HYPERLINK("#Technical!A1","Open"))</f>
        <v/>
      </c>
    </row>
    <row r="29" ht="30" customHeight="1">
      <c r="A29" s="33" t="inlineStr">
        <is>
          <t>https://africanmarketingconfederation.org/amc-masterclass/</t>
        </is>
      </c>
      <c r="B29" s="6" t="n">
        <v>81</v>
      </c>
      <c r="C29" s="25" t="inlineStr">
        <is>
          <t>Warning</t>
        </is>
      </c>
      <c r="D29" s="6" t="n">
        <v>49</v>
      </c>
      <c r="E29" s="6" t="n">
        <v>0</v>
      </c>
      <c r="F29" s="6" t="n">
        <v>3</v>
      </c>
      <c r="G29" s="6" t="inlineStr">
        <is>
          <t>Yes</t>
        </is>
      </c>
      <c r="H29" s="6" t="inlineStr">
        <is>
          <t>Monitor</t>
        </is>
      </c>
      <c r="I29" s="6" t="inlineStr">
        <is>
          <t>Copy Writer</t>
        </is>
      </c>
      <c r="J29" s="25" t="inlineStr">
        <is>
          <t>Open</t>
        </is>
      </c>
      <c r="K29" s="6" t="inlineStr"/>
      <c r="L29" s="4" t="inlineStr">
        <is>
          <t>Indexable</t>
        </is>
      </c>
      <c r="M29" s="4" t="n">
        <v>0</v>
      </c>
      <c r="N29" s="6" t="inlineStr"/>
      <c r="O29">
        <f>IFERROR(HYPERLINK("#Main!A"&amp;MATCH(A29,Main!A:A,0),"Open"),HYPERLINK("#Main!A1","Open"))</f>
        <v/>
      </c>
      <c r="P29">
        <f>IFERROR(HYPERLINK("#Technical!A"&amp;MATCH(A29,Technical!A:A,0),"Open"),HYPERLINK("#Technical!A1","Open"))</f>
        <v/>
      </c>
    </row>
    <row r="30" ht="30" customHeight="1">
      <c r="A30" s="33" t="inlineStr">
        <is>
          <t>https://africanmarketingconfederation.org/amc-masterclass-thank-you/</t>
        </is>
      </c>
      <c r="B30" s="24" t="n">
        <v>81</v>
      </c>
      <c r="C30" s="25" t="inlineStr">
        <is>
          <t>Warning</t>
        </is>
      </c>
      <c r="D30" s="24" t="n">
        <v>49</v>
      </c>
      <c r="E30" s="24" t="n">
        <v>0</v>
      </c>
      <c r="F30" s="24" t="n">
        <v>3</v>
      </c>
      <c r="G30" s="24" t="inlineStr">
        <is>
          <t>Yes</t>
        </is>
      </c>
      <c r="H30" s="24" t="inlineStr">
        <is>
          <t>Monitor</t>
        </is>
      </c>
      <c r="I30" s="24" t="inlineStr">
        <is>
          <t>Copy Writer</t>
        </is>
      </c>
      <c r="J30" s="25" t="inlineStr">
        <is>
          <t>Open</t>
        </is>
      </c>
      <c r="K30" s="24" t="inlineStr"/>
      <c r="L30" s="4" t="inlineStr">
        <is>
          <t>Indexable</t>
        </is>
      </c>
      <c r="M30" s="4" t="n">
        <v>0</v>
      </c>
      <c r="N30" s="24" t="inlineStr"/>
      <c r="O30">
        <f>IFERROR(HYPERLINK("#Main!A"&amp;MATCH(A30,Main!A:A,0),"Open"),HYPERLINK("#Main!A1","Open"))</f>
        <v/>
      </c>
      <c r="P30">
        <f>IFERROR(HYPERLINK("#Technical!A"&amp;MATCH(A30,Technical!A:A,0),"Open"),HYPERLINK("#Technical!A1","Open"))</f>
        <v/>
      </c>
    </row>
    <row r="31" ht="30" customHeight="1">
      <c r="A31" s="33" t="inlineStr">
        <is>
          <t>https://africanmarketingconfederation.org/test-homeslider/</t>
        </is>
      </c>
      <c r="B31" s="6" t="n">
        <v>81</v>
      </c>
      <c r="C31" s="25" t="inlineStr">
        <is>
          <t>Warning</t>
        </is>
      </c>
      <c r="D31" s="6" t="n">
        <v>49</v>
      </c>
      <c r="E31" s="6" t="n">
        <v>0</v>
      </c>
      <c r="F31" s="6" t="n">
        <v>3</v>
      </c>
      <c r="G31" s="6" t="inlineStr">
        <is>
          <t>Yes</t>
        </is>
      </c>
      <c r="H31" s="6" t="inlineStr">
        <is>
          <t>Monitor</t>
        </is>
      </c>
      <c r="I31" s="6" t="inlineStr">
        <is>
          <t>Copy Writer</t>
        </is>
      </c>
      <c r="J31" s="25" t="inlineStr">
        <is>
          <t>Open</t>
        </is>
      </c>
      <c r="K31" s="6" t="inlineStr"/>
      <c r="L31" s="4" t="inlineStr">
        <is>
          <t>Indexable</t>
        </is>
      </c>
      <c r="M31" s="4" t="n">
        <v>0</v>
      </c>
      <c r="N31" s="6" t="inlineStr"/>
      <c r="O31">
        <f>IFERROR(HYPERLINK("#Main!A"&amp;MATCH(A31,Main!A:A,0),"Open"),HYPERLINK("#Main!A1","Open"))</f>
        <v/>
      </c>
      <c r="P31">
        <f>IFERROR(HYPERLINK("#Technical!A"&amp;MATCH(A31,Technical!A:A,0),"Open"),HYPERLINK("#Technical!A1","Open"))</f>
        <v/>
      </c>
    </row>
    <row r="32" ht="30" customHeight="1">
      <c r="A32" s="33" t="inlineStr">
        <is>
          <t>https://africanmarketingconfederation.org/general-enquiry-form-thank-you/</t>
        </is>
      </c>
      <c r="B32" s="24" t="n">
        <v>81</v>
      </c>
      <c r="C32" s="25" t="inlineStr">
        <is>
          <t>Warning</t>
        </is>
      </c>
      <c r="D32" s="24" t="n">
        <v>49</v>
      </c>
      <c r="E32" s="24" t="n">
        <v>0</v>
      </c>
      <c r="F32" s="24" t="n">
        <v>3</v>
      </c>
      <c r="G32" s="24" t="inlineStr">
        <is>
          <t>Yes</t>
        </is>
      </c>
      <c r="H32" s="24" t="inlineStr">
        <is>
          <t>Monitor</t>
        </is>
      </c>
      <c r="I32" s="24" t="inlineStr">
        <is>
          <t>Copy Writer</t>
        </is>
      </c>
      <c r="J32" s="25" t="inlineStr">
        <is>
          <t>Open</t>
        </is>
      </c>
      <c r="K32" s="24" t="inlineStr"/>
      <c r="L32" s="4" t="inlineStr">
        <is>
          <t>Indexable</t>
        </is>
      </c>
      <c r="M32" s="4" t="n">
        <v>0</v>
      </c>
      <c r="N32" s="24" t="inlineStr"/>
      <c r="O32">
        <f>IFERROR(HYPERLINK("#Main!A"&amp;MATCH(A32,Main!A:A,0),"Open"),HYPERLINK("#Main!A1","Open"))</f>
        <v/>
      </c>
      <c r="P32">
        <f>IFERROR(HYPERLINK("#Technical!A"&amp;MATCH(A32,Technical!A:A,0),"Open"),HYPERLINK("#Technical!A1","Open"))</f>
        <v/>
      </c>
    </row>
    <row r="33" ht="30" customHeight="1">
      <c r="A33" s="33" t="inlineStr">
        <is>
          <t>https://africanmarketingconfederation.org/speakers/</t>
        </is>
      </c>
      <c r="B33" s="6" t="n">
        <v>81</v>
      </c>
      <c r="C33" s="25" t="inlineStr">
        <is>
          <t>Warning</t>
        </is>
      </c>
      <c r="D33" s="6" t="n">
        <v>49</v>
      </c>
      <c r="E33" s="6" t="n">
        <v>0</v>
      </c>
      <c r="F33" s="6" t="n">
        <v>3</v>
      </c>
      <c r="G33" s="6" t="inlineStr">
        <is>
          <t>Yes</t>
        </is>
      </c>
      <c r="H33" s="6" t="inlineStr">
        <is>
          <t>Monitor</t>
        </is>
      </c>
      <c r="I33" s="6" t="inlineStr">
        <is>
          <t>Copy Writer</t>
        </is>
      </c>
      <c r="J33" s="25" t="inlineStr">
        <is>
          <t>Open</t>
        </is>
      </c>
      <c r="K33" s="6" t="inlineStr"/>
      <c r="L33" s="4" t="inlineStr">
        <is>
          <t>Indexable</t>
        </is>
      </c>
      <c r="M33" s="4" t="n">
        <v>0</v>
      </c>
      <c r="N33" s="6" t="inlineStr"/>
      <c r="O33">
        <f>IFERROR(HYPERLINK("#Main!A"&amp;MATCH(A33,Main!A:A,0),"Open"),HYPERLINK("#Main!A1","Open"))</f>
        <v/>
      </c>
      <c r="P33">
        <f>IFERROR(HYPERLINK("#Technical!A"&amp;MATCH(A33,Technical!A:A,0),"Open"),HYPERLINK("#Technical!A1","Open"))</f>
        <v/>
      </c>
    </row>
    <row r="34" ht="30" customHeight="1">
      <c r="A34" s="33" t="inlineStr">
        <is>
          <t>https://africanmarketingconfederation.org/amc-conference-2025-highlights/</t>
        </is>
      </c>
      <c r="B34" s="24" t="n">
        <v>64</v>
      </c>
      <c r="C34" s="25" t="inlineStr">
        <is>
          <t>Warning</t>
        </is>
      </c>
      <c r="D34" s="24" t="n">
        <v>56</v>
      </c>
      <c r="E34" s="24" t="n">
        <v>0</v>
      </c>
      <c r="F34" s="24" t="n">
        <v>2</v>
      </c>
      <c r="G34" s="24" t="inlineStr">
        <is>
          <t>Yes</t>
        </is>
      </c>
      <c r="H34" s="24" t="inlineStr">
        <is>
          <t>Monitor</t>
        </is>
      </c>
      <c r="I34" s="24" t="inlineStr">
        <is>
          <t>Copy Writer</t>
        </is>
      </c>
      <c r="J34" s="25" t="inlineStr">
        <is>
          <t>Open</t>
        </is>
      </c>
      <c r="K34" s="24" t="inlineStr"/>
      <c r="L34" s="4" t="inlineStr">
        <is>
          <t>Indexable</t>
        </is>
      </c>
      <c r="M34" s="4" t="n">
        <v>0</v>
      </c>
      <c r="N34" s="24" t="inlineStr"/>
      <c r="O34">
        <f>IFERROR(HYPERLINK("#Main!A"&amp;MATCH(A34,Main!A:A,0),"Open"),HYPERLINK("#Main!A1","Open"))</f>
        <v/>
      </c>
      <c r="P34">
        <f>IFERROR(HYPERLINK("#Technical!A"&amp;MATCH(A34,Technical!A:A,0),"Open"),HYPERLINK("#Technical!A1","Open"))</f>
        <v/>
      </c>
    </row>
    <row r="35">
      <c r="A35" s="33" t="inlineStr">
        <is>
          <t>https://africanmarketingconfederation.org/</t>
        </is>
      </c>
      <c r="B35" s="6" t="n">
        <v>61</v>
      </c>
      <c r="C35" s="25" t="inlineStr">
        <is>
          <t>Warning</t>
        </is>
      </c>
      <c r="D35" s="6" t="n">
        <v>59</v>
      </c>
      <c r="E35" s="6" t="n">
        <v>0</v>
      </c>
      <c r="F35" s="6" t="n">
        <v>2</v>
      </c>
      <c r="G35" s="6" t="inlineStr">
        <is>
          <t>Yes</t>
        </is>
      </c>
      <c r="H35" s="6" t="inlineStr">
        <is>
          <t>Monitor</t>
        </is>
      </c>
      <c r="I35" s="6" t="inlineStr">
        <is>
          <t>Copy Writer</t>
        </is>
      </c>
      <c r="J35" s="25" t="inlineStr">
        <is>
          <t>Open</t>
        </is>
      </c>
      <c r="K35" s="6" t="inlineStr"/>
      <c r="L35" s="4" t="inlineStr">
        <is>
          <t>Indexable</t>
        </is>
      </c>
      <c r="M35" s="4" t="n">
        <v>0</v>
      </c>
      <c r="N35" s="6" t="inlineStr"/>
      <c r="O35">
        <f>IFERROR(HYPERLINK("#Main!A"&amp;MATCH(A35,Main!A:A,0),"Open"),HYPERLINK("#Main!A1","Open"))</f>
        <v/>
      </c>
      <c r="P35">
        <f>IFERROR(HYPERLINK("#Technical!A"&amp;MATCH(A35,Technical!A:A,0),"Open"),HYPERLINK("#Technical!A1","Open"))</f>
        <v/>
      </c>
    </row>
    <row r="36" ht="30" customHeight="1">
      <c r="A36" s="33" t="inlineStr">
        <is>
          <t>https://africanmarketingconfederation.org/launch-event-2026-amc-conference/</t>
        </is>
      </c>
      <c r="B36" s="24" t="n">
        <v>61</v>
      </c>
      <c r="C36" s="25" t="inlineStr">
        <is>
          <t>Warning</t>
        </is>
      </c>
      <c r="D36" s="24" t="n">
        <v>59</v>
      </c>
      <c r="E36" s="24" t="n">
        <v>0</v>
      </c>
      <c r="F36" s="24" t="n">
        <v>2</v>
      </c>
      <c r="G36" s="24" t="inlineStr">
        <is>
          <t>Yes</t>
        </is>
      </c>
      <c r="H36" s="24" t="inlineStr">
        <is>
          <t>Monitor</t>
        </is>
      </c>
      <c r="I36" s="24" t="inlineStr">
        <is>
          <t>Copy Writer</t>
        </is>
      </c>
      <c r="J36" s="25" t="inlineStr">
        <is>
          <t>Open</t>
        </is>
      </c>
      <c r="K36" s="24" t="inlineStr"/>
      <c r="L36" s="4" t="inlineStr">
        <is>
          <t>Indexable</t>
        </is>
      </c>
      <c r="M36" s="4" t="n">
        <v>0</v>
      </c>
      <c r="N36" s="24" t="inlineStr"/>
      <c r="O36">
        <f>IFERROR(HYPERLINK("#Main!A"&amp;MATCH(A36,Main!A:A,0),"Open"),HYPERLINK("#Main!A1","Open"))</f>
        <v/>
      </c>
      <c r="P36">
        <f>IFERROR(HYPERLINK("#Technical!A"&amp;MATCH(A36,Technical!A:A,0),"Open"),HYPERLINK("#Technical!A1","Open"))</f>
        <v/>
      </c>
    </row>
    <row r="37" ht="30" customHeight="1">
      <c r="A37" s="33" t="inlineStr">
        <is>
          <t>https://africanmarketingconfederation.org/publications-2/</t>
        </is>
      </c>
      <c r="B37" s="6" t="n">
        <v>61</v>
      </c>
      <c r="C37" s="25" t="inlineStr">
        <is>
          <t>Warning</t>
        </is>
      </c>
      <c r="D37" s="6" t="n">
        <v>59</v>
      </c>
      <c r="E37" s="6" t="n">
        <v>0</v>
      </c>
      <c r="F37" s="6" t="n">
        <v>2</v>
      </c>
      <c r="G37" s="6" t="inlineStr">
        <is>
          <t>Yes</t>
        </is>
      </c>
      <c r="H37" s="6" t="inlineStr">
        <is>
          <t>Monitor</t>
        </is>
      </c>
      <c r="I37" s="6" t="inlineStr">
        <is>
          <t>Copy Writer</t>
        </is>
      </c>
      <c r="J37" s="25" t="inlineStr">
        <is>
          <t>Open</t>
        </is>
      </c>
      <c r="K37" s="6" t="inlineStr"/>
      <c r="L37" s="4" t="inlineStr">
        <is>
          <t>Indexable</t>
        </is>
      </c>
      <c r="M37" s="4" t="n">
        <v>0</v>
      </c>
      <c r="N37" s="6" t="inlineStr"/>
      <c r="O37">
        <f>IFERROR(HYPERLINK("#Main!A"&amp;MATCH(A37,Main!A:A,0),"Open"),HYPERLINK("#Main!A1","Open"))</f>
        <v/>
      </c>
      <c r="P37">
        <f>IFERROR(HYPERLINK("#Technical!A"&amp;MATCH(A37,Technical!A:A,0),"Open"),HYPERLINK("#Technical!A1","Open"))</f>
        <v/>
      </c>
    </row>
    <row r="38" ht="30" customHeight="1">
      <c r="A38" s="33" t="inlineStr">
        <is>
          <t>https://africanmarketingconfederation.org/certified-professional-marketer-africa/</t>
        </is>
      </c>
      <c r="B38" s="24" t="n">
        <v>61</v>
      </c>
      <c r="C38" s="25" t="inlineStr">
        <is>
          <t>Warning</t>
        </is>
      </c>
      <c r="D38" s="24" t="n">
        <v>59</v>
      </c>
      <c r="E38" s="24" t="n">
        <v>0</v>
      </c>
      <c r="F38" s="24" t="n">
        <v>2</v>
      </c>
      <c r="G38" s="24" t="inlineStr">
        <is>
          <t>Yes</t>
        </is>
      </c>
      <c r="H38" s="24" t="inlineStr">
        <is>
          <t>Monitor</t>
        </is>
      </c>
      <c r="I38" s="24" t="inlineStr">
        <is>
          <t>Copy Writer</t>
        </is>
      </c>
      <c r="J38" s="25" t="inlineStr">
        <is>
          <t>Open</t>
        </is>
      </c>
      <c r="K38" s="24" t="inlineStr"/>
      <c r="L38" s="4" t="inlineStr">
        <is>
          <t>Indexable</t>
        </is>
      </c>
      <c r="M38" s="4" t="n">
        <v>0</v>
      </c>
      <c r="N38" s="24" t="inlineStr"/>
      <c r="O38">
        <f>IFERROR(HYPERLINK("#Main!A"&amp;MATCH(A38,Main!A:A,0),"Open"),HYPERLINK("#Main!A1","Open"))</f>
        <v/>
      </c>
      <c r="P38">
        <f>IFERROR(HYPERLINK("#Technical!A"&amp;MATCH(A38,Technical!A:A,0),"Open"),HYPERLINK("#Technical!A1","Open"))</f>
        <v/>
      </c>
    </row>
    <row r="39" ht="30" customHeight="1">
      <c r="A39" s="33" t="inlineStr">
        <is>
          <t>https://africanmarketingconfederation.org/education/</t>
        </is>
      </c>
      <c r="B39" s="6" t="n">
        <v>61</v>
      </c>
      <c r="C39" s="25" t="inlineStr">
        <is>
          <t>Warning</t>
        </is>
      </c>
      <c r="D39" s="6" t="n">
        <v>59</v>
      </c>
      <c r="E39" s="6" t="n">
        <v>0</v>
      </c>
      <c r="F39" s="6" t="n">
        <v>2</v>
      </c>
      <c r="G39" s="6" t="inlineStr">
        <is>
          <t>Yes</t>
        </is>
      </c>
      <c r="H39" s="6" t="inlineStr">
        <is>
          <t>Monitor</t>
        </is>
      </c>
      <c r="I39" s="6" t="inlineStr">
        <is>
          <t>Copy Writer</t>
        </is>
      </c>
      <c r="J39" s="25" t="inlineStr">
        <is>
          <t>Open</t>
        </is>
      </c>
      <c r="K39" s="6" t="inlineStr"/>
      <c r="L39" s="4" t="inlineStr">
        <is>
          <t>Indexable</t>
        </is>
      </c>
      <c r="M39" s="4" t="n">
        <v>0</v>
      </c>
      <c r="N39" s="6" t="inlineStr"/>
      <c r="O39">
        <f>IFERROR(HYPERLINK("#Main!A"&amp;MATCH(A39,Main!A:A,0),"Open"),HYPERLINK("#Main!A1","Open"))</f>
        <v/>
      </c>
      <c r="P39">
        <f>IFERROR(HYPERLINK("#Technical!A"&amp;MATCH(A39,Technical!A:A,0),"Open"),HYPERLINK("#Technical!A1","Open"))</f>
        <v/>
      </c>
    </row>
    <row r="40" ht="30" customHeight="1">
      <c r="A40" s="33" t="inlineStr">
        <is>
          <t>https://africanmarketingconfederation.org/awards-2026/</t>
        </is>
      </c>
      <c r="B40" s="24" t="n">
        <v>61</v>
      </c>
      <c r="C40" s="25" t="inlineStr">
        <is>
          <t>Warning</t>
        </is>
      </c>
      <c r="D40" s="24" t="n">
        <v>59</v>
      </c>
      <c r="E40" s="24" t="n">
        <v>0</v>
      </c>
      <c r="F40" s="24" t="n">
        <v>2</v>
      </c>
      <c r="G40" s="24" t="inlineStr">
        <is>
          <t>Yes</t>
        </is>
      </c>
      <c r="H40" s="24" t="inlineStr">
        <is>
          <t>Monitor</t>
        </is>
      </c>
      <c r="I40" s="24" t="inlineStr">
        <is>
          <t>Copy Writer</t>
        </is>
      </c>
      <c r="J40" s="25" t="inlineStr">
        <is>
          <t>Open</t>
        </is>
      </c>
      <c r="K40" s="24" t="inlineStr"/>
      <c r="L40" s="4" t="inlineStr">
        <is>
          <t>Indexable</t>
        </is>
      </c>
      <c r="M40" s="4" t="n">
        <v>0</v>
      </c>
      <c r="N40" s="24" t="inlineStr"/>
      <c r="O40">
        <f>IFERROR(HYPERLINK("#Main!A"&amp;MATCH(A40,Main!A:A,0),"Open"),HYPERLINK("#Main!A1","Open"))</f>
        <v/>
      </c>
      <c r="P40">
        <f>IFERROR(HYPERLINK("#Technical!A"&amp;MATCH(A40,Technical!A:A,0),"Open"),HYPERLINK("#Technical!A1","Open"))</f>
        <v/>
      </c>
    </row>
    <row r="41" ht="30" customHeight="1">
      <c r="A41" s="33" t="inlineStr">
        <is>
          <t>https://africanmarketingconfederation.org/contact-us/</t>
        </is>
      </c>
      <c r="B41" s="6" t="n">
        <v>61</v>
      </c>
      <c r="C41" s="25" t="inlineStr">
        <is>
          <t>Warning</t>
        </is>
      </c>
      <c r="D41" s="6" t="n">
        <v>59</v>
      </c>
      <c r="E41" s="6" t="n">
        <v>0</v>
      </c>
      <c r="F41" s="6" t="n">
        <v>2</v>
      </c>
      <c r="G41" s="6" t="inlineStr">
        <is>
          <t>Yes</t>
        </is>
      </c>
      <c r="H41" s="6" t="inlineStr">
        <is>
          <t>Monitor</t>
        </is>
      </c>
      <c r="I41" s="6" t="inlineStr">
        <is>
          <t>Copy Writer</t>
        </is>
      </c>
      <c r="J41" s="25" t="inlineStr">
        <is>
          <t>Open</t>
        </is>
      </c>
      <c r="K41" s="6" t="inlineStr"/>
      <c r="L41" s="4" t="inlineStr">
        <is>
          <t>Indexable</t>
        </is>
      </c>
      <c r="M41" s="4" t="n">
        <v>0</v>
      </c>
      <c r="N41" s="6" t="inlineStr"/>
      <c r="O41">
        <f>IFERROR(HYPERLINK("#Main!A"&amp;MATCH(A41,Main!A:A,0),"Open"),HYPERLINK("#Main!A1","Open"))</f>
        <v/>
      </c>
      <c r="P41">
        <f>IFERROR(HYPERLINK("#Technical!A"&amp;MATCH(A41,Technical!A:A,0),"Open"),HYPERLINK("#Technical!A1","Open"))</f>
        <v/>
      </c>
    </row>
    <row r="42" ht="30" customHeight="1">
      <c r="A42" s="33" t="inlineStr">
        <is>
          <t>https://africanmarketingconfederation.org/african-marketing-confederation-tourism-chapter/</t>
        </is>
      </c>
      <c r="B42" s="24" t="n">
        <v>61</v>
      </c>
      <c r="C42" s="25" t="inlineStr">
        <is>
          <t>Warning</t>
        </is>
      </c>
      <c r="D42" s="24" t="n">
        <v>59</v>
      </c>
      <c r="E42" s="24" t="n">
        <v>0</v>
      </c>
      <c r="F42" s="24" t="n">
        <v>2</v>
      </c>
      <c r="G42" s="24" t="inlineStr">
        <is>
          <t>Yes</t>
        </is>
      </c>
      <c r="H42" s="24" t="inlineStr">
        <is>
          <t>Monitor</t>
        </is>
      </c>
      <c r="I42" s="24" t="inlineStr">
        <is>
          <t>Copy Writer</t>
        </is>
      </c>
      <c r="J42" s="25" t="inlineStr">
        <is>
          <t>Open</t>
        </is>
      </c>
      <c r="K42" s="24" t="inlineStr"/>
      <c r="L42" s="4" t="inlineStr">
        <is>
          <t>Indexable</t>
        </is>
      </c>
      <c r="M42" s="4" t="n">
        <v>0</v>
      </c>
      <c r="N42" s="24" t="inlineStr"/>
      <c r="O42">
        <f>IFERROR(HYPERLINK("#Main!A"&amp;MATCH(A42,Main!A:A,0),"Open"),HYPERLINK("#Main!A1","Open"))</f>
        <v/>
      </c>
      <c r="P42">
        <f>IFERROR(HYPERLINK("#Technical!A"&amp;MATCH(A42,Technical!A:A,0),"Open"),HYPERLINK("#Technical!A1","Open"))</f>
        <v/>
      </c>
    </row>
    <row r="43" ht="30" customHeight="1">
      <c r="A43" s="33" t="inlineStr">
        <is>
          <t>https://africanmarketingconfederation.org/about-us/</t>
        </is>
      </c>
      <c r="B43" s="6" t="n">
        <v>61</v>
      </c>
      <c r="C43" s="25" t="inlineStr">
        <is>
          <t>Warning</t>
        </is>
      </c>
      <c r="D43" s="6" t="n">
        <v>59</v>
      </c>
      <c r="E43" s="6" t="n">
        <v>0</v>
      </c>
      <c r="F43" s="6" t="n">
        <v>2</v>
      </c>
      <c r="G43" s="6" t="inlineStr">
        <is>
          <t>Yes</t>
        </is>
      </c>
      <c r="H43" s="6" t="inlineStr">
        <is>
          <t>Monitor</t>
        </is>
      </c>
      <c r="I43" s="6" t="inlineStr">
        <is>
          <t>Copy Writer</t>
        </is>
      </c>
      <c r="J43" s="25" t="inlineStr">
        <is>
          <t>Open</t>
        </is>
      </c>
      <c r="K43" s="6" t="inlineStr"/>
      <c r="L43" s="4" t="inlineStr">
        <is>
          <t>Indexable</t>
        </is>
      </c>
      <c r="M43" s="4" t="n">
        <v>0</v>
      </c>
      <c r="N43" s="6" t="inlineStr"/>
      <c r="O43">
        <f>IFERROR(HYPERLINK("#Main!A"&amp;MATCH(A43,Main!A:A,0),"Open"),HYPERLINK("#Main!A1","Open"))</f>
        <v/>
      </c>
      <c r="P43">
        <f>IFERROR(HYPERLINK("#Technical!A"&amp;MATCH(A43,Technical!A:A,0),"Open"),HYPERLINK("#Technical!A1","Open"))</f>
        <v/>
      </c>
    </row>
    <row r="44" ht="30" customHeight="1">
      <c r="A44" s="33" t="inlineStr">
        <is>
          <t>https://africanmarketingconfederation.org/awards-2026-1/</t>
        </is>
      </c>
      <c r="B44" s="24" t="n">
        <v>61</v>
      </c>
      <c r="C44" s="25" t="inlineStr">
        <is>
          <t>Warning</t>
        </is>
      </c>
      <c r="D44" s="24" t="n">
        <v>59</v>
      </c>
      <c r="E44" s="24" t="n">
        <v>0</v>
      </c>
      <c r="F44" s="24" t="n">
        <v>2</v>
      </c>
      <c r="G44" s="24" t="inlineStr">
        <is>
          <t>Yes</t>
        </is>
      </c>
      <c r="H44" s="24" t="inlineStr">
        <is>
          <t>Monitor</t>
        </is>
      </c>
      <c r="I44" s="24" t="inlineStr">
        <is>
          <t>Copy Writer</t>
        </is>
      </c>
      <c r="J44" s="25" t="inlineStr">
        <is>
          <t>Open</t>
        </is>
      </c>
      <c r="K44" s="24" t="inlineStr"/>
      <c r="L44" s="4" t="inlineStr">
        <is>
          <t>Indexable</t>
        </is>
      </c>
      <c r="M44" s="4" t="n">
        <v>0</v>
      </c>
      <c r="N44" s="24" t="inlineStr"/>
      <c r="O44">
        <f>IFERROR(HYPERLINK("#Main!A"&amp;MATCH(A44,Main!A:A,0),"Open"),HYPERLINK("#Main!A1","Open"))</f>
        <v/>
      </c>
      <c r="P44">
        <f>IFERROR(HYPERLINK("#Technical!A"&amp;MATCH(A44,Technical!A:A,0),"Open"),HYPERLINK("#Technical!A1","Open"))</f>
        <v/>
      </c>
    </row>
    <row r="45" ht="30" customHeight="1">
      <c r="A45" s="33" t="inlineStr">
        <is>
          <t>https://africanmarketingconfederation.org/awards-2026-test/</t>
        </is>
      </c>
      <c r="B45" s="6" t="n">
        <v>61</v>
      </c>
      <c r="C45" s="25" t="inlineStr">
        <is>
          <t>Warning</t>
        </is>
      </c>
      <c r="D45" s="6" t="n">
        <v>59</v>
      </c>
      <c r="E45" s="6" t="n">
        <v>0</v>
      </c>
      <c r="F45" s="6" t="n">
        <v>2</v>
      </c>
      <c r="G45" s="6" t="inlineStr">
        <is>
          <t>Yes</t>
        </is>
      </c>
      <c r="H45" s="6" t="inlineStr">
        <is>
          <t>Monitor</t>
        </is>
      </c>
      <c r="I45" s="6" t="inlineStr">
        <is>
          <t>Copy Writer</t>
        </is>
      </c>
      <c r="J45" s="25" t="inlineStr">
        <is>
          <t>Open</t>
        </is>
      </c>
      <c r="K45" s="6" t="inlineStr"/>
      <c r="L45" s="4" t="inlineStr">
        <is>
          <t>Indexable</t>
        </is>
      </c>
      <c r="M45" s="4" t="n">
        <v>0</v>
      </c>
      <c r="N45" s="6" t="inlineStr"/>
      <c r="O45">
        <f>IFERROR(HYPERLINK("#Main!A"&amp;MATCH(A45,Main!A:A,0),"Open"),HYPERLINK("#Main!A1","Open"))</f>
        <v/>
      </c>
      <c r="P45">
        <f>IFERROR(HYPERLINK("#Technical!A"&amp;MATCH(A45,Technical!A:A,0),"Open"),HYPERLINK("#Technical!A1","Open"))</f>
        <v/>
      </c>
    </row>
    <row r="46" ht="30" customHeight="1">
      <c r="A46" s="33" t="inlineStr">
        <is>
          <t>https://africanmarketingconfederation.org/speakers-2025/</t>
        </is>
      </c>
      <c r="B46" s="24" t="n">
        <v>61</v>
      </c>
      <c r="C46" s="25" t="inlineStr">
        <is>
          <t>Warning</t>
        </is>
      </c>
      <c r="D46" s="24" t="n">
        <v>59</v>
      </c>
      <c r="E46" s="24" t="n">
        <v>0</v>
      </c>
      <c r="F46" s="24" t="n">
        <v>2</v>
      </c>
      <c r="G46" s="24" t="inlineStr">
        <is>
          <t>Yes</t>
        </is>
      </c>
      <c r="H46" s="24" t="inlineStr">
        <is>
          <t>Monitor</t>
        </is>
      </c>
      <c r="I46" s="24" t="inlineStr">
        <is>
          <t>Copy Writer</t>
        </is>
      </c>
      <c r="J46" s="25" t="inlineStr">
        <is>
          <t>Open</t>
        </is>
      </c>
      <c r="K46" s="24" t="inlineStr"/>
      <c r="L46" s="4" t="inlineStr">
        <is>
          <t>Indexable</t>
        </is>
      </c>
      <c r="M46" s="4" t="n">
        <v>0</v>
      </c>
      <c r="N46" s="24" t="inlineStr"/>
      <c r="O46">
        <f>IFERROR(HYPERLINK("#Main!A"&amp;MATCH(A46,Main!A:A,0),"Open"),HYPERLINK("#Main!A1","Open"))</f>
        <v/>
      </c>
      <c r="P46">
        <f>IFERROR(HYPERLINK("#Technical!A"&amp;MATCH(A46,Technical!A:A,0),"Open"),HYPERLINK("#Technical!A1","Open"))</f>
        <v/>
      </c>
    </row>
    <row r="47" ht="30" customHeight="1">
      <c r="A47" s="33" t="inlineStr">
        <is>
          <t>https://africanmarketingconfederation.org/amc-conference-2022/</t>
        </is>
      </c>
      <c r="B47" s="6" t="n">
        <v>61</v>
      </c>
      <c r="C47" s="25" t="inlineStr">
        <is>
          <t>Warning</t>
        </is>
      </c>
      <c r="D47" s="6" t="n">
        <v>59</v>
      </c>
      <c r="E47" s="6" t="n">
        <v>0</v>
      </c>
      <c r="F47" s="6" t="n">
        <v>2</v>
      </c>
      <c r="G47" s="6" t="inlineStr">
        <is>
          <t>Yes</t>
        </is>
      </c>
      <c r="H47" s="6" t="inlineStr">
        <is>
          <t>Monitor</t>
        </is>
      </c>
      <c r="I47" s="6" t="inlineStr">
        <is>
          <t>Copy Writer</t>
        </is>
      </c>
      <c r="J47" s="25" t="inlineStr">
        <is>
          <t>Open</t>
        </is>
      </c>
      <c r="K47" s="6" t="inlineStr"/>
      <c r="L47" s="4" t="inlineStr">
        <is>
          <t>Indexable</t>
        </is>
      </c>
      <c r="M47" s="4" t="n">
        <v>0</v>
      </c>
      <c r="N47" s="6" t="inlineStr"/>
      <c r="O47">
        <f>IFERROR(HYPERLINK("#Main!A"&amp;MATCH(A47,Main!A:A,0),"Open"),HYPERLINK("#Main!A1","Open"))</f>
        <v/>
      </c>
      <c r="P47">
        <f>IFERROR(HYPERLINK("#Technical!A"&amp;MATCH(A47,Technical!A:A,0),"Open"),HYPERLINK("#Technical!A1","Open"))</f>
        <v/>
      </c>
    </row>
    <row r="48" ht="30" customHeight="1">
      <c r="A48" s="33" t="inlineStr">
        <is>
          <t>https://africanmarketingconfederation.org/amc-conference-2023/gallery/</t>
        </is>
      </c>
      <c r="B48" s="24" t="n">
        <v>61</v>
      </c>
      <c r="C48" s="25" t="inlineStr">
        <is>
          <t>Warning</t>
        </is>
      </c>
      <c r="D48" s="24" t="n">
        <v>59</v>
      </c>
      <c r="E48" s="24" t="n">
        <v>0</v>
      </c>
      <c r="F48" s="24" t="n">
        <v>2</v>
      </c>
      <c r="G48" s="24" t="inlineStr">
        <is>
          <t>Yes</t>
        </is>
      </c>
      <c r="H48" s="24" t="inlineStr">
        <is>
          <t>Monitor</t>
        </is>
      </c>
      <c r="I48" s="24" t="inlineStr">
        <is>
          <t>Copy Writer</t>
        </is>
      </c>
      <c r="J48" s="25" t="inlineStr">
        <is>
          <t>Open</t>
        </is>
      </c>
      <c r="K48" s="24" t="inlineStr"/>
      <c r="L48" s="4" t="inlineStr">
        <is>
          <t>Indexable</t>
        </is>
      </c>
      <c r="M48" s="4" t="n">
        <v>0</v>
      </c>
      <c r="N48" s="24" t="inlineStr"/>
      <c r="O48">
        <f>IFERROR(HYPERLINK("#Main!A"&amp;MATCH(A48,Main!A:A,0),"Open"),HYPERLINK("#Main!A1","Open"))</f>
        <v/>
      </c>
      <c r="P48">
        <f>IFERROR(HYPERLINK("#Technical!A"&amp;MATCH(A48,Technical!A:A,0),"Open"),HYPERLINK("#Technical!A1","Open"))</f>
        <v/>
      </c>
    </row>
    <row r="49" ht="30" customHeight="1">
      <c r="A49" s="33" t="inlineStr">
        <is>
          <t>https://africanmarketingconfederation.org/amc-conference-2024-recap/</t>
        </is>
      </c>
      <c r="B49" s="6" t="n">
        <v>61</v>
      </c>
      <c r="C49" s="25" t="inlineStr">
        <is>
          <t>Warning</t>
        </is>
      </c>
      <c r="D49" s="6" t="n">
        <v>59</v>
      </c>
      <c r="E49" s="6" t="n">
        <v>0</v>
      </c>
      <c r="F49" s="6" t="n">
        <v>2</v>
      </c>
      <c r="G49" s="6" t="inlineStr">
        <is>
          <t>Yes</t>
        </is>
      </c>
      <c r="H49" s="6" t="inlineStr">
        <is>
          <t>Monitor</t>
        </is>
      </c>
      <c r="I49" s="6" t="inlineStr">
        <is>
          <t>Copy Writer</t>
        </is>
      </c>
      <c r="J49" s="25" t="inlineStr">
        <is>
          <t>Open</t>
        </is>
      </c>
      <c r="K49" s="6" t="inlineStr"/>
      <c r="L49" s="4" t="inlineStr">
        <is>
          <t>Indexable</t>
        </is>
      </c>
      <c r="M49" s="4" t="n">
        <v>0</v>
      </c>
      <c r="N49" s="6" t="inlineStr"/>
      <c r="O49">
        <f>IFERROR(HYPERLINK("#Main!A"&amp;MATCH(A49,Main!A:A,0),"Open"),HYPERLINK("#Main!A1","Open"))</f>
        <v/>
      </c>
      <c r="P49">
        <f>IFERROR(HYPERLINK("#Technical!A"&amp;MATCH(A49,Technical!A:A,0),"Open"),HYPERLINK("#Technical!A1","Open"))</f>
        <v/>
      </c>
    </row>
    <row r="50" ht="30" customHeight="1">
      <c r="A50" s="33" t="inlineStr">
        <is>
          <t>https://africanmarketingconfederation.org/amc-conference-2025/</t>
        </is>
      </c>
      <c r="B50" s="24" t="n">
        <v>61</v>
      </c>
      <c r="C50" s="25" t="inlineStr">
        <is>
          <t>Warning</t>
        </is>
      </c>
      <c r="D50" s="24" t="n">
        <v>59</v>
      </c>
      <c r="E50" s="24" t="n">
        <v>0</v>
      </c>
      <c r="F50" s="24" t="n">
        <v>2</v>
      </c>
      <c r="G50" s="24" t="inlineStr">
        <is>
          <t>Yes</t>
        </is>
      </c>
      <c r="H50" s="24" t="inlineStr">
        <is>
          <t>Monitor</t>
        </is>
      </c>
      <c r="I50" s="24" t="inlineStr">
        <is>
          <t>Copy Writer</t>
        </is>
      </c>
      <c r="J50" s="25" t="inlineStr">
        <is>
          <t>Open</t>
        </is>
      </c>
      <c r="K50" s="24" t="inlineStr"/>
      <c r="L50" s="4" t="inlineStr">
        <is>
          <t>Indexable</t>
        </is>
      </c>
      <c r="M50" s="4" t="n">
        <v>0</v>
      </c>
      <c r="N50" s="24" t="inlineStr"/>
      <c r="O50">
        <f>IFERROR(HYPERLINK("#Main!A"&amp;MATCH(A50,Main!A:A,0),"Open"),HYPERLINK("#Main!A1","Open"))</f>
        <v/>
      </c>
      <c r="P50">
        <f>IFERROR(HYPERLINK("#Technical!A"&amp;MATCH(A50,Technical!A:A,0),"Open"),HYPERLINK("#Technical!A1","Open"))</f>
        <v/>
      </c>
    </row>
    <row r="51" ht="45" customHeight="1">
      <c r="A51" s="33" t="inlineStr">
        <is>
          <t>https://africanmarketingconfederation.org/amc-marketing-conference-2024/amc-conference-2025-ghana-sponsors/</t>
        </is>
      </c>
      <c r="B51" s="6" t="n">
        <v>61</v>
      </c>
      <c r="C51" s="25" t="inlineStr">
        <is>
          <t>Warning</t>
        </is>
      </c>
      <c r="D51" s="6" t="n">
        <v>59</v>
      </c>
      <c r="E51" s="6" t="n">
        <v>0</v>
      </c>
      <c r="F51" s="6" t="n">
        <v>2</v>
      </c>
      <c r="G51" s="6" t="inlineStr">
        <is>
          <t>Yes</t>
        </is>
      </c>
      <c r="H51" s="6" t="inlineStr">
        <is>
          <t>Monitor</t>
        </is>
      </c>
      <c r="I51" s="6" t="inlineStr">
        <is>
          <t>Copy Writer</t>
        </is>
      </c>
      <c r="J51" s="25" t="inlineStr">
        <is>
          <t>Open</t>
        </is>
      </c>
      <c r="K51" s="6" t="inlineStr"/>
      <c r="L51" s="4" t="inlineStr">
        <is>
          <t>Indexable</t>
        </is>
      </c>
      <c r="M51" s="4" t="n">
        <v>0</v>
      </c>
      <c r="N51" s="6" t="inlineStr"/>
      <c r="O51">
        <f>IFERROR(HYPERLINK("#Main!A"&amp;MATCH(A51,Main!A:A,0),"Open"),HYPERLINK("#Main!A1","Open"))</f>
        <v/>
      </c>
      <c r="P51">
        <f>IFERROR(HYPERLINK("#Technical!A"&amp;MATCH(A51,Technical!A:A,0),"Open"),HYPERLINK("#Technical!A1","Open"))</f>
        <v/>
      </c>
    </row>
    <row r="52" ht="30" customHeight="1">
      <c r="A52" s="33" t="inlineStr">
        <is>
          <t>https://africanmarketingconfederation.org/amc-awards-2024/</t>
        </is>
      </c>
      <c r="B52" s="24" t="n">
        <v>61</v>
      </c>
      <c r="C52" s="25" t="inlineStr">
        <is>
          <t>Warning</t>
        </is>
      </c>
      <c r="D52" s="24" t="n">
        <v>59</v>
      </c>
      <c r="E52" s="24" t="n">
        <v>0</v>
      </c>
      <c r="F52" s="24" t="n">
        <v>2</v>
      </c>
      <c r="G52" s="24" t="inlineStr">
        <is>
          <t>Yes</t>
        </is>
      </c>
      <c r="H52" s="24" t="inlineStr">
        <is>
          <t>Monitor</t>
        </is>
      </c>
      <c r="I52" s="24" t="inlineStr">
        <is>
          <t>Copy Writer</t>
        </is>
      </c>
      <c r="J52" s="25" t="inlineStr">
        <is>
          <t>Open</t>
        </is>
      </c>
      <c r="K52" s="24" t="inlineStr"/>
      <c r="L52" s="4" t="inlineStr">
        <is>
          <t>Indexable</t>
        </is>
      </c>
      <c r="M52" s="4" t="n">
        <v>0</v>
      </c>
      <c r="N52" s="24" t="inlineStr"/>
      <c r="O52">
        <f>IFERROR(HYPERLINK("#Main!A"&amp;MATCH(A52,Main!A:A,0),"Open"),HYPERLINK("#Main!A1","Open"))</f>
        <v/>
      </c>
      <c r="P52">
        <f>IFERROR(HYPERLINK("#Technical!A"&amp;MATCH(A52,Technical!A:A,0),"Open"),HYPERLINK("#Technical!A1","Open"))</f>
        <v/>
      </c>
    </row>
    <row r="53" ht="30" customHeight="1">
      <c r="A53" s="33" t="inlineStr">
        <is>
          <t>https://africanmarketingconfederation.org/subscribe/</t>
        </is>
      </c>
      <c r="B53" s="6" t="n">
        <v>61</v>
      </c>
      <c r="C53" s="25" t="inlineStr">
        <is>
          <t>Warning</t>
        </is>
      </c>
      <c r="D53" s="6" t="n">
        <v>59</v>
      </c>
      <c r="E53" s="6" t="n">
        <v>0</v>
      </c>
      <c r="F53" s="6" t="n">
        <v>2</v>
      </c>
      <c r="G53" s="6" t="inlineStr">
        <is>
          <t>Yes</t>
        </is>
      </c>
      <c r="H53" s="6" t="inlineStr">
        <is>
          <t>Monitor</t>
        </is>
      </c>
      <c r="I53" s="6" t="inlineStr">
        <is>
          <t>Copy Writer</t>
        </is>
      </c>
      <c r="J53" s="25" t="inlineStr">
        <is>
          <t>Open</t>
        </is>
      </c>
      <c r="K53" s="6" t="inlineStr"/>
      <c r="L53" s="4" t="inlineStr">
        <is>
          <t>Indexable</t>
        </is>
      </c>
      <c r="M53" s="4" t="n">
        <v>0</v>
      </c>
      <c r="N53" s="6" t="inlineStr"/>
      <c r="O53">
        <f>IFERROR(HYPERLINK("#Main!A"&amp;MATCH(A53,Main!A:A,0),"Open"),HYPERLINK("#Main!A1","Open"))</f>
        <v/>
      </c>
      <c r="P53">
        <f>IFERROR(HYPERLINK("#Technical!A"&amp;MATCH(A53,Technical!A:A,0),"Open"),HYPERLINK("#Technical!A1","Open"))</f>
        <v/>
      </c>
    </row>
    <row r="54" ht="30" customHeight="1">
      <c r="A54" s="33" t="inlineStr">
        <is>
          <t>https://africanmarketingconfederation.org/chartered-marketer-africa-final-submission-fee/</t>
        </is>
      </c>
      <c r="B54" s="24" t="n">
        <v>61</v>
      </c>
      <c r="C54" s="25" t="inlineStr">
        <is>
          <t>Warning</t>
        </is>
      </c>
      <c r="D54" s="24" t="n">
        <v>59</v>
      </c>
      <c r="E54" s="24" t="n">
        <v>0</v>
      </c>
      <c r="F54" s="24" t="n">
        <v>2</v>
      </c>
      <c r="G54" s="24" t="inlineStr">
        <is>
          <t>Yes</t>
        </is>
      </c>
      <c r="H54" s="24" t="inlineStr">
        <is>
          <t>Monitor</t>
        </is>
      </c>
      <c r="I54" s="24" t="inlineStr">
        <is>
          <t>Copy Writer</t>
        </is>
      </c>
      <c r="J54" s="25" t="inlineStr">
        <is>
          <t>Open</t>
        </is>
      </c>
      <c r="K54" s="24" t="inlineStr"/>
      <c r="L54" s="4" t="inlineStr">
        <is>
          <t>Indexable</t>
        </is>
      </c>
      <c r="M54" s="4" t="n">
        <v>0</v>
      </c>
      <c r="N54" s="24" t="inlineStr"/>
      <c r="O54">
        <f>IFERROR(HYPERLINK("#Main!A"&amp;MATCH(A54,Main!A:A,0),"Open"),HYPERLINK("#Main!A1","Open"))</f>
        <v/>
      </c>
      <c r="P54">
        <f>IFERROR(HYPERLINK("#Technical!A"&amp;MATCH(A54,Technical!A:A,0),"Open"),HYPERLINK("#Technical!A1","Open"))</f>
        <v/>
      </c>
    </row>
    <row r="55" ht="30" customHeight="1">
      <c r="A55" s="33" t="inlineStr">
        <is>
          <t>https://africanmarketingconfederation.org/chartered-marketer-africa-programme-fee/</t>
        </is>
      </c>
      <c r="B55" s="6" t="n">
        <v>61</v>
      </c>
      <c r="C55" s="25" t="inlineStr">
        <is>
          <t>Warning</t>
        </is>
      </c>
      <c r="D55" s="6" t="n">
        <v>59</v>
      </c>
      <c r="E55" s="6" t="n">
        <v>0</v>
      </c>
      <c r="F55" s="6" t="n">
        <v>2</v>
      </c>
      <c r="G55" s="6" t="inlineStr">
        <is>
          <t>Yes</t>
        </is>
      </c>
      <c r="H55" s="6" t="inlineStr">
        <is>
          <t>Monitor</t>
        </is>
      </c>
      <c r="I55" s="6" t="inlineStr">
        <is>
          <t>Copy Writer</t>
        </is>
      </c>
      <c r="J55" s="25" t="inlineStr">
        <is>
          <t>Open</t>
        </is>
      </c>
      <c r="K55" s="6" t="inlineStr"/>
      <c r="L55" s="4" t="inlineStr">
        <is>
          <t>Indexable</t>
        </is>
      </c>
      <c r="M55" s="4" t="n">
        <v>0</v>
      </c>
      <c r="N55" s="6" t="inlineStr"/>
      <c r="O55">
        <f>IFERROR(HYPERLINK("#Main!A"&amp;MATCH(A55,Main!A:A,0),"Open"),HYPERLINK("#Main!A1","Open"))</f>
        <v/>
      </c>
      <c r="P55">
        <f>IFERROR(HYPERLINK("#Technical!A"&amp;MATCH(A55,Technical!A:A,0),"Open"),HYPERLINK("#Technical!A1","Open"))</f>
        <v/>
      </c>
    </row>
    <row r="56" ht="30" customHeight="1">
      <c r="A56" s="33" t="inlineStr">
        <is>
          <t>https://africanmarketingconfederation.org/amc-conference-2024-sponsors-packages/</t>
        </is>
      </c>
      <c r="B56" s="24" t="n">
        <v>61</v>
      </c>
      <c r="C56" s="25" t="inlineStr">
        <is>
          <t>Warning</t>
        </is>
      </c>
      <c r="D56" s="24" t="n">
        <v>59</v>
      </c>
      <c r="E56" s="24" t="n">
        <v>0</v>
      </c>
      <c r="F56" s="24" t="n">
        <v>2</v>
      </c>
      <c r="G56" s="24" t="inlineStr">
        <is>
          <t>Yes</t>
        </is>
      </c>
      <c r="H56" s="24" t="inlineStr">
        <is>
          <t>Monitor</t>
        </is>
      </c>
      <c r="I56" s="24" t="inlineStr">
        <is>
          <t>Copy Writer</t>
        </is>
      </c>
      <c r="J56" s="25" t="inlineStr">
        <is>
          <t>Open</t>
        </is>
      </c>
      <c r="K56" s="24" t="inlineStr"/>
      <c r="L56" s="4" t="inlineStr">
        <is>
          <t>Indexable</t>
        </is>
      </c>
      <c r="M56" s="4" t="n">
        <v>0</v>
      </c>
      <c r="N56" s="24" t="inlineStr"/>
      <c r="O56">
        <f>IFERROR(HYPERLINK("#Main!A"&amp;MATCH(A56,Main!A:A,0),"Open"),HYPERLINK("#Main!A1","Open"))</f>
        <v/>
      </c>
      <c r="P56">
        <f>IFERROR(HYPERLINK("#Technical!A"&amp;MATCH(A56,Technical!A:A,0),"Open"),HYPERLINK("#Technical!A1","Open"))</f>
        <v/>
      </c>
    </row>
    <row r="57" ht="30" customHeight="1">
      <c r="A57" s="33" t="inlineStr">
        <is>
          <t>https://africanmarketingconfederation.org/amc-conference-2023/partners/</t>
        </is>
      </c>
      <c r="B57" s="6" t="n">
        <v>61</v>
      </c>
      <c r="C57" s="25" t="inlineStr">
        <is>
          <t>Warning</t>
        </is>
      </c>
      <c r="D57" s="6" t="n">
        <v>59</v>
      </c>
      <c r="E57" s="6" t="n">
        <v>0</v>
      </c>
      <c r="F57" s="6" t="n">
        <v>2</v>
      </c>
      <c r="G57" s="6" t="inlineStr">
        <is>
          <t>Yes</t>
        </is>
      </c>
      <c r="H57" s="6" t="inlineStr">
        <is>
          <t>Monitor</t>
        </is>
      </c>
      <c r="I57" s="6" t="inlineStr">
        <is>
          <t>Copy Writer</t>
        </is>
      </c>
      <c r="J57" s="25" t="inlineStr">
        <is>
          <t>Open</t>
        </is>
      </c>
      <c r="K57" s="6" t="inlineStr"/>
      <c r="L57" s="4" t="inlineStr">
        <is>
          <t>Indexable</t>
        </is>
      </c>
      <c r="M57" s="4" t="n">
        <v>0</v>
      </c>
      <c r="N57" s="6" t="inlineStr"/>
      <c r="O57">
        <f>IFERROR(HYPERLINK("#Main!A"&amp;MATCH(A57,Main!A:A,0),"Open"),HYPERLINK("#Main!A1","Open"))</f>
        <v/>
      </c>
      <c r="P57">
        <f>IFERROR(HYPERLINK("#Technical!A"&amp;MATCH(A57,Technical!A:A,0),"Open"),HYPERLINK("#Technical!A1","Open"))</f>
        <v/>
      </c>
    </row>
    <row r="58" ht="30" customHeight="1">
      <c r="A58" s="33" t="inlineStr">
        <is>
          <t>https://africanmarketingconfederation.org/amc-conference-2023/book-now/</t>
        </is>
      </c>
      <c r="B58" s="24" t="n">
        <v>61</v>
      </c>
      <c r="C58" s="25" t="inlineStr">
        <is>
          <t>Warning</t>
        </is>
      </c>
      <c r="D58" s="24" t="n">
        <v>59</v>
      </c>
      <c r="E58" s="24" t="n">
        <v>0</v>
      </c>
      <c r="F58" s="24" t="n">
        <v>2</v>
      </c>
      <c r="G58" s="24" t="inlineStr">
        <is>
          <t>Yes</t>
        </is>
      </c>
      <c r="H58" s="24" t="inlineStr">
        <is>
          <t>Monitor</t>
        </is>
      </c>
      <c r="I58" s="24" t="inlineStr">
        <is>
          <t>Copy Writer</t>
        </is>
      </c>
      <c r="J58" s="25" t="inlineStr">
        <is>
          <t>Open</t>
        </is>
      </c>
      <c r="K58" s="24" t="inlineStr"/>
      <c r="L58" s="4" t="inlineStr">
        <is>
          <t>Indexable</t>
        </is>
      </c>
      <c r="M58" s="4" t="n">
        <v>0</v>
      </c>
      <c r="N58" s="24" t="inlineStr"/>
      <c r="O58">
        <f>IFERROR(HYPERLINK("#Main!A"&amp;MATCH(A58,Main!A:A,0),"Open"),HYPERLINK("#Main!A1","Open"))</f>
        <v/>
      </c>
      <c r="P58">
        <f>IFERROR(HYPERLINK("#Technical!A"&amp;MATCH(A58,Technical!A:A,0),"Open"),HYPERLINK("#Technical!A1","Open"))</f>
        <v/>
      </c>
    </row>
    <row r="59" ht="30" customHeight="1">
      <c r="A59" s="33" t="inlineStr">
        <is>
          <t>https://africanmarketingconfederation.org/amc-conference-2023/download-prospectus/</t>
        </is>
      </c>
      <c r="B59" s="6" t="n">
        <v>61</v>
      </c>
      <c r="C59" s="25" t="inlineStr">
        <is>
          <t>Warning</t>
        </is>
      </c>
      <c r="D59" s="6" t="n">
        <v>59</v>
      </c>
      <c r="E59" s="6" t="n">
        <v>0</v>
      </c>
      <c r="F59" s="6" t="n">
        <v>2</v>
      </c>
      <c r="G59" s="6" t="inlineStr">
        <is>
          <t>Yes</t>
        </is>
      </c>
      <c r="H59" s="6" t="inlineStr">
        <is>
          <t>Monitor</t>
        </is>
      </c>
      <c r="I59" s="6" t="inlineStr">
        <is>
          <t>Copy Writer</t>
        </is>
      </c>
      <c r="J59" s="25" t="inlineStr">
        <is>
          <t>Open</t>
        </is>
      </c>
      <c r="K59" s="6" t="inlineStr"/>
      <c r="L59" s="4" t="inlineStr">
        <is>
          <t>Indexable</t>
        </is>
      </c>
      <c r="M59" s="4" t="n">
        <v>0</v>
      </c>
      <c r="N59" s="6" t="inlineStr"/>
      <c r="O59">
        <f>IFERROR(HYPERLINK("#Main!A"&amp;MATCH(A59,Main!A:A,0),"Open"),HYPERLINK("#Main!A1","Open"))</f>
        <v/>
      </c>
      <c r="P59">
        <f>IFERROR(HYPERLINK("#Technical!A"&amp;MATCH(A59,Technical!A:A,0),"Open"),HYPERLINK("#Technical!A1","Open"))</f>
        <v/>
      </c>
    </row>
    <row r="60" ht="30" customHeight="1">
      <c r="A60" s="33" t="inlineStr">
        <is>
          <t>https://africanmarketingconfederation.org/amc-relaunch-programme/</t>
        </is>
      </c>
      <c r="B60" s="24" t="n">
        <v>61</v>
      </c>
      <c r="C60" s="25" t="inlineStr">
        <is>
          <t>Warning</t>
        </is>
      </c>
      <c r="D60" s="24" t="n">
        <v>59</v>
      </c>
      <c r="E60" s="24" t="n">
        <v>0</v>
      </c>
      <c r="F60" s="24" t="n">
        <v>2</v>
      </c>
      <c r="G60" s="24" t="inlineStr">
        <is>
          <t>Yes</t>
        </is>
      </c>
      <c r="H60" s="24" t="inlineStr">
        <is>
          <t>Monitor</t>
        </is>
      </c>
      <c r="I60" s="24" t="inlineStr">
        <is>
          <t>Copy Writer</t>
        </is>
      </c>
      <c r="J60" s="25" t="inlineStr">
        <is>
          <t>Open</t>
        </is>
      </c>
      <c r="K60" s="24" t="inlineStr"/>
      <c r="L60" s="4" t="inlineStr">
        <is>
          <t>Indexable</t>
        </is>
      </c>
      <c r="M60" s="4" t="n">
        <v>0</v>
      </c>
      <c r="N60" s="24" t="inlineStr"/>
      <c r="O60">
        <f>IFERROR(HYPERLINK("#Main!A"&amp;MATCH(A60,Main!A:A,0),"Open"),HYPERLINK("#Main!A1","Open"))</f>
        <v/>
      </c>
      <c r="P60">
        <f>IFERROR(HYPERLINK("#Technical!A"&amp;MATCH(A60,Technical!A:A,0),"Open"),HYPERLINK("#Technical!A1","Open"))</f>
        <v/>
      </c>
    </row>
    <row r="61" ht="30" customHeight="1">
      <c r="A61" s="33" t="inlineStr">
        <is>
          <t>https://africanmarketingconfederation.org/amc-conference-programme/</t>
        </is>
      </c>
      <c r="B61" s="6" t="n">
        <v>61</v>
      </c>
      <c r="C61" s="25" t="inlineStr">
        <is>
          <t>Warning</t>
        </is>
      </c>
      <c r="D61" s="6" t="n">
        <v>59</v>
      </c>
      <c r="E61" s="6" t="n">
        <v>0</v>
      </c>
      <c r="F61" s="6" t="n">
        <v>2</v>
      </c>
      <c r="G61" s="6" t="inlineStr">
        <is>
          <t>Yes</t>
        </is>
      </c>
      <c r="H61" s="6" t="inlineStr">
        <is>
          <t>Monitor</t>
        </is>
      </c>
      <c r="I61" s="6" t="inlineStr">
        <is>
          <t>Copy Writer</t>
        </is>
      </c>
      <c r="J61" s="25" t="inlineStr">
        <is>
          <t>Open</t>
        </is>
      </c>
      <c r="K61" s="6" t="inlineStr"/>
      <c r="L61" s="4" t="inlineStr">
        <is>
          <t>Indexable</t>
        </is>
      </c>
      <c r="M61" s="4" t="n">
        <v>0</v>
      </c>
      <c r="N61" s="6" t="inlineStr"/>
      <c r="O61">
        <f>IFERROR(HYPERLINK("#Main!A"&amp;MATCH(A61,Main!A:A,0),"Open"),HYPERLINK("#Main!A1","Open"))</f>
        <v/>
      </c>
      <c r="P61">
        <f>IFERROR(HYPERLINK("#Technical!A"&amp;MATCH(A61,Technical!A:A,0),"Open"),HYPERLINK("#Technical!A1","Open"))</f>
        <v/>
      </c>
    </row>
    <row r="62" ht="30" customHeight="1">
      <c r="A62" s="33" t="inlineStr">
        <is>
          <t>https://africanmarketingconfederation.org/virtual-programme/</t>
        </is>
      </c>
      <c r="B62" s="24" t="n">
        <v>61</v>
      </c>
      <c r="C62" s="25" t="inlineStr">
        <is>
          <t>Warning</t>
        </is>
      </c>
      <c r="D62" s="24" t="n">
        <v>59</v>
      </c>
      <c r="E62" s="24" t="n">
        <v>0</v>
      </c>
      <c r="F62" s="24" t="n">
        <v>2</v>
      </c>
      <c r="G62" s="24" t="inlineStr">
        <is>
          <t>Yes</t>
        </is>
      </c>
      <c r="H62" s="24" t="inlineStr">
        <is>
          <t>Monitor</t>
        </is>
      </c>
      <c r="I62" s="24" t="inlineStr">
        <is>
          <t>Copy Writer</t>
        </is>
      </c>
      <c r="J62" s="25" t="inlineStr">
        <is>
          <t>Open</t>
        </is>
      </c>
      <c r="K62" s="24" t="inlineStr"/>
      <c r="L62" s="4" t="inlineStr">
        <is>
          <t>Indexable</t>
        </is>
      </c>
      <c r="M62" s="4" t="n">
        <v>0</v>
      </c>
      <c r="N62" s="24" t="inlineStr"/>
      <c r="O62">
        <f>IFERROR(HYPERLINK("#Main!A"&amp;MATCH(A62,Main!A:A,0),"Open"),HYPERLINK("#Main!A1","Open"))</f>
        <v/>
      </c>
      <c r="P62">
        <f>IFERROR(HYPERLINK("#Technical!A"&amp;MATCH(A62,Technical!A:A,0),"Open"),HYPERLINK("#Technical!A1","Open"))</f>
        <v/>
      </c>
    </row>
    <row r="63" ht="30" customHeight="1">
      <c r="A63" s="33" t="inlineStr">
        <is>
          <t>https://africanmarketingconfederation.org/amc-conference-2022-thank-you/</t>
        </is>
      </c>
      <c r="B63" s="6" t="n">
        <v>61</v>
      </c>
      <c r="C63" s="25" t="inlineStr">
        <is>
          <t>Warning</t>
        </is>
      </c>
      <c r="D63" s="6" t="n">
        <v>59</v>
      </c>
      <c r="E63" s="6" t="n">
        <v>0</v>
      </c>
      <c r="F63" s="6" t="n">
        <v>2</v>
      </c>
      <c r="G63" s="6" t="inlineStr">
        <is>
          <t>Yes</t>
        </is>
      </c>
      <c r="H63" s="6" t="inlineStr">
        <is>
          <t>Monitor</t>
        </is>
      </c>
      <c r="I63" s="6" t="inlineStr">
        <is>
          <t>Copy Writer</t>
        </is>
      </c>
      <c r="J63" s="25" t="inlineStr">
        <is>
          <t>Open</t>
        </is>
      </c>
      <c r="K63" s="6" t="inlineStr"/>
      <c r="L63" s="4" t="inlineStr">
        <is>
          <t>Indexable</t>
        </is>
      </c>
      <c r="M63" s="4" t="n">
        <v>0</v>
      </c>
      <c r="N63" s="6" t="inlineStr"/>
      <c r="O63">
        <f>IFERROR(HYPERLINK("#Main!A"&amp;MATCH(A63,Main!A:A,0),"Open"),HYPERLINK("#Main!A1","Open"))</f>
        <v/>
      </c>
      <c r="P63">
        <f>IFERROR(HYPERLINK("#Technical!A"&amp;MATCH(A63,Technical!A:A,0),"Open"),HYPERLINK("#Technical!A1","Open"))</f>
        <v/>
      </c>
    </row>
    <row r="64" ht="30" customHeight="1">
      <c r="A64" s="33" t="inlineStr">
        <is>
          <t>https://africanmarketingconfederation.org/privacy-policy/</t>
        </is>
      </c>
      <c r="B64" s="24" t="n">
        <v>61</v>
      </c>
      <c r="C64" s="25" t="inlineStr">
        <is>
          <t>Warning</t>
        </is>
      </c>
      <c r="D64" s="24" t="n">
        <v>59</v>
      </c>
      <c r="E64" s="24" t="n">
        <v>0</v>
      </c>
      <c r="F64" s="24" t="n">
        <v>2</v>
      </c>
      <c r="G64" s="24" t="inlineStr">
        <is>
          <t>Yes</t>
        </is>
      </c>
      <c r="H64" s="24" t="inlineStr">
        <is>
          <t>Monitor</t>
        </is>
      </c>
      <c r="I64" s="24" t="inlineStr">
        <is>
          <t>Copy Writer</t>
        </is>
      </c>
      <c r="J64" s="25" t="inlineStr">
        <is>
          <t>Open</t>
        </is>
      </c>
      <c r="K64" s="24" t="inlineStr"/>
      <c r="L64" s="4" t="inlineStr">
        <is>
          <t>Indexable</t>
        </is>
      </c>
      <c r="M64" s="4" t="n">
        <v>0</v>
      </c>
      <c r="N64" s="24" t="inlineStr"/>
      <c r="O64">
        <f>IFERROR(HYPERLINK("#Main!A"&amp;MATCH(A64,Main!A:A,0),"Open"),HYPERLINK("#Main!A1","Open"))</f>
        <v/>
      </c>
      <c r="P64">
        <f>IFERROR(HYPERLINK("#Technical!A"&amp;MATCH(A64,Technical!A:A,0),"Open"),HYPERLINK("#Technical!A1","Open"))</f>
        <v/>
      </c>
    </row>
    <row r="65" ht="30" customHeight="1">
      <c r="A65" s="33" t="inlineStr">
        <is>
          <t>https://africanmarketingconfederation.org/amc-conference-2026/</t>
        </is>
      </c>
      <c r="B65" s="6" t="n">
        <v>44</v>
      </c>
      <c r="C65" s="25" t="inlineStr">
        <is>
          <t>Warning</t>
        </is>
      </c>
      <c r="D65" s="6" t="n">
        <v>66</v>
      </c>
      <c r="E65" s="6" t="n">
        <v>0</v>
      </c>
      <c r="F65" s="6" t="n">
        <v>1</v>
      </c>
      <c r="G65" s="6" t="inlineStr">
        <is>
          <t>Yes</t>
        </is>
      </c>
      <c r="H65" s="6" t="inlineStr">
        <is>
          <t>Monitor</t>
        </is>
      </c>
      <c r="I65" s="6" t="inlineStr">
        <is>
          <t>Copy Writer</t>
        </is>
      </c>
      <c r="J65" s="25" t="inlineStr">
        <is>
          <t>Open</t>
        </is>
      </c>
      <c r="K65" s="6" t="inlineStr"/>
      <c r="L65" s="4" t="inlineStr">
        <is>
          <t>Indexable</t>
        </is>
      </c>
      <c r="M65" s="4" t="n">
        <v>0</v>
      </c>
      <c r="N65" s="6" t="inlineStr"/>
      <c r="O65">
        <f>IFERROR(HYPERLINK("#Main!A"&amp;MATCH(A65,Main!A:A,0),"Open"),HYPERLINK("#Main!A1","Open"))</f>
        <v/>
      </c>
      <c r="P65">
        <f>IFERROR(HYPERLINK("#Technical!A"&amp;MATCH(A65,Technical!A:A,0),"Open"),HYPERLINK("#Technical!A1","Open"))</f>
        <v/>
      </c>
    </row>
    <row r="66" ht="30" customHeight="1">
      <c r="A66" s="33" t="inlineStr">
        <is>
          <t>https://africanmarketingconfederation.org/chartered-marketer-africa/</t>
        </is>
      </c>
      <c r="B66" s="24" t="n">
        <v>41</v>
      </c>
      <c r="C66" s="25" t="inlineStr">
        <is>
          <t>Warning</t>
        </is>
      </c>
      <c r="D66" s="24" t="n">
        <v>69</v>
      </c>
      <c r="E66" s="24" t="n">
        <v>0</v>
      </c>
      <c r="F66" s="24" t="n">
        <v>1</v>
      </c>
      <c r="G66" s="24" t="inlineStr">
        <is>
          <t>Yes</t>
        </is>
      </c>
      <c r="H66" s="24" t="inlineStr">
        <is>
          <t>Monitor</t>
        </is>
      </c>
      <c r="I66" s="24" t="inlineStr">
        <is>
          <t>Copy Writer</t>
        </is>
      </c>
      <c r="J66" s="25" t="inlineStr">
        <is>
          <t>Open</t>
        </is>
      </c>
      <c r="K66" s="24" t="inlineStr"/>
      <c r="L66" s="4" t="inlineStr">
        <is>
          <t>Indexable</t>
        </is>
      </c>
      <c r="M66" s="4" t="n">
        <v>0</v>
      </c>
      <c r="N66" s="24" t="inlineStr"/>
      <c r="O66">
        <f>IFERROR(HYPERLINK("#Main!A"&amp;MATCH(A66,Main!A:A,0),"Open"),HYPERLINK("#Main!A1","Open"))</f>
        <v/>
      </c>
      <c r="P66">
        <f>IFERROR(HYPERLINK("#Technical!A"&amp;MATCH(A66,Technical!A:A,0),"Open"),HYPERLINK("#Technical!A1","Open"))</f>
        <v/>
      </c>
    </row>
    <row r="67" ht="30" customHeight="1">
      <c r="A67" s="33" t="inlineStr">
        <is>
          <t>https://africanmarketingconfederation.org/news-articles/</t>
        </is>
      </c>
      <c r="B67" s="6" t="n">
        <v>41</v>
      </c>
      <c r="C67" s="25" t="inlineStr">
        <is>
          <t>Warning</t>
        </is>
      </c>
      <c r="D67" s="6" t="n">
        <v>69</v>
      </c>
      <c r="E67" s="6" t="n">
        <v>0</v>
      </c>
      <c r="F67" s="6" t="n">
        <v>1</v>
      </c>
      <c r="G67" s="6" t="inlineStr">
        <is>
          <t>Yes</t>
        </is>
      </c>
      <c r="H67" s="6" t="inlineStr">
        <is>
          <t>Monitor</t>
        </is>
      </c>
      <c r="I67" s="6" t="inlineStr">
        <is>
          <t>Copy Writer</t>
        </is>
      </c>
      <c r="J67" s="25" t="inlineStr">
        <is>
          <t>Open</t>
        </is>
      </c>
      <c r="K67" s="6" t="inlineStr"/>
      <c r="L67" s="4" t="inlineStr">
        <is>
          <t>Indexable</t>
        </is>
      </c>
      <c r="M67" s="4" t="n">
        <v>0</v>
      </c>
      <c r="N67" s="6" t="inlineStr"/>
      <c r="O67">
        <f>IFERROR(HYPERLINK("#Main!A"&amp;MATCH(A67,Main!A:A,0),"Open"),HYPERLINK("#Main!A1","Open"))</f>
        <v/>
      </c>
      <c r="P67">
        <f>IFERROR(HYPERLINK("#Technical!A"&amp;MATCH(A67,Technical!A:A,0),"Open"),HYPERLINK("#Technical!A1","Open"))</f>
        <v/>
      </c>
    </row>
    <row r="68" ht="30" customHeight="1">
      <c r="A68" s="33" t="inlineStr">
        <is>
          <t>https://africanmarketingconfederation.org/sub-committees/</t>
        </is>
      </c>
      <c r="B68" s="24" t="n">
        <v>41</v>
      </c>
      <c r="C68" s="25" t="inlineStr">
        <is>
          <t>Warning</t>
        </is>
      </c>
      <c r="D68" s="24" t="n">
        <v>69</v>
      </c>
      <c r="E68" s="24" t="n">
        <v>0</v>
      </c>
      <c r="F68" s="24" t="n">
        <v>1</v>
      </c>
      <c r="G68" s="24" t="inlineStr">
        <is>
          <t>Yes</t>
        </is>
      </c>
      <c r="H68" s="24" t="inlineStr">
        <is>
          <t>Monitor</t>
        </is>
      </c>
      <c r="I68" s="24" t="inlineStr">
        <is>
          <t>Copy Writer</t>
        </is>
      </c>
      <c r="J68" s="25" t="inlineStr">
        <is>
          <t>Open</t>
        </is>
      </c>
      <c r="K68" s="24" t="inlineStr"/>
      <c r="L68" s="4" t="inlineStr">
        <is>
          <t>Indexable</t>
        </is>
      </c>
      <c r="M68" s="4" t="n">
        <v>0</v>
      </c>
      <c r="N68" s="24" t="inlineStr"/>
      <c r="O68">
        <f>IFERROR(HYPERLINK("#Main!A"&amp;MATCH(A68,Main!A:A,0),"Open"),HYPERLINK("#Main!A1","Open"))</f>
        <v/>
      </c>
      <c r="P68">
        <f>IFERROR(HYPERLINK("#Technical!A"&amp;MATCH(A68,Technical!A:A,0),"Open"),HYPERLINK("#Technical!A1","Open"))</f>
        <v/>
      </c>
    </row>
    <row r="69" ht="30" customHeight="1">
      <c r="A69" s="33" t="inlineStr">
        <is>
          <t>https://africanmarketingconfederation.org/members/</t>
        </is>
      </c>
      <c r="B69" s="6" t="n">
        <v>41</v>
      </c>
      <c r="C69" s="25" t="inlineStr">
        <is>
          <t>Warning</t>
        </is>
      </c>
      <c r="D69" s="6" t="n">
        <v>69</v>
      </c>
      <c r="E69" s="6" t="n">
        <v>0</v>
      </c>
      <c r="F69" s="6" t="n">
        <v>1</v>
      </c>
      <c r="G69" s="6" t="inlineStr">
        <is>
          <t>Yes</t>
        </is>
      </c>
      <c r="H69" s="6" t="inlineStr">
        <is>
          <t>Monitor</t>
        </is>
      </c>
      <c r="I69" s="6" t="inlineStr">
        <is>
          <t>Copy Writer</t>
        </is>
      </c>
      <c r="J69" s="25" t="inlineStr">
        <is>
          <t>Open</t>
        </is>
      </c>
      <c r="K69" s="6" t="inlineStr"/>
      <c r="L69" s="4" t="inlineStr">
        <is>
          <t>Indexable</t>
        </is>
      </c>
      <c r="M69" s="4" t="n">
        <v>0</v>
      </c>
      <c r="N69" s="6" t="inlineStr"/>
      <c r="O69">
        <f>IFERROR(HYPERLINK("#Main!A"&amp;MATCH(A69,Main!A:A,0),"Open"),HYPERLINK("#Main!A1","Open"))</f>
        <v/>
      </c>
      <c r="P69">
        <f>IFERROR(HYPERLINK("#Technical!A"&amp;MATCH(A69,Technical!A:A,0),"Open"),HYPERLINK("#Technical!A1","Open"))</f>
        <v/>
      </c>
    </row>
    <row r="70" ht="30" customHeight="1">
      <c r="A70" s="33" t="inlineStr">
        <is>
          <t>https://africanmarketingconfederation.org/amc-marketing-conference-2024/awards-2025/</t>
        </is>
      </c>
      <c r="B70" s="24" t="n">
        <v>41</v>
      </c>
      <c r="C70" s="25" t="inlineStr">
        <is>
          <t>Warning</t>
        </is>
      </c>
      <c r="D70" s="24" t="n">
        <v>69</v>
      </c>
      <c r="E70" s="24" t="n">
        <v>0</v>
      </c>
      <c r="F70" s="24" t="n">
        <v>1</v>
      </c>
      <c r="G70" s="24" t="inlineStr">
        <is>
          <t>Yes</t>
        </is>
      </c>
      <c r="H70" s="24" t="inlineStr">
        <is>
          <t>Monitor</t>
        </is>
      </c>
      <c r="I70" s="24" t="inlineStr">
        <is>
          <t>Copy Writer</t>
        </is>
      </c>
      <c r="J70" s="25" t="inlineStr">
        <is>
          <t>Open</t>
        </is>
      </c>
      <c r="K70" s="24" t="inlineStr"/>
      <c r="L70" s="4" t="inlineStr">
        <is>
          <t>Indexable</t>
        </is>
      </c>
      <c r="M70" s="4" t="n">
        <v>0</v>
      </c>
      <c r="N70" s="24" t="inlineStr"/>
      <c r="O70">
        <f>IFERROR(HYPERLINK("#Main!A"&amp;MATCH(A70,Main!A:A,0),"Open"),HYPERLINK("#Main!A1","Open"))</f>
        <v/>
      </c>
      <c r="P70">
        <f>IFERROR(HYPERLINK("#Technical!A"&amp;MATCH(A70,Technical!A:A,0),"Open"),HYPERLINK("#Technical!A1","Open"))</f>
        <v/>
      </c>
    </row>
    <row r="71" ht="30" customHeight="1">
      <c r="A71" s="33" t="inlineStr">
        <is>
          <t>https://africanmarketingconfederation.org/conference-registrations-2024/</t>
        </is>
      </c>
      <c r="B71" s="6" t="n">
        <v>41</v>
      </c>
      <c r="C71" s="25" t="inlineStr">
        <is>
          <t>Warning</t>
        </is>
      </c>
      <c r="D71" s="6" t="n">
        <v>69</v>
      </c>
      <c r="E71" s="6" t="n">
        <v>0</v>
      </c>
      <c r="F71" s="6" t="n">
        <v>1</v>
      </c>
      <c r="G71" s="6" t="inlineStr">
        <is>
          <t>Yes</t>
        </is>
      </c>
      <c r="H71" s="6" t="inlineStr">
        <is>
          <t>Monitor</t>
        </is>
      </c>
      <c r="I71" s="6" t="inlineStr">
        <is>
          <t>Copy Writer</t>
        </is>
      </c>
      <c r="J71" s="25" t="inlineStr">
        <is>
          <t>Open</t>
        </is>
      </c>
      <c r="K71" s="6" t="inlineStr"/>
      <c r="L71" s="4" t="inlineStr">
        <is>
          <t>Indexable</t>
        </is>
      </c>
      <c r="M71" s="4" t="n">
        <v>0</v>
      </c>
      <c r="N71" s="6" t="inlineStr"/>
      <c r="O71">
        <f>IFERROR(HYPERLINK("#Main!A"&amp;MATCH(A71,Main!A:A,0),"Open"),HYPERLINK("#Main!A1","Open"))</f>
        <v/>
      </c>
      <c r="P71">
        <f>IFERROR(HYPERLINK("#Technical!A"&amp;MATCH(A71,Technical!A:A,0),"Open"),HYPERLINK("#Technical!A1","Open"))</f>
        <v/>
      </c>
    </row>
    <row r="72" ht="30" customHeight="1">
      <c r="A72" s="33" t="inlineStr">
        <is>
          <t>https://africanmarketingconfederation.org/elementor-31820/</t>
        </is>
      </c>
      <c r="B72" s="24" t="n">
        <v>41</v>
      </c>
      <c r="C72" s="25" t="inlineStr">
        <is>
          <t>Warning</t>
        </is>
      </c>
      <c r="D72" s="24" t="n">
        <v>69</v>
      </c>
      <c r="E72" s="24" t="n">
        <v>0</v>
      </c>
      <c r="F72" s="24" t="n">
        <v>1</v>
      </c>
      <c r="G72" s="24" t="inlineStr">
        <is>
          <t>Yes</t>
        </is>
      </c>
      <c r="H72" s="24" t="inlineStr">
        <is>
          <t>Monitor</t>
        </is>
      </c>
      <c r="I72" s="24" t="inlineStr">
        <is>
          <t>Copy Writer</t>
        </is>
      </c>
      <c r="J72" s="25" t="inlineStr">
        <is>
          <t>Open</t>
        </is>
      </c>
      <c r="K72" s="24" t="inlineStr"/>
      <c r="L72" s="4" t="inlineStr">
        <is>
          <t>Indexable</t>
        </is>
      </c>
      <c r="M72" s="4" t="n">
        <v>0</v>
      </c>
      <c r="N72" s="24" t="inlineStr"/>
      <c r="O72">
        <f>IFERROR(HYPERLINK("#Main!A"&amp;MATCH(A72,Main!A:A,0),"Open"),HYPERLINK("#Main!A1","Open"))</f>
        <v/>
      </c>
      <c r="P72">
        <f>IFERROR(HYPERLINK("#Technical!A"&amp;MATCH(A72,Technical!A:A,0),"Open"),HYPERLINK("#Technical!A1","Open"))</f>
        <v/>
      </c>
    </row>
    <row r="73" ht="30" customHeight="1">
      <c r="A73" s="33" t="inlineStr">
        <is>
          <t>https://africanmarketingconfederation.org/amc-sponsors-2025/</t>
        </is>
      </c>
      <c r="B73" s="6" t="n">
        <v>41</v>
      </c>
      <c r="C73" s="25" t="inlineStr">
        <is>
          <t>Warning</t>
        </is>
      </c>
      <c r="D73" s="6" t="n">
        <v>69</v>
      </c>
      <c r="E73" s="6" t="n">
        <v>0</v>
      </c>
      <c r="F73" s="6" t="n">
        <v>1</v>
      </c>
      <c r="G73" s="6" t="inlineStr">
        <is>
          <t>Yes</t>
        </is>
      </c>
      <c r="H73" s="6" t="inlineStr">
        <is>
          <t>Monitor</t>
        </is>
      </c>
      <c r="I73" s="6" t="inlineStr">
        <is>
          <t>Copy Writer</t>
        </is>
      </c>
      <c r="J73" s="25" t="inlineStr">
        <is>
          <t>Open</t>
        </is>
      </c>
      <c r="K73" s="6" t="inlineStr"/>
      <c r="L73" s="4" t="inlineStr">
        <is>
          <t>Indexable</t>
        </is>
      </c>
      <c r="M73" s="4" t="n">
        <v>0</v>
      </c>
      <c r="N73" s="6" t="inlineStr"/>
      <c r="O73">
        <f>IFERROR(HYPERLINK("#Main!A"&amp;MATCH(A73,Main!A:A,0),"Open"),HYPERLINK("#Main!A1","Open"))</f>
        <v/>
      </c>
      <c r="P73">
        <f>IFERROR(HYPERLINK("#Technical!A"&amp;MATCH(A73,Technical!A:A,0),"Open"),HYPERLINK("#Technical!A1","Open"))</f>
        <v/>
      </c>
    </row>
    <row r="74" ht="30" customHeight="1">
      <c r="A74" s="33" t="inlineStr">
        <is>
          <t>https://africanmarketingconfederation.org/amc-marketing-conference-2024/amc-preregister-2025/</t>
        </is>
      </c>
      <c r="B74" s="24" t="n">
        <v>41</v>
      </c>
      <c r="C74" s="25" t="inlineStr">
        <is>
          <t>Warning</t>
        </is>
      </c>
      <c r="D74" s="24" t="n">
        <v>69</v>
      </c>
      <c r="E74" s="24" t="n">
        <v>0</v>
      </c>
      <c r="F74" s="24" t="n">
        <v>1</v>
      </c>
      <c r="G74" s="24" t="inlineStr">
        <is>
          <t>Yes</t>
        </is>
      </c>
      <c r="H74" s="24" t="inlineStr">
        <is>
          <t>Monitor</t>
        </is>
      </c>
      <c r="I74" s="24" t="inlineStr">
        <is>
          <t>Copy Writer</t>
        </is>
      </c>
      <c r="J74" s="25" t="inlineStr">
        <is>
          <t>Open</t>
        </is>
      </c>
      <c r="K74" s="24" t="inlineStr"/>
      <c r="L74" s="4" t="inlineStr">
        <is>
          <t>Indexable</t>
        </is>
      </c>
      <c r="M74" s="4" t="n">
        <v>0</v>
      </c>
      <c r="N74" s="24" t="inlineStr"/>
      <c r="O74">
        <f>IFERROR(HYPERLINK("#Main!A"&amp;MATCH(A74,Main!A:A,0),"Open"),HYPERLINK("#Main!A1","Open"))</f>
        <v/>
      </c>
      <c r="P74">
        <f>IFERROR(HYPERLINK("#Technical!A"&amp;MATCH(A74,Technical!A:A,0),"Open"),HYPERLINK("#Technical!A1","Open"))</f>
        <v/>
      </c>
    </row>
    <row r="75" ht="30" customHeight="1">
      <c r="A75" s="33" t="inlineStr">
        <is>
          <t>https://africanmarketingconfederation.org/conference-faq-2025/</t>
        </is>
      </c>
      <c r="B75" s="6" t="n">
        <v>41</v>
      </c>
      <c r="C75" s="25" t="inlineStr">
        <is>
          <t>Warning</t>
        </is>
      </c>
      <c r="D75" s="6" t="n">
        <v>69</v>
      </c>
      <c r="E75" s="6" t="n">
        <v>0</v>
      </c>
      <c r="F75" s="6" t="n">
        <v>1</v>
      </c>
      <c r="G75" s="6" t="inlineStr">
        <is>
          <t>Yes</t>
        </is>
      </c>
      <c r="H75" s="6" t="inlineStr">
        <is>
          <t>Monitor</t>
        </is>
      </c>
      <c r="I75" s="6" t="inlineStr">
        <is>
          <t>Copy Writer</t>
        </is>
      </c>
      <c r="J75" s="25" t="inlineStr">
        <is>
          <t>Open</t>
        </is>
      </c>
      <c r="K75" s="6" t="inlineStr"/>
      <c r="L75" s="4" t="inlineStr">
        <is>
          <t>Indexable</t>
        </is>
      </c>
      <c r="M75" s="4" t="n">
        <v>0</v>
      </c>
      <c r="N75" s="6" t="inlineStr"/>
      <c r="O75">
        <f>IFERROR(HYPERLINK("#Main!A"&amp;MATCH(A75,Main!A:A,0),"Open"),HYPERLINK("#Main!A1","Open"))</f>
        <v/>
      </c>
      <c r="P75">
        <f>IFERROR(HYPERLINK("#Technical!A"&amp;MATCH(A75,Technical!A:A,0),"Open"),HYPERLINK("#Technical!A1","Open"))</f>
        <v/>
      </c>
    </row>
    <row r="76" ht="30" customHeight="1">
      <c r="A76" s="33" t="inlineStr">
        <is>
          <t>https://africanmarketingconfederation.org/amc-marketing-conference-2024/amc-launch-event-2025/</t>
        </is>
      </c>
      <c r="B76" s="24" t="n">
        <v>41</v>
      </c>
      <c r="C76" s="25" t="inlineStr">
        <is>
          <t>Warning</t>
        </is>
      </c>
      <c r="D76" s="24" t="n">
        <v>69</v>
      </c>
      <c r="E76" s="24" t="n">
        <v>0</v>
      </c>
      <c r="F76" s="24" t="n">
        <v>1</v>
      </c>
      <c r="G76" s="24" t="inlineStr">
        <is>
          <t>Yes</t>
        </is>
      </c>
      <c r="H76" s="24" t="inlineStr">
        <is>
          <t>Monitor</t>
        </is>
      </c>
      <c r="I76" s="24" t="inlineStr">
        <is>
          <t>Copy Writer</t>
        </is>
      </c>
      <c r="J76" s="25" t="inlineStr">
        <is>
          <t>Open</t>
        </is>
      </c>
      <c r="K76" s="24" t="inlineStr"/>
      <c r="L76" s="4" t="inlineStr">
        <is>
          <t>Indexable</t>
        </is>
      </c>
      <c r="M76" s="4" t="n">
        <v>0</v>
      </c>
      <c r="N76" s="24" t="inlineStr"/>
      <c r="O76">
        <f>IFERROR(HYPERLINK("#Main!A"&amp;MATCH(A76,Main!A:A,0),"Open"),HYPERLINK("#Main!A1","Open"))</f>
        <v/>
      </c>
      <c r="P76">
        <f>IFERROR(HYPERLINK("#Technical!A"&amp;MATCH(A76,Technical!A:A,0),"Open"),HYPERLINK("#Technical!A1","Open"))</f>
        <v/>
      </c>
    </row>
    <row r="77" ht="30" customHeight="1">
      <c r="A77" s="33" t="inlineStr">
        <is>
          <t>https://africanmarketingconfederation.org/amc-conference-2023/</t>
        </is>
      </c>
      <c r="B77" s="6" t="n">
        <v>41</v>
      </c>
      <c r="C77" s="25" t="inlineStr">
        <is>
          <t>Warning</t>
        </is>
      </c>
      <c r="D77" s="6" t="n">
        <v>69</v>
      </c>
      <c r="E77" s="6" t="n">
        <v>0</v>
      </c>
      <c r="F77" s="6" t="n">
        <v>1</v>
      </c>
      <c r="G77" s="6" t="inlineStr">
        <is>
          <t>Yes</t>
        </is>
      </c>
      <c r="H77" s="6" t="inlineStr">
        <is>
          <t>Monitor</t>
        </is>
      </c>
      <c r="I77" s="6" t="inlineStr">
        <is>
          <t>Copy Writer</t>
        </is>
      </c>
      <c r="J77" s="25" t="inlineStr">
        <is>
          <t>Open</t>
        </is>
      </c>
      <c r="K77" s="6" t="inlineStr"/>
      <c r="L77" s="4" t="inlineStr">
        <is>
          <t>Indexable</t>
        </is>
      </c>
      <c r="M77" s="4" t="n">
        <v>0</v>
      </c>
      <c r="N77" s="6" t="inlineStr"/>
      <c r="O77">
        <f>IFERROR(HYPERLINK("#Main!A"&amp;MATCH(A77,Main!A:A,0),"Open"),HYPERLINK("#Main!A1","Open"))</f>
        <v/>
      </c>
      <c r="P77">
        <f>IFERROR(HYPERLINK("#Technical!A"&amp;MATCH(A77,Technical!A:A,0),"Open"),HYPERLINK("#Technical!A1","Open"))</f>
        <v/>
      </c>
    </row>
    <row r="78" ht="30" customHeight="1">
      <c r="A78" s="33" t="inlineStr">
        <is>
          <t>https://africanmarketingconfederation.org/amc-forum-mombasa/</t>
        </is>
      </c>
      <c r="B78" s="24" t="n">
        <v>41</v>
      </c>
      <c r="C78" s="25" t="inlineStr">
        <is>
          <t>Warning</t>
        </is>
      </c>
      <c r="D78" s="24" t="n">
        <v>69</v>
      </c>
      <c r="E78" s="24" t="n">
        <v>0</v>
      </c>
      <c r="F78" s="24" t="n">
        <v>1</v>
      </c>
      <c r="G78" s="24" t="inlineStr">
        <is>
          <t>Yes</t>
        </is>
      </c>
      <c r="H78" s="24" t="inlineStr">
        <is>
          <t>Monitor</t>
        </is>
      </c>
      <c r="I78" s="24" t="inlineStr">
        <is>
          <t>Copy Writer</t>
        </is>
      </c>
      <c r="J78" s="25" t="inlineStr">
        <is>
          <t>Open</t>
        </is>
      </c>
      <c r="K78" s="24" t="inlineStr"/>
      <c r="L78" s="4" t="inlineStr">
        <is>
          <t>Indexable</t>
        </is>
      </c>
      <c r="M78" s="4" t="n">
        <v>0</v>
      </c>
      <c r="N78" s="24" t="inlineStr"/>
      <c r="O78">
        <f>IFERROR(HYPERLINK("#Main!A"&amp;MATCH(A78,Main!A:A,0),"Open"),HYPERLINK("#Main!A1","Open"))</f>
        <v/>
      </c>
      <c r="P78">
        <f>IFERROR(HYPERLINK("#Technical!A"&amp;MATCH(A78,Technical!A:A,0),"Open"),HYPERLINK("#Technical!A1","Open"))</f>
        <v/>
      </c>
    </row>
    <row r="79" ht="30" customHeight="1">
      <c r="A79" s="33" t="inlineStr">
        <is>
          <t>https://africanmarketingconfederation.org/amc-sign-up-now-form-2025/</t>
        </is>
      </c>
      <c r="B79" s="6" t="n">
        <v>41</v>
      </c>
      <c r="C79" s="25" t="inlineStr">
        <is>
          <t>Warning</t>
        </is>
      </c>
      <c r="D79" s="6" t="n">
        <v>69</v>
      </c>
      <c r="E79" s="6" t="n">
        <v>0</v>
      </c>
      <c r="F79" s="6" t="n">
        <v>1</v>
      </c>
      <c r="G79" s="6" t="inlineStr">
        <is>
          <t>Yes</t>
        </is>
      </c>
      <c r="H79" s="6" t="inlineStr">
        <is>
          <t>Monitor</t>
        </is>
      </c>
      <c r="I79" s="6" t="inlineStr">
        <is>
          <t>Copy Writer</t>
        </is>
      </c>
      <c r="J79" s="25" t="inlineStr">
        <is>
          <t>Open</t>
        </is>
      </c>
      <c r="K79" s="6" t="inlineStr"/>
      <c r="L79" s="4" t="inlineStr">
        <is>
          <t>Indexable</t>
        </is>
      </c>
      <c r="M79" s="4" t="n">
        <v>0</v>
      </c>
      <c r="N79" s="6" t="inlineStr"/>
      <c r="O79">
        <f>IFERROR(HYPERLINK("#Main!A"&amp;MATCH(A79,Main!A:A,0),"Open"),HYPERLINK("#Main!A1","Open"))</f>
        <v/>
      </c>
      <c r="P79">
        <f>IFERROR(HYPERLINK("#Technical!A"&amp;MATCH(A79,Technical!A:A,0),"Open"),HYPERLINK("#Technical!A1","Open"))</f>
        <v/>
      </c>
    </row>
    <row r="80" ht="30" customHeight="1">
      <c r="A80" s="33" t="inlineStr">
        <is>
          <t>https://africanmarketingconfederation.org/amc-marketing-conference-2024/</t>
        </is>
      </c>
      <c r="B80" s="24" t="n">
        <v>41</v>
      </c>
      <c r="C80" s="25" t="inlineStr">
        <is>
          <t>Warning</t>
        </is>
      </c>
      <c r="D80" s="24" t="n">
        <v>69</v>
      </c>
      <c r="E80" s="24" t="n">
        <v>0</v>
      </c>
      <c r="F80" s="24" t="n">
        <v>1</v>
      </c>
      <c r="G80" s="24" t="inlineStr">
        <is>
          <t>Yes</t>
        </is>
      </c>
      <c r="H80" s="24" t="inlineStr">
        <is>
          <t>Monitor</t>
        </is>
      </c>
      <c r="I80" s="24" t="inlineStr">
        <is>
          <t>Copy Writer</t>
        </is>
      </c>
      <c r="J80" s="25" t="inlineStr">
        <is>
          <t>Open</t>
        </is>
      </c>
      <c r="K80" s="24" t="inlineStr"/>
      <c r="L80" s="4" t="inlineStr">
        <is>
          <t>Indexable</t>
        </is>
      </c>
      <c r="M80" s="4" t="n">
        <v>0</v>
      </c>
      <c r="N80" s="24" t="inlineStr"/>
      <c r="O80">
        <f>IFERROR(HYPERLINK("#Main!A"&amp;MATCH(A80,Main!A:A,0),"Open"),HYPERLINK("#Main!A1","Open"))</f>
        <v/>
      </c>
      <c r="P80">
        <f>IFERROR(HYPERLINK("#Technical!A"&amp;MATCH(A80,Technical!A:A,0),"Open"),HYPERLINK("#Technical!A1","Open"))</f>
        <v/>
      </c>
    </row>
    <row r="81" ht="30" customHeight="1">
      <c r="A81" s="33" t="inlineStr">
        <is>
          <t>https://africanmarketingconfederation.org/amc-testimony-page-2024/</t>
        </is>
      </c>
      <c r="B81" s="6" t="n">
        <v>41</v>
      </c>
      <c r="C81" s="25" t="inlineStr">
        <is>
          <t>Warning</t>
        </is>
      </c>
      <c r="D81" s="6" t="n">
        <v>69</v>
      </c>
      <c r="E81" s="6" t="n">
        <v>0</v>
      </c>
      <c r="F81" s="6" t="n">
        <v>1</v>
      </c>
      <c r="G81" s="6" t="inlineStr">
        <is>
          <t>Yes</t>
        </is>
      </c>
      <c r="H81" s="6" t="inlineStr">
        <is>
          <t>Monitor</t>
        </is>
      </c>
      <c r="I81" s="6" t="inlineStr">
        <is>
          <t>Copy Writer</t>
        </is>
      </c>
      <c r="J81" s="25" t="inlineStr">
        <is>
          <t>Open</t>
        </is>
      </c>
      <c r="K81" s="6" t="inlineStr"/>
      <c r="L81" s="4" t="inlineStr">
        <is>
          <t>Indexable</t>
        </is>
      </c>
      <c r="M81" s="4" t="n">
        <v>0</v>
      </c>
      <c r="N81" s="6" t="inlineStr"/>
      <c r="O81">
        <f>IFERROR(HYPERLINK("#Main!A"&amp;MATCH(A81,Main!A:A,0),"Open"),HYPERLINK("#Main!A1","Open"))</f>
        <v/>
      </c>
      <c r="P81">
        <f>IFERROR(HYPERLINK("#Technical!A"&amp;MATCH(A81,Technical!A:A,0),"Open"),HYPERLINK("#Technical!A1","Open"))</f>
        <v/>
      </c>
    </row>
    <row r="82" ht="30" customHeight="1">
      <c r="A82" s="33" t="inlineStr">
        <is>
          <t>https://africanmarketingconfederation.org/amc-marketing-conference-2024/programme-2024/</t>
        </is>
      </c>
      <c r="B82" s="24" t="n">
        <v>41</v>
      </c>
      <c r="C82" s="25" t="inlineStr">
        <is>
          <t>Warning</t>
        </is>
      </c>
      <c r="D82" s="24" t="n">
        <v>69</v>
      </c>
      <c r="E82" s="24" t="n">
        <v>0</v>
      </c>
      <c r="F82" s="24" t="n">
        <v>1</v>
      </c>
      <c r="G82" s="24" t="inlineStr">
        <is>
          <t>Yes</t>
        </is>
      </c>
      <c r="H82" s="24" t="inlineStr">
        <is>
          <t>Monitor</t>
        </is>
      </c>
      <c r="I82" s="24" t="inlineStr">
        <is>
          <t>Copy Writer</t>
        </is>
      </c>
      <c r="J82" s="25" t="inlineStr">
        <is>
          <t>Open</t>
        </is>
      </c>
      <c r="K82" s="24" t="inlineStr"/>
      <c r="L82" s="4" t="inlineStr">
        <is>
          <t>Indexable</t>
        </is>
      </c>
      <c r="M82" s="4" t="n">
        <v>0</v>
      </c>
      <c r="N82" s="24" t="inlineStr"/>
      <c r="O82">
        <f>IFERROR(HYPERLINK("#Main!A"&amp;MATCH(A82,Main!A:A,0),"Open"),HYPERLINK("#Main!A1","Open"))</f>
        <v/>
      </c>
      <c r="P82">
        <f>IFERROR(HYPERLINK("#Technical!A"&amp;MATCH(A82,Technical!A:A,0),"Open"),HYPERLINK("#Technical!A1","Open"))</f>
        <v/>
      </c>
    </row>
    <row r="83" ht="30" customHeight="1">
      <c r="A83" s="33" t="inlineStr">
        <is>
          <t>https://africanmarketingconfederation.org/amc-conference-2023/programme/</t>
        </is>
      </c>
      <c r="B83" s="6" t="n">
        <v>41</v>
      </c>
      <c r="C83" s="25" t="inlineStr">
        <is>
          <t>Warning</t>
        </is>
      </c>
      <c r="D83" s="6" t="n">
        <v>69</v>
      </c>
      <c r="E83" s="6" t="n">
        <v>0</v>
      </c>
      <c r="F83" s="6" t="n">
        <v>1</v>
      </c>
      <c r="G83" s="6" t="inlineStr">
        <is>
          <t>Yes</t>
        </is>
      </c>
      <c r="H83" s="6" t="inlineStr">
        <is>
          <t>Monitor</t>
        </is>
      </c>
      <c r="I83" s="6" t="inlineStr">
        <is>
          <t>Copy Writer</t>
        </is>
      </c>
      <c r="J83" s="25" t="inlineStr">
        <is>
          <t>Open</t>
        </is>
      </c>
      <c r="K83" s="6" t="inlineStr"/>
      <c r="L83" s="4" t="inlineStr">
        <is>
          <t>Indexable</t>
        </is>
      </c>
      <c r="M83" s="4" t="n">
        <v>0</v>
      </c>
      <c r="N83" s="6" t="inlineStr"/>
      <c r="O83">
        <f>IFERROR(HYPERLINK("#Main!A"&amp;MATCH(A83,Main!A:A,0),"Open"),HYPERLINK("#Main!A1","Open"))</f>
        <v/>
      </c>
      <c r="P83">
        <f>IFERROR(HYPERLINK("#Technical!A"&amp;MATCH(A83,Technical!A:A,0),"Open"),HYPERLINK("#Technical!A1","Open"))</f>
        <v/>
      </c>
    </row>
    <row r="84" ht="30" customHeight="1">
      <c r="A84" s="33" t="inlineStr">
        <is>
          <t>https://africanmarketingconfederation.org/amc-conference-2023/amc-awards/</t>
        </is>
      </c>
      <c r="B84" s="24" t="n">
        <v>41</v>
      </c>
      <c r="C84" s="25" t="inlineStr">
        <is>
          <t>Warning</t>
        </is>
      </c>
      <c r="D84" s="24" t="n">
        <v>69</v>
      </c>
      <c r="E84" s="24" t="n">
        <v>0</v>
      </c>
      <c r="F84" s="24" t="n">
        <v>1</v>
      </c>
      <c r="G84" s="24" t="inlineStr">
        <is>
          <t>Yes</t>
        </is>
      </c>
      <c r="H84" s="24" t="inlineStr">
        <is>
          <t>Monitor</t>
        </is>
      </c>
      <c r="I84" s="24" t="inlineStr">
        <is>
          <t>Copy Writer</t>
        </is>
      </c>
      <c r="J84" s="25" t="inlineStr">
        <is>
          <t>Open</t>
        </is>
      </c>
      <c r="K84" s="24" t="inlineStr"/>
      <c r="L84" s="4" t="inlineStr">
        <is>
          <t>Indexable</t>
        </is>
      </c>
      <c r="M84" s="4" t="n">
        <v>0</v>
      </c>
      <c r="N84" s="24" t="inlineStr"/>
      <c r="O84">
        <f>IFERROR(HYPERLINK("#Main!A"&amp;MATCH(A84,Main!A:A,0),"Open"),HYPERLINK("#Main!A1","Open"))</f>
        <v/>
      </c>
      <c r="P84">
        <f>IFERROR(HYPERLINK("#Technical!A"&amp;MATCH(A84,Technical!A:A,0),"Open"),HYPERLINK("#Technical!A1","Open"))</f>
        <v/>
      </c>
    </row>
    <row r="85" ht="30" customHeight="1">
      <c r="A85" s="33" t="inlineStr">
        <is>
          <t>https://africanmarketingconfederation.org/amc-conference-2023/speakers/</t>
        </is>
      </c>
      <c r="B85" s="6" t="n">
        <v>41</v>
      </c>
      <c r="C85" s="25" t="inlineStr">
        <is>
          <t>Warning</t>
        </is>
      </c>
      <c r="D85" s="6" t="n">
        <v>69</v>
      </c>
      <c r="E85" s="6" t="n">
        <v>0</v>
      </c>
      <c r="F85" s="6" t="n">
        <v>1</v>
      </c>
      <c r="G85" s="6" t="inlineStr">
        <is>
          <t>Yes</t>
        </is>
      </c>
      <c r="H85" s="6" t="inlineStr">
        <is>
          <t>Monitor</t>
        </is>
      </c>
      <c r="I85" s="6" t="inlineStr">
        <is>
          <t>Copy Writer</t>
        </is>
      </c>
      <c r="J85" s="25" t="inlineStr">
        <is>
          <t>Open</t>
        </is>
      </c>
      <c r="K85" s="6" t="inlineStr"/>
      <c r="L85" s="4" t="inlineStr">
        <is>
          <t>Indexable</t>
        </is>
      </c>
      <c r="M85" s="4" t="n">
        <v>0</v>
      </c>
      <c r="N85" s="6" t="inlineStr"/>
      <c r="O85">
        <f>IFERROR(HYPERLINK("#Main!A"&amp;MATCH(A85,Main!A:A,0),"Open"),HYPERLINK("#Main!A1","Open"))</f>
        <v/>
      </c>
      <c r="P85">
        <f>IFERROR(HYPERLINK("#Technical!A"&amp;MATCH(A85,Technical!A:A,0),"Open"),HYPERLINK("#Technical!A1","Open"))</f>
        <v/>
      </c>
    </row>
    <row r="86" ht="30" customHeight="1">
      <c r="A86" s="33" t="inlineStr">
        <is>
          <t>https://africanmarketingconfederation.org/amc-conference-thank-you/</t>
        </is>
      </c>
      <c r="B86" s="24" t="n">
        <v>41</v>
      </c>
      <c r="C86" s="25" t="inlineStr">
        <is>
          <t>Warning</t>
        </is>
      </c>
      <c r="D86" s="24" t="n">
        <v>69</v>
      </c>
      <c r="E86" s="24" t="n">
        <v>0</v>
      </c>
      <c r="F86" s="24" t="n">
        <v>1</v>
      </c>
      <c r="G86" s="24" t="inlineStr">
        <is>
          <t>Yes</t>
        </is>
      </c>
      <c r="H86" s="24" t="inlineStr">
        <is>
          <t>Monitor</t>
        </is>
      </c>
      <c r="I86" s="24" t="inlineStr">
        <is>
          <t>Copy Writer</t>
        </is>
      </c>
      <c r="J86" s="25" t="inlineStr">
        <is>
          <t>Open</t>
        </is>
      </c>
      <c r="K86" s="24" t="inlineStr"/>
      <c r="L86" s="4" t="inlineStr">
        <is>
          <t>Indexable</t>
        </is>
      </c>
      <c r="M86" s="4" t="n">
        <v>0</v>
      </c>
      <c r="N86" s="24" t="inlineStr"/>
      <c r="O86">
        <f>IFERROR(HYPERLINK("#Main!A"&amp;MATCH(A86,Main!A:A,0),"Open"),HYPERLINK("#Main!A1","Open"))</f>
        <v/>
      </c>
      <c r="P86">
        <f>IFERROR(HYPERLINK("#Technical!A"&amp;MATCH(A86,Technical!A:A,0),"Open"),HYPERLINK("#Technical!A1","Open"))</f>
        <v/>
      </c>
    </row>
  </sheetData>
  <autoFilter ref="A1:N86"/>
  <conditionalFormatting sqref="D2:D86">
    <cfRule type="colorScale" priority="1">
      <colorScale>
        <cfvo type="min"/>
        <cfvo type="percentile" val="50"/>
        <cfvo type="max"/>
        <color rgb="00F8696B"/>
        <color rgb="00FFEB84"/>
        <color rgb="0063BE7B"/>
      </colorScale>
    </cfRule>
  </conditionalFormatting>
  <conditionalFormatting sqref="G2:G86">
    <cfRule type="expression" priority="2" dxfId="2" stopIfTrue="1">
      <formula>LOWER(G2)="yes"</formula>
    </cfRule>
    <cfRule type="expression" priority="3" dxfId="0" stopIfTrue="1">
      <formula>LOWER(G2)="no"</formula>
    </cfRule>
  </conditionalFormatting>
  <conditionalFormatting sqref="C2:C86">
    <cfRule type="expression" priority="4" dxfId="2" stopIfTrue="1">
      <formula>LOWER(C2)="critical"</formula>
    </cfRule>
    <cfRule type="expression" priority="5" dxfId="3" stopIfTrue="1">
      <formula>LOWER(C2)="warning"</formula>
    </cfRule>
    <cfRule type="expression" priority="6" dxfId="0" stopIfTrue="1">
      <formula>LOWER(C2)="pass"</formula>
    </cfRule>
  </conditionalFormatting>
  <conditionalFormatting sqref="J2:J86">
    <cfRule type="expression" priority="7" dxfId="4" stopIfTrue="1">
      <formula>LOWER(J2)="done"</formula>
    </cfRule>
    <cfRule type="expression" priority="8" dxfId="5" stopIfTrue="1">
      <formula>OR(LOWER(J2)="to do",LOWER(J2)="in progress",LOWER(J2)="in review")</formula>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Critical Issues Count" prompt="Critical Issues Count. Review this metric to identify risk, then use linked tabs for details and remediation." type="custom">
      <formula1>TRUE</formula1>
    </dataValidation>
    <dataValidation sqref="F1" showDropDown="0" showInputMessage="1" showErrorMessage="0" allowBlank="1" promptTitle="Warning Issues Count" prompt="Warning Issues Count. Review this metric to identify risk, then use linked tabs for details and remediation." type="custom">
      <formula1>TRUE</formula1>
    </dataValidation>
    <dataValidation sqref="G1" showDropDown="0" showInputMessage="1" showErrorMessage="0" allowBlank="1" promptTitle="Action Needed" prompt="Action Needed. Review this metric to identify risk, then use linked tabs for details and remediation." type="custom">
      <formula1>TRUE</formula1>
    </dataValidation>
    <dataValidation sqref="H1" showDropDown="0" showInputMessage="1" showErrorMessage="0" allowBlank="1" promptTitle="Why Prioritized" prompt="Why Prioritized.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Status" prompt="Workflow management field for planning and tracking remediation progress." type="custom">
      <formula1>TRUE</formula1>
    </dataValidation>
    <dataValidation sqref="K1" showDropDown="0" showInputMessage="1" showErrorMessage="0" allowBlank="1" promptTitle="Sprint" prompt="Workflow management field for planning and tracking remediation progress." type="custom">
      <formula1>TRUE</formula1>
    </dataValidation>
    <dataValidation sqref="L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M1" showDropDown="0" showInputMessage="1" showErrorMessage="0" allowBlank="1" promptTitle="Broken Internal Links Count" prompt="Link quality and crawl-path metric. Fix: repair broken links and improve internal linking relevance." type="custom">
      <formula1>TRUE</formula1>
    </dataValidation>
    <dataValidation sqref="N1" showDropDown="0" showInputMessage="1" showErrorMessage="0" allowBlank="1" promptTitle="Canonical Type" prompt="Indexing/canonicalization signal. Fix: ensure indexable pages use correct canonicals and non-conflicting directives."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Open in Technical" prompt="Open in Technical.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21" customWidth="1" min="4" max="4"/>
    <col width="15" customWidth="1" min="5" max="5"/>
    <col width="16" customWidth="1" min="6" max="6"/>
    <col width="29" customWidth="1" min="7" max="7"/>
    <col width="28" customWidth="1" min="8" max="8"/>
    <col width="17" customWidth="1" min="9" max="9"/>
    <col width="14" customWidth="1" min="10" max="10"/>
    <col width="45" customWidth="1" min="11" max="11"/>
  </cols>
  <sheetData>
    <row r="1">
      <c r="A1" s="3" t="inlineStr">
        <is>
          <t>URL</t>
        </is>
      </c>
      <c r="B1" s="3" t="inlineStr">
        <is>
          <t>Status Code</t>
        </is>
      </c>
      <c r="C1" s="3" t="inlineStr">
        <is>
          <t>Status Class</t>
        </is>
      </c>
      <c r="D1" s="3" t="inlineStr">
        <is>
          <t>Indexability Reason</t>
        </is>
      </c>
      <c r="E1" s="3" t="inlineStr">
        <is>
          <t>Canonical URL</t>
        </is>
      </c>
      <c r="F1" s="3" t="inlineStr">
        <is>
          <t>Canonical Type</t>
        </is>
      </c>
      <c r="G1" s="3" t="inlineStr">
        <is>
          <t>Canonical Matches Final URL</t>
        </is>
      </c>
      <c r="H1" s="3" t="inlineStr">
        <is>
          <t>Canonical in Sitemap Match</t>
        </is>
      </c>
      <c r="I1" s="3" t="inlineStr">
        <is>
          <t>Meta Robots Raw</t>
        </is>
      </c>
      <c r="J1" s="3" t="inlineStr">
        <is>
          <t>X-Robots-Tag</t>
        </is>
      </c>
      <c r="K1" s="3" t="inlineStr">
        <is>
          <t>Final URL</t>
        </is>
      </c>
      <c r="L1" t="inlineStr">
        <is>
          <t>Open in Main</t>
        </is>
      </c>
      <c r="M1" s="23" t="inlineStr">
        <is>
          <t>BACK TO DASHBOARD</t>
        </is>
      </c>
    </row>
    <row r="2">
      <c r="A2" s="33" t="inlineStr">
        <is>
          <t>https://africanmarketingconfederation.org/</t>
        </is>
      </c>
      <c r="B2" s="4" t="n">
        <v>200</v>
      </c>
      <c r="C2" s="24" t="inlineStr">
        <is>
          <t>2xx</t>
        </is>
      </c>
      <c r="D2" s="4" t="inlineStr">
        <is>
          <t>Indexable</t>
        </is>
      </c>
      <c r="E2" s="27" t="inlineStr">
        <is>
          <t>Indexable</t>
        </is>
      </c>
      <c r="F2" s="24" t="n"/>
      <c r="G2" s="27" t="n"/>
      <c r="H2" s="24" t="n"/>
      <c r="I2" s="24" t="n"/>
      <c r="J2" s="24" t="n"/>
      <c r="K2" s="27" t="inlineStr">
        <is>
          <t>https://africanmarketingconfederation.org/</t>
        </is>
      </c>
      <c r="L2">
        <f>IFERROR(HYPERLINK("#Main!A"&amp;MATCH(A2,Main!A:A,0),"Open"),HYPERLINK("#Main!A1","Open"))</f>
        <v/>
      </c>
    </row>
    <row r="3" ht="30" customHeight="1">
      <c r="A3" s="33" t="inlineStr">
        <is>
          <t>https://africanmarketingconfederation.org/publication-download-list/</t>
        </is>
      </c>
      <c r="B3" s="4" t="n">
        <v>200</v>
      </c>
      <c r="C3" s="6" t="inlineStr">
        <is>
          <t>2xx</t>
        </is>
      </c>
      <c r="D3" s="4" t="inlineStr">
        <is>
          <t>Indexable</t>
        </is>
      </c>
      <c r="E3" s="30" t="inlineStr">
        <is>
          <t>Indexable</t>
        </is>
      </c>
      <c r="F3" s="6" t="n"/>
      <c r="G3" s="30" t="n"/>
      <c r="H3" s="6" t="n"/>
      <c r="I3" s="6" t="n"/>
      <c r="J3" s="6" t="n"/>
      <c r="K3" s="30" t="inlineStr">
        <is>
          <t>https://africanmarketingconfederation.org/publication-download-list/</t>
        </is>
      </c>
      <c r="L3">
        <f>IFERROR(HYPERLINK("#Main!A"&amp;MATCH(A3,Main!A:A,0),"Open"),HYPERLINK("#Main!A1","Open"))</f>
        <v/>
      </c>
    </row>
    <row r="4" ht="30" customHeight="1">
      <c r="A4" s="33" t="inlineStr">
        <is>
          <t>https://africanmarketingconfederation.org/launch-event-2026-amc-conference/</t>
        </is>
      </c>
      <c r="B4" s="4" t="n">
        <v>200</v>
      </c>
      <c r="C4" s="24" t="inlineStr">
        <is>
          <t>2xx</t>
        </is>
      </c>
      <c r="D4" s="4" t="inlineStr">
        <is>
          <t>Indexable</t>
        </is>
      </c>
      <c r="E4" s="27" t="inlineStr">
        <is>
          <t>Indexable</t>
        </is>
      </c>
      <c r="F4" s="24" t="n"/>
      <c r="G4" s="27" t="n"/>
      <c r="H4" s="24" t="n"/>
      <c r="I4" s="24" t="n"/>
      <c r="J4" s="24" t="n"/>
      <c r="K4" s="27" t="inlineStr">
        <is>
          <t>https://africanmarketingconfederation.org/launch-event-2026-amc-conference/</t>
        </is>
      </c>
      <c r="L4">
        <f>IFERROR(HYPERLINK("#Main!A"&amp;MATCH(A4,Main!A:A,0),"Open"),HYPERLINK("#Main!A1","Open"))</f>
        <v/>
      </c>
    </row>
    <row r="5" ht="30" customHeight="1">
      <c r="A5" s="33" t="inlineStr">
        <is>
          <t>https://africanmarketingconfederation.org/publications-2/</t>
        </is>
      </c>
      <c r="B5" s="4" t="n">
        <v>200</v>
      </c>
      <c r="C5" s="6" t="inlineStr">
        <is>
          <t>2xx</t>
        </is>
      </c>
      <c r="D5" s="4" t="inlineStr">
        <is>
          <t>Indexable</t>
        </is>
      </c>
      <c r="E5" s="30" t="inlineStr">
        <is>
          <t>Indexable</t>
        </is>
      </c>
      <c r="F5" s="6" t="n"/>
      <c r="G5" s="30" t="n"/>
      <c r="H5" s="6" t="n"/>
      <c r="I5" s="6" t="n"/>
      <c r="J5" s="6" t="n"/>
      <c r="K5" s="30" t="inlineStr">
        <is>
          <t>https://africanmarketingconfederation.org/publications-2/</t>
        </is>
      </c>
      <c r="L5">
        <f>IFERROR(HYPERLINK("#Main!A"&amp;MATCH(A5,Main!A:A,0),"Open"),HYPERLINK("#Main!A1","Open"))</f>
        <v/>
      </c>
    </row>
    <row r="6" ht="30" customHeight="1">
      <c r="A6" s="33" t="inlineStr">
        <is>
          <t>https://africanmarketingconfederation.org/certified-professional-marketer-africa/</t>
        </is>
      </c>
      <c r="B6" s="4" t="n">
        <v>200</v>
      </c>
      <c r="C6" s="24" t="inlineStr">
        <is>
          <t>2xx</t>
        </is>
      </c>
      <c r="D6" s="4" t="inlineStr">
        <is>
          <t>Indexable</t>
        </is>
      </c>
      <c r="E6" s="27" t="inlineStr">
        <is>
          <t>Indexable</t>
        </is>
      </c>
      <c r="F6" s="24" t="n"/>
      <c r="G6" s="27" t="n"/>
      <c r="H6" s="24" t="n"/>
      <c r="I6" s="24" t="n"/>
      <c r="J6" s="24" t="n"/>
      <c r="K6" s="27" t="inlineStr">
        <is>
          <t>https://africanmarketingconfederation.org/certified-professional-marketer-africa/</t>
        </is>
      </c>
      <c r="L6">
        <f>IFERROR(HYPERLINK("#Main!A"&amp;MATCH(A6,Main!A:A,0),"Open"),HYPERLINK("#Main!A1","Open"))</f>
        <v/>
      </c>
    </row>
    <row r="7" ht="30" customHeight="1">
      <c r="A7" s="33" t="inlineStr">
        <is>
          <t>https://africanmarketingconfederation.org/chartered-marketer-africa/</t>
        </is>
      </c>
      <c r="B7" s="4" t="n">
        <v>200</v>
      </c>
      <c r="C7" s="6" t="inlineStr">
        <is>
          <t>2xx</t>
        </is>
      </c>
      <c r="D7" s="4" t="inlineStr">
        <is>
          <t>Indexable</t>
        </is>
      </c>
      <c r="E7" s="30" t="inlineStr">
        <is>
          <t>Indexable</t>
        </is>
      </c>
      <c r="F7" s="6" t="n"/>
      <c r="G7" s="30" t="n"/>
      <c r="H7" s="6" t="n"/>
      <c r="I7" s="6" t="n"/>
      <c r="J7" s="6" t="n"/>
      <c r="K7" s="30" t="inlineStr">
        <is>
          <t>https://africanmarketingconfederation.org/chartered-marketer-africa/</t>
        </is>
      </c>
      <c r="L7">
        <f>IFERROR(HYPERLINK("#Main!A"&amp;MATCH(A7,Main!A:A,0),"Open"),HYPERLINK("#Main!A1","Open"))</f>
        <v/>
      </c>
    </row>
    <row r="8" ht="30" customHeight="1">
      <c r="A8" s="33" t="inlineStr">
        <is>
          <t>https://africanmarketingconfederation.org/amc-conference-2026/</t>
        </is>
      </c>
      <c r="B8" s="4" t="n">
        <v>200</v>
      </c>
      <c r="C8" s="24" t="inlineStr">
        <is>
          <t>2xx</t>
        </is>
      </c>
      <c r="D8" s="4" t="inlineStr">
        <is>
          <t>Indexable</t>
        </is>
      </c>
      <c r="E8" s="27" t="inlineStr">
        <is>
          <t>Indexable</t>
        </is>
      </c>
      <c r="F8" s="24" t="n"/>
      <c r="G8" s="27" t="n"/>
      <c r="H8" s="24" t="n"/>
      <c r="I8" s="24" t="n"/>
      <c r="J8" s="24" t="n"/>
      <c r="K8" s="27" t="inlineStr">
        <is>
          <t>https://africanmarketingconfederation.org/amc-conference-2026/</t>
        </is>
      </c>
      <c r="L8">
        <f>IFERROR(HYPERLINK("#Main!A"&amp;MATCH(A8,Main!A:A,0),"Open"),HYPERLINK("#Main!A1","Open"))</f>
        <v/>
      </c>
    </row>
    <row r="9" ht="30" customHeight="1">
      <c r="A9" s="33" t="inlineStr">
        <is>
          <t>https://africanmarketingconfederation.org/education/</t>
        </is>
      </c>
      <c r="B9" s="4" t="n">
        <v>200</v>
      </c>
      <c r="C9" s="6" t="inlineStr">
        <is>
          <t>2xx</t>
        </is>
      </c>
      <c r="D9" s="4" t="inlineStr">
        <is>
          <t>Indexable</t>
        </is>
      </c>
      <c r="E9" s="30" t="inlineStr">
        <is>
          <t>Indexable</t>
        </is>
      </c>
      <c r="F9" s="6" t="n"/>
      <c r="G9" s="30" t="n"/>
      <c r="H9" s="6" t="n"/>
      <c r="I9" s="6" t="n"/>
      <c r="J9" s="6" t="n"/>
      <c r="K9" s="30" t="inlineStr">
        <is>
          <t>https://africanmarketingconfederation.org/education/</t>
        </is>
      </c>
      <c r="L9">
        <f>IFERROR(HYPERLINK("#Main!A"&amp;MATCH(A9,Main!A:A,0),"Open"),HYPERLINK("#Main!A1","Open"))</f>
        <v/>
      </c>
    </row>
    <row r="10" ht="30" customHeight="1">
      <c r="A10" s="33" t="inlineStr">
        <is>
          <t>https://africanmarketingconfederation.org/awards-2026/</t>
        </is>
      </c>
      <c r="B10" s="4" t="n">
        <v>200</v>
      </c>
      <c r="C10" s="24" t="inlineStr">
        <is>
          <t>2xx</t>
        </is>
      </c>
      <c r="D10" s="4" t="inlineStr">
        <is>
          <t>Indexable</t>
        </is>
      </c>
      <c r="E10" s="27" t="inlineStr">
        <is>
          <t>Indexable</t>
        </is>
      </c>
      <c r="F10" s="24" t="n"/>
      <c r="G10" s="27" t="n"/>
      <c r="H10" s="24" t="n"/>
      <c r="I10" s="24" t="n"/>
      <c r="J10" s="24" t="n"/>
      <c r="K10" s="27" t="inlineStr">
        <is>
          <t>https://africanmarketingconfederation.org/awards-2026/</t>
        </is>
      </c>
      <c r="L10">
        <f>IFERROR(HYPERLINK("#Main!A"&amp;MATCH(A10,Main!A:A,0),"Open"),HYPERLINK("#Main!A1","Open"))</f>
        <v/>
      </c>
    </row>
    <row r="11" ht="30" customHeight="1">
      <c r="A11" s="33" t="inlineStr">
        <is>
          <t>https://africanmarketingconfederation.org/contact-us/</t>
        </is>
      </c>
      <c r="B11" s="4" t="n">
        <v>200</v>
      </c>
      <c r="C11" s="6" t="inlineStr">
        <is>
          <t>2xx</t>
        </is>
      </c>
      <c r="D11" s="4" t="inlineStr">
        <is>
          <t>Indexable</t>
        </is>
      </c>
      <c r="E11" s="30" t="inlineStr">
        <is>
          <t>Indexable</t>
        </is>
      </c>
      <c r="F11" s="6" t="n"/>
      <c r="G11" s="30" t="n"/>
      <c r="H11" s="6" t="n"/>
      <c r="I11" s="6" t="n"/>
      <c r="J11" s="6" t="n"/>
      <c r="K11" s="30" t="inlineStr">
        <is>
          <t>https://africanmarketingconfederation.org/contact-us/</t>
        </is>
      </c>
      <c r="L11">
        <f>IFERROR(HYPERLINK("#Main!A"&amp;MATCH(A11,Main!A:A,0),"Open"),HYPERLINK("#Main!A1","Open"))</f>
        <v/>
      </c>
    </row>
    <row r="12" ht="30" customHeight="1">
      <c r="A12" s="33" t="inlineStr">
        <is>
          <t>https://africanmarketingconfederation.org/news-articles/</t>
        </is>
      </c>
      <c r="B12" s="4" t="n">
        <v>200</v>
      </c>
      <c r="C12" s="24" t="inlineStr">
        <is>
          <t>2xx</t>
        </is>
      </c>
      <c r="D12" s="4" t="inlineStr">
        <is>
          <t>Indexable</t>
        </is>
      </c>
      <c r="E12" s="27" t="inlineStr">
        <is>
          <t>Indexable</t>
        </is>
      </c>
      <c r="F12" s="24" t="n"/>
      <c r="G12" s="27" t="n"/>
      <c r="H12" s="24" t="n"/>
      <c r="I12" s="24" t="n"/>
      <c r="J12" s="24" t="n"/>
      <c r="K12" s="27" t="inlineStr">
        <is>
          <t>https://africanmarketingconfederation.org/news-articles/</t>
        </is>
      </c>
      <c r="L12">
        <f>IFERROR(HYPERLINK("#Main!A"&amp;MATCH(A12,Main!A:A,0),"Open"),HYPERLINK("#Main!A1","Open"))</f>
        <v/>
      </c>
    </row>
    <row r="13" ht="30" customHeight="1">
      <c r="A13" s="33" t="inlineStr">
        <is>
          <t>https://africanmarketingconfederation.org/african-marketing-confederation-tourism-chapter/</t>
        </is>
      </c>
      <c r="B13" s="4" t="n">
        <v>200</v>
      </c>
      <c r="C13" s="6" t="inlineStr">
        <is>
          <t>2xx</t>
        </is>
      </c>
      <c r="D13" s="4" t="inlineStr">
        <is>
          <t>Indexable</t>
        </is>
      </c>
      <c r="E13" s="30" t="inlineStr">
        <is>
          <t>Indexable</t>
        </is>
      </c>
      <c r="F13" s="6" t="n"/>
      <c r="G13" s="30" t="n"/>
      <c r="H13" s="6" t="n"/>
      <c r="I13" s="6" t="n"/>
      <c r="J13" s="6" t="n"/>
      <c r="K13" s="30" t="inlineStr">
        <is>
          <t>https://africanmarketingconfederation.org/african-marketing-confederation-tourism-chapter/</t>
        </is>
      </c>
      <c r="L13">
        <f>IFERROR(HYPERLINK("#Main!A"&amp;MATCH(A13,Main!A:A,0),"Open"),HYPERLINK("#Main!A1","Open"))</f>
        <v/>
      </c>
    </row>
    <row r="14" ht="30" customHeight="1">
      <c r="A14" s="33" t="inlineStr">
        <is>
          <t>https://africanmarketingconfederation.org/sub-committees/</t>
        </is>
      </c>
      <c r="B14" s="4" t="n">
        <v>200</v>
      </c>
      <c r="C14" s="24" t="inlineStr">
        <is>
          <t>2xx</t>
        </is>
      </c>
      <c r="D14" s="4" t="inlineStr">
        <is>
          <t>Indexable</t>
        </is>
      </c>
      <c r="E14" s="27" t="inlineStr">
        <is>
          <t>Indexable</t>
        </is>
      </c>
      <c r="F14" s="24" t="n"/>
      <c r="G14" s="27" t="n"/>
      <c r="H14" s="24" t="n"/>
      <c r="I14" s="24" t="n"/>
      <c r="J14" s="24" t="n"/>
      <c r="K14" s="27" t="inlineStr">
        <is>
          <t>https://africanmarketingconfederation.org/sub-committees/</t>
        </is>
      </c>
      <c r="L14">
        <f>IFERROR(HYPERLINK("#Main!A"&amp;MATCH(A14,Main!A:A,0),"Open"),HYPERLINK("#Main!A1","Open"))</f>
        <v/>
      </c>
    </row>
    <row r="15" ht="30" customHeight="1">
      <c r="A15" s="33" t="inlineStr">
        <is>
          <t>https://africanmarketingconfederation.org/members/</t>
        </is>
      </c>
      <c r="B15" s="4" t="n">
        <v>200</v>
      </c>
      <c r="C15" s="6" t="inlineStr">
        <is>
          <t>2xx</t>
        </is>
      </c>
      <c r="D15" s="4" t="inlineStr">
        <is>
          <t>Indexable</t>
        </is>
      </c>
      <c r="E15" s="30" t="inlineStr">
        <is>
          <t>Indexable</t>
        </is>
      </c>
      <c r="F15" s="6" t="n"/>
      <c r="G15" s="30" t="n"/>
      <c r="H15" s="6" t="n"/>
      <c r="I15" s="6" t="n"/>
      <c r="J15" s="6" t="n"/>
      <c r="K15" s="30" t="inlineStr">
        <is>
          <t>https://africanmarketingconfederation.org/members/</t>
        </is>
      </c>
      <c r="L15">
        <f>IFERROR(HYPERLINK("#Main!A"&amp;MATCH(A15,Main!A:A,0),"Open"),HYPERLINK("#Main!A1","Open"))</f>
        <v/>
      </c>
    </row>
    <row r="16" ht="30" customHeight="1">
      <c r="A16" s="33" t="inlineStr">
        <is>
          <t>https://africanmarketingconfederation.org/about-us/</t>
        </is>
      </c>
      <c r="B16" s="4" t="n">
        <v>200</v>
      </c>
      <c r="C16" s="24" t="inlineStr">
        <is>
          <t>2xx</t>
        </is>
      </c>
      <c r="D16" s="4" t="inlineStr">
        <is>
          <t>Indexable</t>
        </is>
      </c>
      <c r="E16" s="27" t="inlineStr">
        <is>
          <t>Indexable</t>
        </is>
      </c>
      <c r="F16" s="24" t="n"/>
      <c r="G16" s="27" t="n"/>
      <c r="H16" s="24" t="n"/>
      <c r="I16" s="24" t="n"/>
      <c r="J16" s="24" t="n"/>
      <c r="K16" s="27" t="inlineStr">
        <is>
          <t>https://africanmarketingconfederation.org/about-us/</t>
        </is>
      </c>
      <c r="L16">
        <f>IFERROR(HYPERLINK("#Main!A"&amp;MATCH(A16,Main!A:A,0),"Open"),HYPERLINK("#Main!A1","Open"))</f>
        <v/>
      </c>
    </row>
    <row r="17" ht="30" customHeight="1">
      <c r="A17" s="33" t="inlineStr">
        <is>
          <t>https://africanmarketingconfederation.org/awards-2026-1/</t>
        </is>
      </c>
      <c r="B17" s="4" t="n">
        <v>200</v>
      </c>
      <c r="C17" s="6" t="inlineStr">
        <is>
          <t>2xx</t>
        </is>
      </c>
      <c r="D17" s="4" t="inlineStr">
        <is>
          <t>Indexable</t>
        </is>
      </c>
      <c r="E17" s="30" t="inlineStr">
        <is>
          <t>Indexable</t>
        </is>
      </c>
      <c r="F17" s="6" t="n"/>
      <c r="G17" s="30" t="n"/>
      <c r="H17" s="6" t="n"/>
      <c r="I17" s="6" t="n"/>
      <c r="J17" s="6" t="n"/>
      <c r="K17" s="30" t="inlineStr">
        <is>
          <t>https://africanmarketingconfederation.org/awards-2026-1/</t>
        </is>
      </c>
      <c r="L17">
        <f>IFERROR(HYPERLINK("#Main!A"&amp;MATCH(A17,Main!A:A,0),"Open"),HYPERLINK("#Main!A1","Open"))</f>
        <v/>
      </c>
    </row>
    <row r="18" ht="30" customHeight="1">
      <c r="A18" s="33" t="inlineStr">
        <is>
          <t>https://africanmarketingconfederation.org/awards-2026-test/</t>
        </is>
      </c>
      <c r="B18" s="4" t="n">
        <v>200</v>
      </c>
      <c r="C18" s="24" t="inlineStr">
        <is>
          <t>2xx</t>
        </is>
      </c>
      <c r="D18" s="4" t="inlineStr">
        <is>
          <t>Indexable</t>
        </is>
      </c>
      <c r="E18" s="27" t="inlineStr">
        <is>
          <t>Indexable</t>
        </is>
      </c>
      <c r="F18" s="24" t="n"/>
      <c r="G18" s="27" t="n"/>
      <c r="H18" s="24" t="n"/>
      <c r="I18" s="24" t="n"/>
      <c r="J18" s="24" t="n"/>
      <c r="K18" s="27" t="inlineStr">
        <is>
          <t>https://africanmarketingconfederation.org/awards-2026-test/</t>
        </is>
      </c>
      <c r="L18">
        <f>IFERROR(HYPERLINK("#Main!A"&amp;MATCH(A18,Main!A:A,0),"Open"),HYPERLINK("#Main!A1","Open"))</f>
        <v/>
      </c>
    </row>
    <row r="19" ht="30" customHeight="1">
      <c r="A19" s="33" t="inlineStr">
        <is>
          <t>https://africanmarketingconfederation.org/amc-conference-2026-awards-nominations-thank-you/</t>
        </is>
      </c>
      <c r="B19" s="4" t="n">
        <v>200</v>
      </c>
      <c r="C19" s="6" t="inlineStr">
        <is>
          <t>2xx</t>
        </is>
      </c>
      <c r="D19" s="4" t="inlineStr">
        <is>
          <t>Indexable</t>
        </is>
      </c>
      <c r="E19" s="30" t="inlineStr">
        <is>
          <t>Indexable</t>
        </is>
      </c>
      <c r="F19" s="6" t="n"/>
      <c r="G19" s="30" t="n"/>
      <c r="H19" s="6" t="n"/>
      <c r="I19" s="6" t="n"/>
      <c r="J19" s="6" t="n"/>
      <c r="K19" s="30" t="inlineStr">
        <is>
          <t>https://africanmarketingconfederation.org/amc-conference-2026-awards-nominations-thank-you/</t>
        </is>
      </c>
      <c r="L19">
        <f>IFERROR(HYPERLINK("#Main!A"&amp;MATCH(A19,Main!A:A,0),"Open"),HYPERLINK("#Main!A1","Open"))</f>
        <v/>
      </c>
    </row>
    <row r="20" ht="30" customHeight="1">
      <c r="A20" s="33" t="inlineStr">
        <is>
          <t>https://africanmarketingconfederation.org/speakers-2025/</t>
        </is>
      </c>
      <c r="B20" s="4" t="n">
        <v>200</v>
      </c>
      <c r="C20" s="24" t="inlineStr">
        <is>
          <t>2xx</t>
        </is>
      </c>
      <c r="D20" s="4" t="inlineStr">
        <is>
          <t>Indexable</t>
        </is>
      </c>
      <c r="E20" s="27" t="inlineStr">
        <is>
          <t>Indexable</t>
        </is>
      </c>
      <c r="F20" s="24" t="n"/>
      <c r="G20" s="27" t="n"/>
      <c r="H20" s="24" t="n"/>
      <c r="I20" s="24" t="n"/>
      <c r="J20" s="24" t="n"/>
      <c r="K20" s="27" t="inlineStr">
        <is>
          <t>https://africanmarketingconfederation.org/speakers-2025/</t>
        </is>
      </c>
      <c r="L20">
        <f>IFERROR(HYPERLINK("#Main!A"&amp;MATCH(A20,Main!A:A,0),"Open"),HYPERLINK("#Main!A1","Open"))</f>
        <v/>
      </c>
    </row>
    <row r="21" ht="30" customHeight="1">
      <c r="A21" s="33" t="inlineStr">
        <is>
          <t>https://africanmarketingconfederation.org/amc-conference-2026-zambia-thank-you/</t>
        </is>
      </c>
      <c r="B21" s="4" t="n">
        <v>200</v>
      </c>
      <c r="C21" s="6" t="inlineStr">
        <is>
          <t>2xx</t>
        </is>
      </c>
      <c r="D21" s="4" t="inlineStr">
        <is>
          <t>Indexable</t>
        </is>
      </c>
      <c r="E21" s="30" t="inlineStr">
        <is>
          <t>Indexable</t>
        </is>
      </c>
      <c r="F21" s="6" t="n"/>
      <c r="G21" s="30" t="n"/>
      <c r="H21" s="6" t="n"/>
      <c r="I21" s="6" t="n"/>
      <c r="J21" s="6" t="n"/>
      <c r="K21" s="30" t="inlineStr">
        <is>
          <t>https://africanmarketingconfederation.org/amc-conference-2026-zambia-thank-you/</t>
        </is>
      </c>
      <c r="L21">
        <f>IFERROR(HYPERLINK("#Main!A"&amp;MATCH(A21,Main!A:A,0),"Open"),HYPERLINK("#Main!A1","Open"))</f>
        <v/>
      </c>
    </row>
    <row r="22" ht="30" customHeight="1">
      <c r="A22" s="33" t="inlineStr">
        <is>
          <t>https://africanmarketingconfederation.org/amc-launch-event-zambia-thank-you-2026/</t>
        </is>
      </c>
      <c r="B22" s="4" t="n">
        <v>200</v>
      </c>
      <c r="C22" s="24" t="inlineStr">
        <is>
          <t>2xx</t>
        </is>
      </c>
      <c r="D22" s="4" t="inlineStr">
        <is>
          <t>Indexable</t>
        </is>
      </c>
      <c r="E22" s="27" t="inlineStr">
        <is>
          <t>Indexable</t>
        </is>
      </c>
      <c r="F22" s="24" t="n"/>
      <c r="G22" s="27" t="n"/>
      <c r="H22" s="24" t="n"/>
      <c r="I22" s="24" t="n"/>
      <c r="J22" s="24" t="n"/>
      <c r="K22" s="27" t="inlineStr">
        <is>
          <t>https://africanmarketingconfederation.org/amc-launch-event-zambia-thank-you-2026/</t>
        </is>
      </c>
      <c r="L22">
        <f>IFERROR(HYPERLINK("#Main!A"&amp;MATCH(A22,Main!A:A,0),"Open"),HYPERLINK("#Main!A1","Open"))</f>
        <v/>
      </c>
    </row>
    <row r="23" ht="30" customHeight="1">
      <c r="A23" s="33" t="inlineStr">
        <is>
          <t>https://africanmarketingconfederation.org/amc-marketing-conference-2024/awards-2025/</t>
        </is>
      </c>
      <c r="B23" s="4" t="n">
        <v>200</v>
      </c>
      <c r="C23" s="6" t="inlineStr">
        <is>
          <t>2xx</t>
        </is>
      </c>
      <c r="D23" s="4" t="inlineStr">
        <is>
          <t>Indexable</t>
        </is>
      </c>
      <c r="E23" s="30" t="inlineStr">
        <is>
          <t>Indexable</t>
        </is>
      </c>
      <c r="F23" s="6" t="n"/>
      <c r="G23" s="30" t="n"/>
      <c r="H23" s="6" t="n"/>
      <c r="I23" s="6" t="n"/>
      <c r="J23" s="6" t="n"/>
      <c r="K23" s="30" t="inlineStr">
        <is>
          <t>https://africanmarketingconfederation.org/amc-marketing-conference-2024/awards-2025/</t>
        </is>
      </c>
      <c r="L23">
        <f>IFERROR(HYPERLINK("#Main!A"&amp;MATCH(A23,Main!A:A,0),"Open"),HYPERLINK("#Main!A1","Open"))</f>
        <v/>
      </c>
    </row>
    <row r="24" ht="30" customHeight="1">
      <c r="A24" s="33" t="inlineStr">
        <is>
          <t>https://africanmarketingconfederation.org/amc-conference-2025-highlights/</t>
        </is>
      </c>
      <c r="B24" s="4" t="n">
        <v>200</v>
      </c>
      <c r="C24" s="24" t="inlineStr">
        <is>
          <t>2xx</t>
        </is>
      </c>
      <c r="D24" s="4" t="inlineStr">
        <is>
          <t>Indexable</t>
        </is>
      </c>
      <c r="E24" s="27" t="inlineStr">
        <is>
          <t>Indexable</t>
        </is>
      </c>
      <c r="F24" s="24" t="n"/>
      <c r="G24" s="27" t="n"/>
      <c r="H24" s="24" t="n"/>
      <c r="I24" s="24" t="n"/>
      <c r="J24" s="24" t="n"/>
      <c r="K24" s="27" t="inlineStr">
        <is>
          <t>https://africanmarketingconfederation.org/amc-conference-2025-highlights/</t>
        </is>
      </c>
      <c r="L24">
        <f>IFERROR(HYPERLINK("#Main!A"&amp;MATCH(A24,Main!A:A,0),"Open"),HYPERLINK("#Main!A1","Open"))</f>
        <v/>
      </c>
    </row>
    <row r="25" ht="30" customHeight="1">
      <c r="A25" s="33" t="inlineStr">
        <is>
          <t>https://africanmarketingconfederation.org/amc-conference-2022/</t>
        </is>
      </c>
      <c r="B25" s="4" t="n">
        <v>200</v>
      </c>
      <c r="C25" s="6" t="inlineStr">
        <is>
          <t>2xx</t>
        </is>
      </c>
      <c r="D25" s="4" t="inlineStr">
        <is>
          <t>Indexable</t>
        </is>
      </c>
      <c r="E25" s="30" t="inlineStr">
        <is>
          <t>Indexable</t>
        </is>
      </c>
      <c r="F25" s="6" t="n"/>
      <c r="G25" s="30" t="n"/>
      <c r="H25" s="6" t="n"/>
      <c r="I25" s="6" t="n"/>
      <c r="J25" s="6" t="n"/>
      <c r="K25" s="30" t="inlineStr">
        <is>
          <t>https://africanmarketingconfederation.org/amc-conference-2022/</t>
        </is>
      </c>
      <c r="L25">
        <f>IFERROR(HYPERLINK("#Main!A"&amp;MATCH(A25,Main!A:A,0),"Open"),HYPERLINK("#Main!A1","Open"))</f>
        <v/>
      </c>
    </row>
    <row r="26" ht="30" customHeight="1">
      <c r="A26" s="33" t="inlineStr">
        <is>
          <t>https://africanmarketingconfederation.org/amc-conference-2023/gallery/</t>
        </is>
      </c>
      <c r="B26" s="4" t="n">
        <v>200</v>
      </c>
      <c r="C26" s="24" t="inlineStr">
        <is>
          <t>2xx</t>
        </is>
      </c>
      <c r="D26" s="4" t="inlineStr">
        <is>
          <t>Indexable</t>
        </is>
      </c>
      <c r="E26" s="27" t="inlineStr">
        <is>
          <t>Indexable</t>
        </is>
      </c>
      <c r="F26" s="24" t="n"/>
      <c r="G26" s="27" t="n"/>
      <c r="H26" s="24" t="n"/>
      <c r="I26" s="24" t="n"/>
      <c r="J26" s="24" t="n"/>
      <c r="K26" s="27" t="inlineStr">
        <is>
          <t>https://africanmarketingconfederation.org/amc-conference-2023/gallery/</t>
        </is>
      </c>
      <c r="L26">
        <f>IFERROR(HYPERLINK("#Main!A"&amp;MATCH(A26,Main!A:A,0),"Open"),HYPERLINK("#Main!A1","Open"))</f>
        <v/>
      </c>
    </row>
    <row r="27" ht="30" customHeight="1">
      <c r="A27" s="33" t="inlineStr">
        <is>
          <t>https://africanmarketingconfederation.org/conference-registrations-2024/</t>
        </is>
      </c>
      <c r="B27" s="4" t="n">
        <v>200</v>
      </c>
      <c r="C27" s="6" t="inlineStr">
        <is>
          <t>2xx</t>
        </is>
      </c>
      <c r="D27" s="4" t="inlineStr">
        <is>
          <t>Indexable</t>
        </is>
      </c>
      <c r="E27" s="30" t="inlineStr">
        <is>
          <t>Indexable</t>
        </is>
      </c>
      <c r="F27" s="6" t="n"/>
      <c r="G27" s="30" t="n"/>
      <c r="H27" s="6" t="n"/>
      <c r="I27" s="6" t="n"/>
      <c r="J27" s="6" t="n"/>
      <c r="K27" s="30" t="inlineStr">
        <is>
          <t>https://africanmarketingconfederation.org/conference-registrations-2024/</t>
        </is>
      </c>
      <c r="L27">
        <f>IFERROR(HYPERLINK("#Main!A"&amp;MATCH(A27,Main!A:A,0),"Open"),HYPERLINK("#Main!A1","Open"))</f>
        <v/>
      </c>
    </row>
    <row r="28" ht="30" customHeight="1">
      <c r="A28" s="33" t="inlineStr">
        <is>
          <t>https://africanmarketingconfederation.org/elementor-31820/</t>
        </is>
      </c>
      <c r="B28" s="4" t="n">
        <v>200</v>
      </c>
      <c r="C28" s="24" t="inlineStr">
        <is>
          <t>2xx</t>
        </is>
      </c>
      <c r="D28" s="4" t="inlineStr">
        <is>
          <t>Indexable</t>
        </is>
      </c>
      <c r="E28" s="27" t="inlineStr">
        <is>
          <t>Indexable</t>
        </is>
      </c>
      <c r="F28" s="24" t="n"/>
      <c r="G28" s="27" t="n"/>
      <c r="H28" s="24" t="n"/>
      <c r="I28" s="24" t="n"/>
      <c r="J28" s="24" t="n"/>
      <c r="K28" s="27" t="inlineStr">
        <is>
          <t>https://africanmarketingconfederation.org/elementor-31820/</t>
        </is>
      </c>
      <c r="L28">
        <f>IFERROR(HYPERLINK("#Main!A"&amp;MATCH(A28,Main!A:A,0),"Open"),HYPERLINK("#Main!A1","Open"))</f>
        <v/>
      </c>
    </row>
    <row r="29" ht="30" customHeight="1">
      <c r="A29" s="33" t="inlineStr">
        <is>
          <t>https://africanmarketingconfederation.org/amc-conference-2024-recap/</t>
        </is>
      </c>
      <c r="B29" s="4" t="n">
        <v>200</v>
      </c>
      <c r="C29" s="6" t="inlineStr">
        <is>
          <t>2xx</t>
        </is>
      </c>
      <c r="D29" s="4" t="inlineStr">
        <is>
          <t>Indexable</t>
        </is>
      </c>
      <c r="E29" s="30" t="inlineStr">
        <is>
          <t>Indexable</t>
        </is>
      </c>
      <c r="F29" s="6" t="n"/>
      <c r="G29" s="30" t="n"/>
      <c r="H29" s="6" t="n"/>
      <c r="I29" s="6" t="n"/>
      <c r="J29" s="6" t="n"/>
      <c r="K29" s="30" t="inlineStr">
        <is>
          <t>https://africanmarketingconfederation.org/amc-conference-2024-recap/</t>
        </is>
      </c>
      <c r="L29">
        <f>IFERROR(HYPERLINK("#Main!A"&amp;MATCH(A29,Main!A:A,0),"Open"),HYPERLINK("#Main!A1","Open"))</f>
        <v/>
      </c>
    </row>
    <row r="30" ht="30" customHeight="1">
      <c r="A30" s="33" t="inlineStr">
        <is>
          <t>https://africanmarketingconfederation.org/amc-marketing-conference-2024/amc-programme-2025/</t>
        </is>
      </c>
      <c r="B30" s="4" t="n">
        <v>200</v>
      </c>
      <c r="C30" s="24" t="inlineStr">
        <is>
          <t>2xx</t>
        </is>
      </c>
      <c r="D30" s="4" t="inlineStr">
        <is>
          <t>Indexable</t>
        </is>
      </c>
      <c r="E30" s="27" t="inlineStr">
        <is>
          <t>Indexable</t>
        </is>
      </c>
      <c r="F30" s="24" t="n"/>
      <c r="G30" s="27" t="n"/>
      <c r="H30" s="24" t="n"/>
      <c r="I30" s="24" t="n"/>
      <c r="J30" s="24" t="n"/>
      <c r="K30" s="27" t="inlineStr">
        <is>
          <t>https://africanmarketingconfederation.org/amc-marketing-conference-2024/amc-programme-2025/</t>
        </is>
      </c>
      <c r="L30">
        <f>IFERROR(HYPERLINK("#Main!A"&amp;MATCH(A30,Main!A:A,0),"Open"),HYPERLINK("#Main!A1","Open"))</f>
        <v/>
      </c>
    </row>
    <row r="31" ht="30" customHeight="1">
      <c r="A31" s="33" t="inlineStr">
        <is>
          <t>https://africanmarketingconfederation.org/amc-conference-2025/</t>
        </is>
      </c>
      <c r="B31" s="4" t="n">
        <v>200</v>
      </c>
      <c r="C31" s="6" t="inlineStr">
        <is>
          <t>2xx</t>
        </is>
      </c>
      <c r="D31" s="4" t="inlineStr">
        <is>
          <t>Indexable</t>
        </is>
      </c>
      <c r="E31" s="30" t="inlineStr">
        <is>
          <t>Indexable</t>
        </is>
      </c>
      <c r="F31" s="6" t="n"/>
      <c r="G31" s="30" t="n"/>
      <c r="H31" s="6" t="n"/>
      <c r="I31" s="6" t="n"/>
      <c r="J31" s="6" t="n"/>
      <c r="K31" s="30" t="inlineStr">
        <is>
          <t>https://africanmarketingconfederation.org/amc-conference-2025/</t>
        </is>
      </c>
      <c r="L31">
        <f>IFERROR(HYPERLINK("#Main!A"&amp;MATCH(A31,Main!A:A,0),"Open"),HYPERLINK("#Main!A1","Open"))</f>
        <v/>
      </c>
    </row>
    <row r="32" ht="30" customHeight="1">
      <c r="A32" s="33" t="inlineStr">
        <is>
          <t>https://africanmarketingconfederation.org/amc-sponsors-2025/</t>
        </is>
      </c>
      <c r="B32" s="4" t="n">
        <v>200</v>
      </c>
      <c r="C32" s="24" t="inlineStr">
        <is>
          <t>2xx</t>
        </is>
      </c>
      <c r="D32" s="4" t="inlineStr">
        <is>
          <t>Indexable</t>
        </is>
      </c>
      <c r="E32" s="27" t="inlineStr">
        <is>
          <t>Indexable</t>
        </is>
      </c>
      <c r="F32" s="24" t="n"/>
      <c r="G32" s="27" t="n"/>
      <c r="H32" s="24" t="n"/>
      <c r="I32" s="24" t="n"/>
      <c r="J32" s="24" t="n"/>
      <c r="K32" s="27" t="inlineStr">
        <is>
          <t>https://africanmarketingconfederation.org/amc-sponsors-2025/</t>
        </is>
      </c>
      <c r="L32">
        <f>IFERROR(HYPERLINK("#Main!A"&amp;MATCH(A32,Main!A:A,0),"Open"),HYPERLINK("#Main!A1","Open"))</f>
        <v/>
      </c>
    </row>
    <row r="33" ht="30" customHeight="1">
      <c r="A33" s="33" t="inlineStr">
        <is>
          <t>https://africanmarketingconfederation.org/amc-conference-2022-prospectus/</t>
        </is>
      </c>
      <c r="B33" s="4" t="n">
        <v>200</v>
      </c>
      <c r="C33" s="6" t="inlineStr">
        <is>
          <t>2xx</t>
        </is>
      </c>
      <c r="D33" s="4" t="inlineStr">
        <is>
          <t>Indexable</t>
        </is>
      </c>
      <c r="E33" s="30" t="inlineStr">
        <is>
          <t>Indexable</t>
        </is>
      </c>
      <c r="F33" s="6" t="n"/>
      <c r="G33" s="30" t="n"/>
      <c r="H33" s="6" t="n"/>
      <c r="I33" s="6" t="n"/>
      <c r="J33" s="6" t="n"/>
      <c r="K33" s="30" t="inlineStr">
        <is>
          <t>https://africanmarketingconfederation.org/amc-conference-2022-prospectus/</t>
        </is>
      </c>
      <c r="L33">
        <f>IFERROR(HYPERLINK("#Main!A"&amp;MATCH(A33,Main!A:A,0),"Open"),HYPERLINK("#Main!A1","Open"))</f>
        <v/>
      </c>
    </row>
    <row r="34" ht="30" customHeight="1">
      <c r="A34" s="33" t="inlineStr">
        <is>
          <t>https://africanmarketingconfederation.org/test-payment-gate/</t>
        </is>
      </c>
      <c r="B34" s="4" t="n">
        <v>200</v>
      </c>
      <c r="C34" s="24" t="inlineStr">
        <is>
          <t>2xx</t>
        </is>
      </c>
      <c r="D34" s="4" t="inlineStr">
        <is>
          <t>Indexable</t>
        </is>
      </c>
      <c r="E34" s="27" t="inlineStr">
        <is>
          <t>Indexable</t>
        </is>
      </c>
      <c r="F34" s="24" t="n"/>
      <c r="G34" s="27" t="n"/>
      <c r="H34" s="24" t="n"/>
      <c r="I34" s="24" t="n"/>
      <c r="J34" s="24" t="n"/>
      <c r="K34" s="27" t="inlineStr">
        <is>
          <t>https://africanmarketingconfederation.org/test-payment-gate/</t>
        </is>
      </c>
      <c r="L34">
        <f>IFERROR(HYPERLINK("#Main!A"&amp;MATCH(A34,Main!A:A,0),"Open"),HYPERLINK("#Main!A1","Open"))</f>
        <v/>
      </c>
    </row>
    <row r="35" ht="30" customHeight="1">
      <c r="A35" s="33" t="inlineStr">
        <is>
          <t>https://africanmarketingconfederation.org/amc-marketing-conference-2024/amc-preregister-2025/</t>
        </is>
      </c>
      <c r="B35" s="4" t="n">
        <v>200</v>
      </c>
      <c r="C35" s="6" t="inlineStr">
        <is>
          <t>2xx</t>
        </is>
      </c>
      <c r="D35" s="4" t="inlineStr">
        <is>
          <t>Indexable</t>
        </is>
      </c>
      <c r="E35" s="30" t="inlineStr">
        <is>
          <t>Indexable</t>
        </is>
      </c>
      <c r="F35" s="6" t="n"/>
      <c r="G35" s="30" t="n"/>
      <c r="H35" s="6" t="n"/>
      <c r="I35" s="6" t="n"/>
      <c r="J35" s="6" t="n"/>
      <c r="K35" s="30" t="inlineStr">
        <is>
          <t>https://africanmarketingconfederation.org/amc-marketing-conference-2024/amc-preregister-2025/</t>
        </is>
      </c>
      <c r="L35">
        <f>IFERROR(HYPERLINK("#Main!A"&amp;MATCH(A35,Main!A:A,0),"Open"),HYPERLINK("#Main!A1","Open"))</f>
        <v/>
      </c>
    </row>
    <row r="36" ht="30" customHeight="1">
      <c r="A36" s="33" t="inlineStr">
        <is>
          <t>https://africanmarketingconfederation.org/conference-faq-2025/</t>
        </is>
      </c>
      <c r="B36" s="4" t="n">
        <v>200</v>
      </c>
      <c r="C36" s="24" t="inlineStr">
        <is>
          <t>2xx</t>
        </is>
      </c>
      <c r="D36" s="4" t="inlineStr">
        <is>
          <t>Indexable</t>
        </is>
      </c>
      <c r="E36" s="27" t="inlineStr">
        <is>
          <t>Indexable</t>
        </is>
      </c>
      <c r="F36" s="24" t="n"/>
      <c r="G36" s="27" t="n"/>
      <c r="H36" s="24" t="n"/>
      <c r="I36" s="24" t="n"/>
      <c r="J36" s="24" t="n"/>
      <c r="K36" s="27" t="inlineStr">
        <is>
          <t>https://africanmarketingconfederation.org/conference-faq-2025/</t>
        </is>
      </c>
      <c r="L36">
        <f>IFERROR(HYPERLINK("#Main!A"&amp;MATCH(A36,Main!A:A,0),"Open"),HYPERLINK("#Main!A1","Open"))</f>
        <v/>
      </c>
    </row>
    <row r="37" ht="45" customHeight="1">
      <c r="A37" s="33" t="inlineStr">
        <is>
          <t>https://africanmarketingconfederation.org/amc-marketing-conference-2024/amc-conference-2025-ghana-sponsors/</t>
        </is>
      </c>
      <c r="B37" s="4" t="n">
        <v>200</v>
      </c>
      <c r="C37" s="6" t="inlineStr">
        <is>
          <t>2xx</t>
        </is>
      </c>
      <c r="D37" s="4" t="inlineStr">
        <is>
          <t>Indexable</t>
        </is>
      </c>
      <c r="E37" s="30" t="inlineStr">
        <is>
          <t>Indexable</t>
        </is>
      </c>
      <c r="F37" s="6" t="n"/>
      <c r="G37" s="30" t="n"/>
      <c r="H37" s="6" t="n"/>
      <c r="I37" s="6" t="n"/>
      <c r="J37" s="6" t="n"/>
      <c r="K37" s="30" t="inlineStr">
        <is>
          <t>https://africanmarketingconfederation.org/amc-marketing-conference-2024/amc-conference-2025-ghana-sponsors/</t>
        </is>
      </c>
      <c r="L37">
        <f>IFERROR(HYPERLINK("#Main!A"&amp;MATCH(A37,Main!A:A,0),"Open"),HYPERLINK("#Main!A1","Open"))</f>
        <v/>
      </c>
    </row>
    <row r="38" ht="30" customHeight="1">
      <c r="A38" s="33" t="inlineStr">
        <is>
          <t>https://africanmarketingconfederation.org/amc-forum-payments/</t>
        </is>
      </c>
      <c r="B38" s="4" t="n">
        <v>200</v>
      </c>
      <c r="C38" s="24" t="inlineStr">
        <is>
          <t>2xx</t>
        </is>
      </c>
      <c r="D38" s="4" t="inlineStr">
        <is>
          <t>Indexable</t>
        </is>
      </c>
      <c r="E38" s="27" t="inlineStr">
        <is>
          <t>Indexable</t>
        </is>
      </c>
      <c r="F38" s="24" t="n"/>
      <c r="G38" s="27" t="n"/>
      <c r="H38" s="24" t="n"/>
      <c r="I38" s="24" t="n"/>
      <c r="J38" s="24" t="n"/>
      <c r="K38" s="27" t="inlineStr">
        <is>
          <t>https://africanmarketingconfederation.org/amc-forum-payments/</t>
        </is>
      </c>
      <c r="L38">
        <f>IFERROR(HYPERLINK("#Main!A"&amp;MATCH(A38,Main!A:A,0),"Open"),HYPERLINK("#Main!A1","Open"))</f>
        <v/>
      </c>
    </row>
    <row r="39" ht="30" customHeight="1">
      <c r="A39" s="33" t="inlineStr">
        <is>
          <t>https://africanmarketingconfederation.org/amc-marketing-conference-2024/amc-launch-event-2025/</t>
        </is>
      </c>
      <c r="B39" s="4" t="n">
        <v>200</v>
      </c>
      <c r="C39" s="6" t="inlineStr">
        <is>
          <t>2xx</t>
        </is>
      </c>
      <c r="D39" s="4" t="inlineStr">
        <is>
          <t>Indexable</t>
        </is>
      </c>
      <c r="E39" s="30" t="inlineStr">
        <is>
          <t>Indexable</t>
        </is>
      </c>
      <c r="F39" s="6" t="n"/>
      <c r="G39" s="30" t="n"/>
      <c r="H39" s="6" t="n"/>
      <c r="I39" s="6" t="n"/>
      <c r="J39" s="6" t="n"/>
      <c r="K39" s="30" t="inlineStr">
        <is>
          <t>https://africanmarketingconfederation.org/amc-marketing-conference-2024/amc-launch-event-2025/</t>
        </is>
      </c>
      <c r="L39">
        <f>IFERROR(HYPERLINK("#Main!A"&amp;MATCH(A39,Main!A:A,0),"Open"),HYPERLINK("#Main!A1","Open"))</f>
        <v/>
      </c>
    </row>
    <row r="40" ht="30" customHeight="1">
      <c r="A40" s="33" t="inlineStr">
        <is>
          <t>https://africanmarketingconfederation.org/checkout/</t>
        </is>
      </c>
      <c r="B40" s="4" t="n">
        <v>200</v>
      </c>
      <c r="C40" s="24" t="inlineStr">
        <is>
          <t>2xx</t>
        </is>
      </c>
      <c r="D40" s="4" t="inlineStr">
        <is>
          <t>Indexable</t>
        </is>
      </c>
      <c r="E40" s="27" t="inlineStr">
        <is>
          <t>Indexable</t>
        </is>
      </c>
      <c r="F40" s="24" t="n"/>
      <c r="G40" s="27" t="n"/>
      <c r="H40" s="24" t="n"/>
      <c r="I40" s="24" t="n"/>
      <c r="J40" s="24" t="n"/>
      <c r="K40" s="27" t="inlineStr">
        <is>
          <t>https://africanmarketingconfederation.org/cart/</t>
        </is>
      </c>
      <c r="L40">
        <f>IFERROR(HYPERLINK("#Main!A"&amp;MATCH(A40,Main!A:A,0),"Open"),HYPERLINK("#Main!A1","Open"))</f>
        <v/>
      </c>
    </row>
    <row r="41" ht="30" customHeight="1">
      <c r="A41" s="33" t="inlineStr">
        <is>
          <t>https://africanmarketingconfederation.org/amc-awards-2024/</t>
        </is>
      </c>
      <c r="B41" s="4" t="n">
        <v>200</v>
      </c>
      <c r="C41" s="6" t="inlineStr">
        <is>
          <t>2xx</t>
        </is>
      </c>
      <c r="D41" s="4" t="inlineStr">
        <is>
          <t>Indexable</t>
        </is>
      </c>
      <c r="E41" s="30" t="inlineStr">
        <is>
          <t>Indexable</t>
        </is>
      </c>
      <c r="F41" s="6" t="n"/>
      <c r="G41" s="30" t="n"/>
      <c r="H41" s="6" t="n"/>
      <c r="I41" s="6" t="n"/>
      <c r="J41" s="6" t="n"/>
      <c r="K41" s="30" t="inlineStr">
        <is>
          <t>https://africanmarketingconfederation.org/amc-awards-2024/</t>
        </is>
      </c>
      <c r="L41">
        <f>IFERROR(HYPERLINK("#Main!A"&amp;MATCH(A41,Main!A:A,0),"Open"),HYPERLINK("#Main!A1","Open"))</f>
        <v/>
      </c>
    </row>
    <row r="42" ht="30" customHeight="1">
      <c r="A42" s="33" t="inlineStr">
        <is>
          <t>https://africanmarketingconfederation.org/amc-conference-2023/</t>
        </is>
      </c>
      <c r="B42" s="4" t="n">
        <v>200</v>
      </c>
      <c r="C42" s="24" t="inlineStr">
        <is>
          <t>2xx</t>
        </is>
      </c>
      <c r="D42" s="4" t="inlineStr">
        <is>
          <t>Indexable</t>
        </is>
      </c>
      <c r="E42" s="27" t="inlineStr">
        <is>
          <t>Indexable</t>
        </is>
      </c>
      <c r="F42" s="24" t="n"/>
      <c r="G42" s="27" t="n"/>
      <c r="H42" s="24" t="n"/>
      <c r="I42" s="24" t="n"/>
      <c r="J42" s="24" t="n"/>
      <c r="K42" s="27" t="inlineStr">
        <is>
          <t>https://africanmarketingconfederation.org/amc-conference-2023/</t>
        </is>
      </c>
      <c r="L42">
        <f>IFERROR(HYPERLINK("#Main!A"&amp;MATCH(A42,Main!A:A,0),"Open"),HYPERLINK("#Main!A1","Open"))</f>
        <v/>
      </c>
    </row>
    <row r="43" ht="30" customHeight="1">
      <c r="A43" s="33" t="inlineStr">
        <is>
          <t>https://africanmarketingconfederation.org/amc-forum-mombasa/</t>
        </is>
      </c>
      <c r="B43" s="4" t="n">
        <v>200</v>
      </c>
      <c r="C43" s="6" t="inlineStr">
        <is>
          <t>2xx</t>
        </is>
      </c>
      <c r="D43" s="4" t="inlineStr">
        <is>
          <t>Indexable</t>
        </is>
      </c>
      <c r="E43" s="30" t="inlineStr">
        <is>
          <t>Indexable</t>
        </is>
      </c>
      <c r="F43" s="6" t="n"/>
      <c r="G43" s="30" t="n"/>
      <c r="H43" s="6" t="n"/>
      <c r="I43" s="6" t="n"/>
      <c r="J43" s="6" t="n"/>
      <c r="K43" s="30" t="inlineStr">
        <is>
          <t>https://africanmarketingconfederation.org/amc-forum-mombasa/</t>
        </is>
      </c>
      <c r="L43">
        <f>IFERROR(HYPERLINK("#Main!A"&amp;MATCH(A43,Main!A:A,0),"Open"),HYPERLINK("#Main!A1","Open"))</f>
        <v/>
      </c>
    </row>
    <row r="44" ht="45" customHeight="1">
      <c r="A44" s="33" t="inlineStr">
        <is>
          <t>https://africanmarketingconfederation.org/amc-marketing-conference-2024/amc-speakers-presentations-2024/</t>
        </is>
      </c>
      <c r="B44" s="4" t="n">
        <v>200</v>
      </c>
      <c r="C44" s="24" t="inlineStr">
        <is>
          <t>2xx</t>
        </is>
      </c>
      <c r="D44" s="4" t="inlineStr">
        <is>
          <t>Indexable</t>
        </is>
      </c>
      <c r="E44" s="27" t="inlineStr">
        <is>
          <t>Indexable</t>
        </is>
      </c>
      <c r="F44" s="24" t="n"/>
      <c r="G44" s="27" t="n"/>
      <c r="H44" s="24" t="n"/>
      <c r="I44" s="24" t="n"/>
      <c r="J44" s="24" t="n"/>
      <c r="K44" s="27" t="inlineStr">
        <is>
          <t>https://africanmarketingconfederation.org/amc-marketing-conference-2024/amc-speakers-presentations-2024/</t>
        </is>
      </c>
      <c r="L44">
        <f>IFERROR(HYPERLINK("#Main!A"&amp;MATCH(A44,Main!A:A,0),"Open"),HYPERLINK("#Main!A1","Open"))</f>
        <v/>
      </c>
    </row>
    <row r="45" ht="30" customHeight="1">
      <c r="A45" s="33" t="inlineStr">
        <is>
          <t>https://africanmarketingconfederation.org/amc-marketing-conference-2024/testimony-thank-you-page/</t>
        </is>
      </c>
      <c r="B45" s="4" t="n">
        <v>200</v>
      </c>
      <c r="C45" s="6" t="inlineStr">
        <is>
          <t>2xx</t>
        </is>
      </c>
      <c r="D45" s="4" t="inlineStr">
        <is>
          <t>Indexable</t>
        </is>
      </c>
      <c r="E45" s="30" t="inlineStr">
        <is>
          <t>Indexable</t>
        </is>
      </c>
      <c r="F45" s="6" t="n"/>
      <c r="G45" s="30" t="n"/>
      <c r="H45" s="6" t="n"/>
      <c r="I45" s="6" t="n"/>
      <c r="J45" s="6" t="n"/>
      <c r="K45" s="30" t="inlineStr">
        <is>
          <t>https://africanmarketingconfederation.org/amc-marketing-conference-2024/testimony-thank-you-page/</t>
        </is>
      </c>
      <c r="L45">
        <f>IFERROR(HYPERLINK("#Main!A"&amp;MATCH(A45,Main!A:A,0),"Open"),HYPERLINK("#Main!A1","Open"))</f>
        <v/>
      </c>
    </row>
    <row r="46" ht="30" customHeight="1">
      <c r="A46" s="33" t="inlineStr">
        <is>
          <t>https://africanmarketingconfederation.org/amc-sign-up-now-form-2025/</t>
        </is>
      </c>
      <c r="B46" s="4" t="n">
        <v>200</v>
      </c>
      <c r="C46" s="24" t="inlineStr">
        <is>
          <t>2xx</t>
        </is>
      </c>
      <c r="D46" s="4" t="inlineStr">
        <is>
          <t>Indexable</t>
        </is>
      </c>
      <c r="E46" s="27" t="inlineStr">
        <is>
          <t>Indexable</t>
        </is>
      </c>
      <c r="F46" s="24" t="n"/>
      <c r="G46" s="27" t="n"/>
      <c r="H46" s="24" t="n"/>
      <c r="I46" s="24" t="n"/>
      <c r="J46" s="24" t="n"/>
      <c r="K46" s="27" t="inlineStr">
        <is>
          <t>https://africanmarketingconfederation.org/amc-sign-up-now-form-2025/</t>
        </is>
      </c>
      <c r="L46">
        <f>IFERROR(HYPERLINK("#Main!A"&amp;MATCH(A46,Main!A:A,0),"Open"),HYPERLINK("#Main!A1","Open"))</f>
        <v/>
      </c>
    </row>
    <row r="47" ht="30" customHeight="1">
      <c r="A47" s="33" t="inlineStr">
        <is>
          <t>https://africanmarketingconfederation.org/amc-marketing-conference-2024/</t>
        </is>
      </c>
      <c r="B47" s="4" t="n">
        <v>200</v>
      </c>
      <c r="C47" s="6" t="inlineStr">
        <is>
          <t>2xx</t>
        </is>
      </c>
      <c r="D47" s="4" t="inlineStr">
        <is>
          <t>Indexable</t>
        </is>
      </c>
      <c r="E47" s="30" t="inlineStr">
        <is>
          <t>Indexable</t>
        </is>
      </c>
      <c r="F47" s="6" t="n"/>
      <c r="G47" s="30" t="n"/>
      <c r="H47" s="6" t="n"/>
      <c r="I47" s="6" t="n"/>
      <c r="J47" s="6" t="n"/>
      <c r="K47" s="30" t="inlineStr">
        <is>
          <t>https://africanmarketingconfederation.org/amc-forum-mombasa/</t>
        </is>
      </c>
      <c r="L47">
        <f>IFERROR(HYPERLINK("#Main!A"&amp;MATCH(A47,Main!A:A,0),"Open"),HYPERLINK("#Main!A1","Open"))</f>
        <v/>
      </c>
    </row>
    <row r="48" ht="30" customHeight="1">
      <c r="A48" s="33" t="inlineStr">
        <is>
          <t>https://africanmarketingconfederation.org/amc-testimony-page-2024/</t>
        </is>
      </c>
      <c r="B48" s="4" t="n">
        <v>200</v>
      </c>
      <c r="C48" s="24" t="inlineStr">
        <is>
          <t>2xx</t>
        </is>
      </c>
      <c r="D48" s="4" t="inlineStr">
        <is>
          <t>Indexable</t>
        </is>
      </c>
      <c r="E48" s="27" t="inlineStr">
        <is>
          <t>Indexable</t>
        </is>
      </c>
      <c r="F48" s="24" t="n"/>
      <c r="G48" s="27" t="n"/>
      <c r="H48" s="24" t="n"/>
      <c r="I48" s="24" t="n"/>
      <c r="J48" s="24" t="n"/>
      <c r="K48" s="27" t="inlineStr">
        <is>
          <t>https://africanmarketingconfederation.org/amc-testimony-page-2024/</t>
        </is>
      </c>
      <c r="L48">
        <f>IFERROR(HYPERLINK("#Main!A"&amp;MATCH(A48,Main!A:A,0),"Open"),HYPERLINK("#Main!A1","Open"))</f>
        <v/>
      </c>
    </row>
    <row r="49" ht="30" customHeight="1">
      <c r="A49" s="33" t="inlineStr">
        <is>
          <t>https://africanmarketingconfederation.org/thank-you-for-registering-2024-registrations/</t>
        </is>
      </c>
      <c r="B49" s="4" t="n">
        <v>200</v>
      </c>
      <c r="C49" s="6" t="inlineStr">
        <is>
          <t>2xx</t>
        </is>
      </c>
      <c r="D49" s="4" t="inlineStr">
        <is>
          <t>Indexable</t>
        </is>
      </c>
      <c r="E49" s="30" t="inlineStr">
        <is>
          <t>Indexable</t>
        </is>
      </c>
      <c r="F49" s="6" t="n"/>
      <c r="G49" s="30" t="n"/>
      <c r="H49" s="6" t="n"/>
      <c r="I49" s="6" t="n"/>
      <c r="J49" s="6" t="n"/>
      <c r="K49" s="30" t="inlineStr">
        <is>
          <t>https://africanmarketingconfederation.org/thank-you-for-registering-2024-registrations/</t>
        </is>
      </c>
      <c r="L49">
        <f>IFERROR(HYPERLINK("#Main!A"&amp;MATCH(A49,Main!A:A,0),"Open"),HYPERLINK("#Main!A1","Open"))</f>
        <v/>
      </c>
    </row>
    <row r="50" ht="30" customHeight="1">
      <c r="A50" s="33" t="inlineStr">
        <is>
          <t>https://africanmarketingconfederation.org/download-prospectus-2024/</t>
        </is>
      </c>
      <c r="B50" s="4" t="n">
        <v>200</v>
      </c>
      <c r="C50" s="24" t="inlineStr">
        <is>
          <t>2xx</t>
        </is>
      </c>
      <c r="D50" s="4" t="inlineStr">
        <is>
          <t>Indexable</t>
        </is>
      </c>
      <c r="E50" s="27" t="inlineStr">
        <is>
          <t>Indexable</t>
        </is>
      </c>
      <c r="F50" s="24" t="n"/>
      <c r="G50" s="27" t="n"/>
      <c r="H50" s="24" t="n"/>
      <c r="I50" s="24" t="n"/>
      <c r="J50" s="24" t="n"/>
      <c r="K50" s="27" t="inlineStr">
        <is>
          <t>https://africanmarketingconfederation.org/download-prospectus-2024/</t>
        </is>
      </c>
      <c r="L50">
        <f>IFERROR(HYPERLINK("#Main!A"&amp;MATCH(A50,Main!A:A,0),"Open"),HYPERLINK("#Main!A1","Open"))</f>
        <v/>
      </c>
    </row>
    <row r="51" ht="30" customHeight="1">
      <c r="A51" s="33" t="inlineStr">
        <is>
          <t>https://africanmarketingconfederation.org/thank-you-for-registering-2024-registrations-kenya/</t>
        </is>
      </c>
      <c r="B51" s="4" t="n">
        <v>200</v>
      </c>
      <c r="C51" s="6" t="inlineStr">
        <is>
          <t>2xx</t>
        </is>
      </c>
      <c r="D51" s="4" t="inlineStr">
        <is>
          <t>Indexable</t>
        </is>
      </c>
      <c r="E51" s="30" t="inlineStr">
        <is>
          <t>Indexable</t>
        </is>
      </c>
      <c r="F51" s="6" t="n"/>
      <c r="G51" s="30" t="n"/>
      <c r="H51" s="6" t="n"/>
      <c r="I51" s="6" t="n"/>
      <c r="J51" s="6" t="n"/>
      <c r="K51" s="30" t="inlineStr">
        <is>
          <t>https://africanmarketingconfederation.org/thank-you-for-registering-2024-registrations-kenya/</t>
        </is>
      </c>
      <c r="L51">
        <f>IFERROR(HYPERLINK("#Main!A"&amp;MATCH(A51,Main!A:A,0),"Open"),HYPERLINK("#Main!A1","Open"))</f>
        <v/>
      </c>
    </row>
    <row r="52" ht="30" customHeight="1">
      <c r="A52" s="33" t="inlineStr">
        <is>
          <t>https://africanmarketingconfederation.org/subscribe/</t>
        </is>
      </c>
      <c r="B52" s="4" t="n">
        <v>200</v>
      </c>
      <c r="C52" s="24" t="inlineStr">
        <is>
          <t>2xx</t>
        </is>
      </c>
      <c r="D52" s="4" t="inlineStr">
        <is>
          <t>Indexable</t>
        </is>
      </c>
      <c r="E52" s="27" t="inlineStr">
        <is>
          <t>Indexable</t>
        </is>
      </c>
      <c r="F52" s="24" t="n"/>
      <c r="G52" s="27" t="n"/>
      <c r="H52" s="24" t="n"/>
      <c r="I52" s="24" t="n"/>
      <c r="J52" s="24" t="n"/>
      <c r="K52" s="27" t="inlineStr">
        <is>
          <t>https://africanmarketingconfederation.org/subscribe/</t>
        </is>
      </c>
      <c r="L52">
        <f>IFERROR(HYPERLINK("#Main!A"&amp;MATCH(A52,Main!A:A,0),"Open"),HYPERLINK("#Main!A1","Open"))</f>
        <v/>
      </c>
    </row>
    <row r="53" ht="30" customHeight="1">
      <c r="A53" s="33" t="inlineStr">
        <is>
          <t>https://africanmarketingconfederation.org/amc-marketing-conference-2024/speakers-2024/</t>
        </is>
      </c>
      <c r="B53" s="32" t="n">
        <v>404</v>
      </c>
      <c r="C53" s="6" t="inlineStr">
        <is>
          <t>4xx</t>
        </is>
      </c>
      <c r="D53" s="32" t="inlineStr">
        <is>
          <t>HTTP 404</t>
        </is>
      </c>
      <c r="E53" s="30" t="inlineStr">
        <is>
          <t>HTTP 404</t>
        </is>
      </c>
      <c r="F53" s="6" t="n"/>
      <c r="G53" s="30" t="n"/>
      <c r="H53" s="6" t="n"/>
      <c r="I53" s="6" t="n"/>
      <c r="J53" s="6" t="n"/>
      <c r="K53" s="30" t="inlineStr">
        <is>
          <t>https://africanmarketingconfederation.org/amc-forum-speakers/</t>
        </is>
      </c>
      <c r="L53">
        <f>IFERROR(HYPERLINK("#Main!A"&amp;MATCH(A53,Main!A:A,0),"Open"),HYPERLINK("#Main!A1","Open"))</f>
        <v/>
      </c>
    </row>
    <row r="54" ht="30" customHeight="1">
      <c r="A54" s="33" t="inlineStr">
        <is>
          <t>https://africanmarketingconfederation.org/amc-conference-sponsors/</t>
        </is>
      </c>
      <c r="B54" s="32" t="n">
        <v>404</v>
      </c>
      <c r="C54" s="24" t="inlineStr">
        <is>
          <t>4xx</t>
        </is>
      </c>
      <c r="D54" s="32" t="inlineStr">
        <is>
          <t>HTTP 404</t>
        </is>
      </c>
      <c r="E54" s="27" t="inlineStr">
        <is>
          <t>HTTP 404</t>
        </is>
      </c>
      <c r="F54" s="24" t="n"/>
      <c r="G54" s="27" t="n"/>
      <c r="H54" s="24" t="n"/>
      <c r="I54" s="24" t="n"/>
      <c r="J54" s="24" t="n"/>
      <c r="K54" s="27" t="inlineStr">
        <is>
          <t>https://africanmarketingconfederation.org/amc-forum-sponsors/</t>
        </is>
      </c>
      <c r="L54">
        <f>IFERROR(HYPERLINK("#Main!A"&amp;MATCH(A54,Main!A:A,0),"Open"),HYPERLINK("#Main!A1","Open"))</f>
        <v/>
      </c>
    </row>
    <row r="55" ht="30" customHeight="1">
      <c r="A55" s="33" t="inlineStr">
        <is>
          <t>https://africanmarketingconfederation.org/elementor-20341/</t>
        </is>
      </c>
      <c r="B55" s="4" t="n">
        <v>200</v>
      </c>
      <c r="C55" s="6" t="inlineStr">
        <is>
          <t>2xx</t>
        </is>
      </c>
      <c r="D55" s="4" t="inlineStr">
        <is>
          <t>Indexable</t>
        </is>
      </c>
      <c r="E55" s="30" t="inlineStr">
        <is>
          <t>Indexable</t>
        </is>
      </c>
      <c r="F55" s="6" t="n"/>
      <c r="G55" s="30" t="n"/>
      <c r="H55" s="6" t="n"/>
      <c r="I55" s="6" t="n"/>
      <c r="J55" s="6" t="n"/>
      <c r="K55" s="30" t="inlineStr">
        <is>
          <t>https://africanmarketingconfederation.org/elementor-20341/</t>
        </is>
      </c>
      <c r="L55">
        <f>IFERROR(HYPERLINK("#Main!A"&amp;MATCH(A55,Main!A:A,0),"Open"),HYPERLINK("#Main!A1","Open"))</f>
        <v/>
      </c>
    </row>
    <row r="56" ht="30" customHeight="1">
      <c r="A56" s="33" t="inlineStr">
        <is>
          <t>https://africanmarketingconfederation.org/chartered-marketer-africa-final-submission-fee/</t>
        </is>
      </c>
      <c r="B56" s="4" t="n">
        <v>200</v>
      </c>
      <c r="C56" s="24" t="inlineStr">
        <is>
          <t>2xx</t>
        </is>
      </c>
      <c r="D56" s="4" t="inlineStr">
        <is>
          <t>Indexable</t>
        </is>
      </c>
      <c r="E56" s="27" t="inlineStr">
        <is>
          <t>Indexable</t>
        </is>
      </c>
      <c r="F56" s="24" t="n"/>
      <c r="G56" s="27" t="n"/>
      <c r="H56" s="24" t="n"/>
      <c r="I56" s="24" t="n"/>
      <c r="J56" s="24" t="n"/>
      <c r="K56" s="27" t="inlineStr">
        <is>
          <t>https://africanmarketingconfederation.org/chartered-marketer-africa-final-submission-fee/</t>
        </is>
      </c>
      <c r="L56">
        <f>IFERROR(HYPERLINK("#Main!A"&amp;MATCH(A56,Main!A:A,0),"Open"),HYPERLINK("#Main!A1","Open"))</f>
        <v/>
      </c>
    </row>
    <row r="57" ht="30" customHeight="1">
      <c r="A57" s="33" t="inlineStr">
        <is>
          <t>https://africanmarketingconfederation.org/chartered-marketer-africa-programme-fee/</t>
        </is>
      </c>
      <c r="B57" s="4" t="n">
        <v>200</v>
      </c>
      <c r="C57" s="6" t="inlineStr">
        <is>
          <t>2xx</t>
        </is>
      </c>
      <c r="D57" s="4" t="inlineStr">
        <is>
          <t>Indexable</t>
        </is>
      </c>
      <c r="E57" s="30" t="inlineStr">
        <is>
          <t>Indexable</t>
        </is>
      </c>
      <c r="F57" s="6" t="n"/>
      <c r="G57" s="30" t="n"/>
      <c r="H57" s="6" t="n"/>
      <c r="I57" s="6" t="n"/>
      <c r="J57" s="6" t="n"/>
      <c r="K57" s="30" t="inlineStr">
        <is>
          <t>https://africanmarketingconfederation.org/chartered-marketer-africa-programme-fee/</t>
        </is>
      </c>
      <c r="L57">
        <f>IFERROR(HYPERLINK("#Main!A"&amp;MATCH(A57,Main!A:A,0),"Open"),HYPERLINK("#Main!A1","Open"))</f>
        <v/>
      </c>
    </row>
    <row r="58" ht="30" customHeight="1">
      <c r="A58" s="33" t="inlineStr">
        <is>
          <t>https://africanmarketingconfederation.org/download-brochure/</t>
        </is>
      </c>
      <c r="B58" s="4" t="n">
        <v>200</v>
      </c>
      <c r="C58" s="24" t="inlineStr">
        <is>
          <t>2xx</t>
        </is>
      </c>
      <c r="D58" s="4" t="inlineStr">
        <is>
          <t>Indexable</t>
        </is>
      </c>
      <c r="E58" s="27" t="inlineStr">
        <is>
          <t>Indexable</t>
        </is>
      </c>
      <c r="F58" s="24" t="n"/>
      <c r="G58" s="27" t="n"/>
      <c r="H58" s="24" t="n"/>
      <c r="I58" s="24" t="n"/>
      <c r="J58" s="24" t="n"/>
      <c r="K58" s="27" t="inlineStr">
        <is>
          <t>https://africanmarketingconfederation.org/download-brochure/</t>
        </is>
      </c>
      <c r="L58">
        <f>IFERROR(HYPERLINK("#Main!A"&amp;MATCH(A58,Main!A:A,0),"Open"),HYPERLINK("#Main!A1","Open"))</f>
        <v/>
      </c>
    </row>
    <row r="59" ht="30" customHeight="1">
      <c r="A59" s="33" t="inlineStr">
        <is>
          <t>https://africanmarketingconfederation.org/thank-you-for-the-nomination-2024/</t>
        </is>
      </c>
      <c r="B59" s="4" t="n">
        <v>200</v>
      </c>
      <c r="C59" s="6" t="inlineStr">
        <is>
          <t>2xx</t>
        </is>
      </c>
      <c r="D59" s="4" t="inlineStr">
        <is>
          <t>Indexable</t>
        </is>
      </c>
      <c r="E59" s="30" t="inlineStr">
        <is>
          <t>Indexable</t>
        </is>
      </c>
      <c r="F59" s="6" t="n"/>
      <c r="G59" s="30" t="n"/>
      <c r="H59" s="6" t="n"/>
      <c r="I59" s="6" t="n"/>
      <c r="J59" s="6" t="n"/>
      <c r="K59" s="30" t="inlineStr">
        <is>
          <t>https://africanmarketingconfederation.org/thank-you-for-the-nomination-2024/</t>
        </is>
      </c>
      <c r="L59">
        <f>IFERROR(HYPERLINK("#Main!A"&amp;MATCH(A59,Main!A:A,0),"Open"),HYPERLINK("#Main!A1","Open"))</f>
        <v/>
      </c>
    </row>
    <row r="60" ht="30" customHeight="1">
      <c r="A60" s="33" t="inlineStr">
        <is>
          <t>https://africanmarketingconfederation.org/thank-you-for-the-submission-2024/</t>
        </is>
      </c>
      <c r="B60" s="4" t="n">
        <v>200</v>
      </c>
      <c r="C60" s="24" t="inlineStr">
        <is>
          <t>2xx</t>
        </is>
      </c>
      <c r="D60" s="4" t="inlineStr">
        <is>
          <t>Indexable</t>
        </is>
      </c>
      <c r="E60" s="27" t="inlineStr">
        <is>
          <t>Indexable</t>
        </is>
      </c>
      <c r="F60" s="24" t="n"/>
      <c r="G60" s="27" t="n"/>
      <c r="H60" s="24" t="n"/>
      <c r="I60" s="24" t="n"/>
      <c r="J60" s="24" t="n"/>
      <c r="K60" s="27" t="inlineStr">
        <is>
          <t>https://africanmarketingconfederation.org/thank-you-for-the-submission-2024/</t>
        </is>
      </c>
      <c r="L60">
        <f>IFERROR(HYPERLINK("#Main!A"&amp;MATCH(A60,Main!A:A,0),"Open"),HYPERLINK("#Main!A1","Open"))</f>
        <v/>
      </c>
    </row>
    <row r="61" ht="30" customHeight="1">
      <c r="A61" s="33" t="inlineStr">
        <is>
          <t>https://africanmarketingconfederation.org/amc-conference-2024-sponsors-packages/</t>
        </is>
      </c>
      <c r="B61" s="4" t="n">
        <v>200</v>
      </c>
      <c r="C61" s="6" t="inlineStr">
        <is>
          <t>2xx</t>
        </is>
      </c>
      <c r="D61" s="4" t="inlineStr">
        <is>
          <t>Indexable</t>
        </is>
      </c>
      <c r="E61" s="30" t="inlineStr">
        <is>
          <t>Indexable</t>
        </is>
      </c>
      <c r="F61" s="6" t="n"/>
      <c r="G61" s="30" t="n"/>
      <c r="H61" s="6" t="n"/>
      <c r="I61" s="6" t="n"/>
      <c r="J61" s="6" t="n"/>
      <c r="K61" s="30" t="inlineStr">
        <is>
          <t>https://africanmarketingconfederation.org/amc-conference-2024-sponsors-packages/</t>
        </is>
      </c>
      <c r="L61">
        <f>IFERROR(HYPERLINK("#Main!A"&amp;MATCH(A61,Main!A:A,0),"Open"),HYPERLINK("#Main!A1","Open"))</f>
        <v/>
      </c>
    </row>
    <row r="62" ht="30" customHeight="1">
      <c r="A62" s="33" t="inlineStr">
        <is>
          <t>https://africanmarketingconfederation.org/elementor-16548/</t>
        </is>
      </c>
      <c r="B62" s="4" t="n">
        <v>200</v>
      </c>
      <c r="C62" s="24" t="inlineStr">
        <is>
          <t>2xx</t>
        </is>
      </c>
      <c r="D62" s="4" t="inlineStr">
        <is>
          <t>Indexable</t>
        </is>
      </c>
      <c r="E62" s="27" t="inlineStr">
        <is>
          <t>Indexable</t>
        </is>
      </c>
      <c r="F62" s="24" t="n"/>
      <c r="G62" s="27" t="n"/>
      <c r="H62" s="24" t="n"/>
      <c r="I62" s="24" t="n"/>
      <c r="J62" s="24" t="n"/>
      <c r="K62" s="27" t="inlineStr">
        <is>
          <t>https://africanmarketingconfederation.org/elementor-16548/</t>
        </is>
      </c>
      <c r="L62">
        <f>IFERROR(HYPERLINK("#Main!A"&amp;MATCH(A62,Main!A:A,0),"Open"),HYPERLINK("#Main!A1","Open"))</f>
        <v/>
      </c>
    </row>
    <row r="63" ht="30" customHeight="1">
      <c r="A63" s="33" t="inlineStr">
        <is>
          <t>https://africanmarketingconfederation.org/amc-marketing-conference-2024/programme-2024/</t>
        </is>
      </c>
      <c r="B63" s="4" t="n">
        <v>200</v>
      </c>
      <c r="C63" s="6" t="inlineStr">
        <is>
          <t>2xx</t>
        </is>
      </c>
      <c r="D63" s="4" t="inlineStr">
        <is>
          <t>Indexable</t>
        </is>
      </c>
      <c r="E63" s="30" t="inlineStr">
        <is>
          <t>Indexable</t>
        </is>
      </c>
      <c r="F63" s="6" t="n"/>
      <c r="G63" s="30" t="n"/>
      <c r="H63" s="6" t="n"/>
      <c r="I63" s="6" t="n"/>
      <c r="J63" s="6" t="n"/>
      <c r="K63" s="30" t="inlineStr">
        <is>
          <t>https://africanmarketingconfederation.org/amc-marketing-conference-2024/programme-2024/</t>
        </is>
      </c>
      <c r="L63">
        <f>IFERROR(HYPERLINK("#Main!A"&amp;MATCH(A63,Main!A:A,0),"Open"),HYPERLINK("#Main!A1","Open"))</f>
        <v/>
      </c>
    </row>
    <row r="64" ht="30" customHeight="1">
      <c r="A64" s="33" t="inlineStr">
        <is>
          <t>https://africanmarketingconfederation.org/amc-conference-2023/programme/</t>
        </is>
      </c>
      <c r="B64" s="4" t="n">
        <v>200</v>
      </c>
      <c r="C64" s="24" t="inlineStr">
        <is>
          <t>2xx</t>
        </is>
      </c>
      <c r="D64" s="4" t="inlineStr">
        <is>
          <t>Indexable</t>
        </is>
      </c>
      <c r="E64" s="27" t="inlineStr">
        <is>
          <t>Indexable</t>
        </is>
      </c>
      <c r="F64" s="24" t="n"/>
      <c r="G64" s="27" t="n"/>
      <c r="H64" s="24" t="n"/>
      <c r="I64" s="24" t="n"/>
      <c r="J64" s="24" t="n"/>
      <c r="K64" s="27" t="inlineStr">
        <is>
          <t>https://africanmarketingconfederation.org/amc-conference-2023/programme/</t>
        </is>
      </c>
      <c r="L64">
        <f>IFERROR(HYPERLINK("#Main!A"&amp;MATCH(A64,Main!A:A,0),"Open"),HYPERLINK("#Main!A1","Open"))</f>
        <v/>
      </c>
    </row>
    <row r="65" ht="30" customHeight="1">
      <c r="A65" s="33" t="inlineStr">
        <is>
          <t>https://africanmarketingconfederation.org/amc-conference-2023/amc-awards/</t>
        </is>
      </c>
      <c r="B65" s="4" t="n">
        <v>200</v>
      </c>
      <c r="C65" s="6" t="inlineStr">
        <is>
          <t>2xx</t>
        </is>
      </c>
      <c r="D65" s="4" t="inlineStr">
        <is>
          <t>Indexable</t>
        </is>
      </c>
      <c r="E65" s="30" t="inlineStr">
        <is>
          <t>Indexable</t>
        </is>
      </c>
      <c r="F65" s="6" t="n"/>
      <c r="G65" s="30" t="n"/>
      <c r="H65" s="6" t="n"/>
      <c r="I65" s="6" t="n"/>
      <c r="J65" s="6" t="n"/>
      <c r="K65" s="30" t="inlineStr">
        <is>
          <t>https://africanmarketingconfederation.org/amc-conference-2023/amc-awards/</t>
        </is>
      </c>
      <c r="L65">
        <f>IFERROR(HYPERLINK("#Main!A"&amp;MATCH(A65,Main!A:A,0),"Open"),HYPERLINK("#Main!A1","Open"))</f>
        <v/>
      </c>
    </row>
    <row r="66" ht="30" customHeight="1">
      <c r="A66" s="33" t="inlineStr">
        <is>
          <t>https://africanmarketingconfederation.org/amc-conference-2023/partners/</t>
        </is>
      </c>
      <c r="B66" s="4" t="n">
        <v>200</v>
      </c>
      <c r="C66" s="24" t="inlineStr">
        <is>
          <t>2xx</t>
        </is>
      </c>
      <c r="D66" s="4" t="inlineStr">
        <is>
          <t>Indexable</t>
        </is>
      </c>
      <c r="E66" s="27" t="inlineStr">
        <is>
          <t>Indexable</t>
        </is>
      </c>
      <c r="F66" s="24" t="n"/>
      <c r="G66" s="27" t="n"/>
      <c r="H66" s="24" t="n"/>
      <c r="I66" s="24" t="n"/>
      <c r="J66" s="24" t="n"/>
      <c r="K66" s="27" t="inlineStr">
        <is>
          <t>https://africanmarketingconfederation.org/amc-conference-2023/partners/</t>
        </is>
      </c>
      <c r="L66">
        <f>IFERROR(HYPERLINK("#Main!A"&amp;MATCH(A66,Main!A:A,0),"Open"),HYPERLINK("#Main!A1","Open"))</f>
        <v/>
      </c>
    </row>
    <row r="67" ht="30" customHeight="1">
      <c r="A67" s="33" t="inlineStr">
        <is>
          <t>https://africanmarketingconfederation.org/amc-conference-2023/speakers/</t>
        </is>
      </c>
      <c r="B67" s="4" t="n">
        <v>200</v>
      </c>
      <c r="C67" s="6" t="inlineStr">
        <is>
          <t>2xx</t>
        </is>
      </c>
      <c r="D67" s="4" t="inlineStr">
        <is>
          <t>Indexable</t>
        </is>
      </c>
      <c r="E67" s="30" t="inlineStr">
        <is>
          <t>Indexable</t>
        </is>
      </c>
      <c r="F67" s="6" t="n"/>
      <c r="G67" s="30" t="n"/>
      <c r="H67" s="6" t="n"/>
      <c r="I67" s="6" t="n"/>
      <c r="J67" s="6" t="n"/>
      <c r="K67" s="30" t="inlineStr">
        <is>
          <t>https://africanmarketingconfederation.org/amc-conference-2023/speakers/</t>
        </is>
      </c>
      <c r="L67">
        <f>IFERROR(HYPERLINK("#Main!A"&amp;MATCH(A67,Main!A:A,0),"Open"),HYPERLINK("#Main!A1","Open"))</f>
        <v/>
      </c>
    </row>
    <row r="68" ht="30" customHeight="1">
      <c r="A68" s="33" t="inlineStr">
        <is>
          <t>https://africanmarketingconfederation.org/chartered-marketer-africa-thank-you/</t>
        </is>
      </c>
      <c r="B68" s="4" t="n">
        <v>200</v>
      </c>
      <c r="C68" s="24" t="inlineStr">
        <is>
          <t>2xx</t>
        </is>
      </c>
      <c r="D68" s="4" t="inlineStr">
        <is>
          <t>Indexable</t>
        </is>
      </c>
      <c r="E68" s="27" t="inlineStr">
        <is>
          <t>Indexable</t>
        </is>
      </c>
      <c r="F68" s="24" t="n"/>
      <c r="G68" s="27" t="n"/>
      <c r="H68" s="24" t="n"/>
      <c r="I68" s="24" t="n"/>
      <c r="J68" s="24" t="n"/>
      <c r="K68" s="27" t="inlineStr">
        <is>
          <t>https://africanmarketingconfederation.org/chartered-marketer-africa-thank-you/</t>
        </is>
      </c>
      <c r="L68">
        <f>IFERROR(HYPERLINK("#Main!A"&amp;MATCH(A68,Main!A:A,0),"Open"),HYPERLINK("#Main!A1","Open"))</f>
        <v/>
      </c>
    </row>
    <row r="69" ht="30" customHeight="1">
      <c r="A69" s="33" t="inlineStr">
        <is>
          <t>https://africanmarketingconfederation.org/amc-conference-2023/amc-awards-book-now/</t>
        </is>
      </c>
      <c r="B69" s="4" t="n">
        <v>200</v>
      </c>
      <c r="C69" s="6" t="inlineStr">
        <is>
          <t>2xx</t>
        </is>
      </c>
      <c r="D69" s="4" t="inlineStr">
        <is>
          <t>Indexable</t>
        </is>
      </c>
      <c r="E69" s="30" t="inlineStr">
        <is>
          <t>Indexable</t>
        </is>
      </c>
      <c r="F69" s="6" t="n"/>
      <c r="G69" s="30" t="n"/>
      <c r="H69" s="6" t="n"/>
      <c r="I69" s="6" t="n"/>
      <c r="J69" s="6" t="n"/>
      <c r="K69" s="30" t="inlineStr">
        <is>
          <t>https://africanmarketingconfederation.org/amc-conference-2023/amc-awards-book-now/</t>
        </is>
      </c>
      <c r="L69">
        <f>IFERROR(HYPERLINK("#Main!A"&amp;MATCH(A69,Main!A:A,0),"Open"),HYPERLINK("#Main!A1","Open"))</f>
        <v/>
      </c>
    </row>
    <row r="70" ht="30" customHeight="1">
      <c r="A70" s="33" t="inlineStr">
        <is>
          <t>https://africanmarketingconfederation.org/amc-conference-2023/book-now/</t>
        </is>
      </c>
      <c r="B70" s="4" t="n">
        <v>200</v>
      </c>
      <c r="C70" s="24" t="inlineStr">
        <is>
          <t>2xx</t>
        </is>
      </c>
      <c r="D70" s="4" t="inlineStr">
        <is>
          <t>Indexable</t>
        </is>
      </c>
      <c r="E70" s="27" t="inlineStr">
        <is>
          <t>Indexable</t>
        </is>
      </c>
      <c r="F70" s="24" t="n"/>
      <c r="G70" s="27" t="n"/>
      <c r="H70" s="24" t="n"/>
      <c r="I70" s="24" t="n"/>
      <c r="J70" s="24" t="n"/>
      <c r="K70" s="27" t="inlineStr">
        <is>
          <t>https://africanmarketingconfederation.org/amc-conference-2023/book-now/</t>
        </is>
      </c>
      <c r="L70">
        <f>IFERROR(HYPERLINK("#Main!A"&amp;MATCH(A70,Main!A:A,0),"Open"),HYPERLINK("#Main!A1","Open"))</f>
        <v/>
      </c>
    </row>
    <row r="71" ht="30" customHeight="1">
      <c r="A71" s="33" t="inlineStr">
        <is>
          <t>https://africanmarketingconfederation.org/amc-conference-2023/download-prospectus/</t>
        </is>
      </c>
      <c r="B71" s="4" t="n">
        <v>200</v>
      </c>
      <c r="C71" s="6" t="inlineStr">
        <is>
          <t>2xx</t>
        </is>
      </c>
      <c r="D71" s="4" t="inlineStr">
        <is>
          <t>Indexable</t>
        </is>
      </c>
      <c r="E71" s="30" t="inlineStr">
        <is>
          <t>Indexable</t>
        </is>
      </c>
      <c r="F71" s="6" t="n"/>
      <c r="G71" s="30" t="n"/>
      <c r="H71" s="6" t="n"/>
      <c r="I71" s="6" t="n"/>
      <c r="J71" s="6" t="n"/>
      <c r="K71" s="30" t="inlineStr">
        <is>
          <t>https://africanmarketingconfederation.org/amc-conference-2023/download-prospectus/</t>
        </is>
      </c>
      <c r="L71">
        <f>IFERROR(HYPERLINK("#Main!A"&amp;MATCH(A71,Main!A:A,0),"Open"),HYPERLINK("#Main!A1","Open"))</f>
        <v/>
      </c>
    </row>
    <row r="72" ht="30" customHeight="1">
      <c r="A72" s="33" t="inlineStr">
        <is>
          <t>https://africanmarketingconfederation.org/thank-you-for-subscribing/</t>
        </is>
      </c>
      <c r="B72" s="4" t="n">
        <v>200</v>
      </c>
      <c r="C72" s="24" t="inlineStr">
        <is>
          <t>2xx</t>
        </is>
      </c>
      <c r="D72" s="4" t="inlineStr">
        <is>
          <t>Indexable</t>
        </is>
      </c>
      <c r="E72" s="27" t="inlineStr">
        <is>
          <t>Indexable</t>
        </is>
      </c>
      <c r="F72" s="24" t="n"/>
      <c r="G72" s="27" t="n"/>
      <c r="H72" s="24" t="n"/>
      <c r="I72" s="24" t="n"/>
      <c r="J72" s="24" t="n"/>
      <c r="K72" s="27" t="inlineStr">
        <is>
          <t>https://africanmarketingconfederation.org/thank-you-for-subscribing/</t>
        </is>
      </c>
      <c r="L72">
        <f>IFERROR(HYPERLINK("#Main!A"&amp;MATCH(A72,Main!A:A,0),"Open"),HYPERLINK("#Main!A1","Open"))</f>
        <v/>
      </c>
    </row>
    <row r="73" ht="30" customHeight="1">
      <c r="A73" s="33" t="inlineStr">
        <is>
          <t>https://africanmarketingconfederation.org/amc-conference-2023/book-now-thank-you/</t>
        </is>
      </c>
      <c r="B73" s="4" t="n">
        <v>200</v>
      </c>
      <c r="C73" s="6" t="inlineStr">
        <is>
          <t>2xx</t>
        </is>
      </c>
      <c r="D73" s="4" t="inlineStr">
        <is>
          <t>Indexable</t>
        </is>
      </c>
      <c r="E73" s="30" t="inlineStr">
        <is>
          <t>Indexable</t>
        </is>
      </c>
      <c r="F73" s="6" t="n"/>
      <c r="G73" s="30" t="n"/>
      <c r="H73" s="6" t="n"/>
      <c r="I73" s="6" t="n"/>
      <c r="J73" s="6" t="n"/>
      <c r="K73" s="30" t="inlineStr">
        <is>
          <t>https://africanmarketingconfederation.org/amc-conference-2023/book-now-thank-you/</t>
        </is>
      </c>
      <c r="L73">
        <f>IFERROR(HYPERLINK("#Main!A"&amp;MATCH(A73,Main!A:A,0),"Open"),HYPERLINK("#Main!A1","Open"))</f>
        <v/>
      </c>
    </row>
    <row r="74" ht="30" customHeight="1">
      <c r="A74" s="33" t="inlineStr">
        <is>
          <t>https://africanmarketingconfederation.org/upcoming-events/</t>
        </is>
      </c>
      <c r="B74" s="4" t="n">
        <v>200</v>
      </c>
      <c r="C74" s="24" t="inlineStr">
        <is>
          <t>2xx</t>
        </is>
      </c>
      <c r="D74" s="4" t="inlineStr">
        <is>
          <t>Indexable</t>
        </is>
      </c>
      <c r="E74" s="27" t="inlineStr">
        <is>
          <t>Indexable</t>
        </is>
      </c>
      <c r="F74" s="24" t="n"/>
      <c r="G74" s="27" t="n"/>
      <c r="H74" s="24" t="n"/>
      <c r="I74" s="24" t="n"/>
      <c r="J74" s="24" t="n"/>
      <c r="K74" s="27" t="inlineStr">
        <is>
          <t>https://africanmarketingconfederation.org/upcoming-events/</t>
        </is>
      </c>
      <c r="L74">
        <f>IFERROR(HYPERLINK("#Main!A"&amp;MATCH(A74,Main!A:A,0),"Open"),HYPERLINK("#Main!A1","Open"))</f>
        <v/>
      </c>
    </row>
    <row r="75" ht="30" customHeight="1">
      <c r="A75" s="33" t="inlineStr">
        <is>
          <t>https://africanmarketingconfederation.org/amc-conference-thank-you/</t>
        </is>
      </c>
      <c r="B75" s="4" t="n">
        <v>200</v>
      </c>
      <c r="C75" s="6" t="inlineStr">
        <is>
          <t>2xx</t>
        </is>
      </c>
      <c r="D75" s="4" t="inlineStr">
        <is>
          <t>Indexable</t>
        </is>
      </c>
      <c r="E75" s="30" t="inlineStr">
        <is>
          <t>Indexable</t>
        </is>
      </c>
      <c r="F75" s="6" t="n"/>
      <c r="G75" s="30" t="n"/>
      <c r="H75" s="6" t="n"/>
      <c r="I75" s="6" t="n"/>
      <c r="J75" s="6" t="n"/>
      <c r="K75" s="30" t="inlineStr">
        <is>
          <t>https://africanmarketingconfederation.org/amc-conference-thank-you/</t>
        </is>
      </c>
      <c r="L75">
        <f>IFERROR(HYPERLINK("#Main!A"&amp;MATCH(A75,Main!A:A,0),"Open"),HYPERLINK("#Main!A1","Open"))</f>
        <v/>
      </c>
    </row>
    <row r="76" ht="30" customHeight="1">
      <c r="A76" s="33" t="inlineStr">
        <is>
          <t>https://africanmarketingconfederation.org/amc-masterclass/</t>
        </is>
      </c>
      <c r="B76" s="4" t="n">
        <v>200</v>
      </c>
      <c r="C76" s="24" t="inlineStr">
        <is>
          <t>2xx</t>
        </is>
      </c>
      <c r="D76" s="4" t="inlineStr">
        <is>
          <t>Indexable</t>
        </is>
      </c>
      <c r="E76" s="27" t="inlineStr">
        <is>
          <t>Indexable</t>
        </is>
      </c>
      <c r="F76" s="24" t="n"/>
      <c r="G76" s="27" t="n"/>
      <c r="H76" s="24" t="n"/>
      <c r="I76" s="24" t="n"/>
      <c r="J76" s="24" t="n"/>
      <c r="K76" s="27" t="inlineStr">
        <is>
          <t>https://africanmarketingconfederation.org/amc-masterclass/</t>
        </is>
      </c>
      <c r="L76">
        <f>IFERROR(HYPERLINK("#Main!A"&amp;MATCH(A76,Main!A:A,0),"Open"),HYPERLINK("#Main!A1","Open"))</f>
        <v/>
      </c>
    </row>
    <row r="77" ht="30" customHeight="1">
      <c r="A77" s="33" t="inlineStr">
        <is>
          <t>https://africanmarketingconfederation.org/amc-relaunch-programme/</t>
        </is>
      </c>
      <c r="B77" s="4" t="n">
        <v>200</v>
      </c>
      <c r="C77" s="6" t="inlineStr">
        <is>
          <t>2xx</t>
        </is>
      </c>
      <c r="D77" s="4" t="inlineStr">
        <is>
          <t>Indexable</t>
        </is>
      </c>
      <c r="E77" s="30" t="inlineStr">
        <is>
          <t>Indexable</t>
        </is>
      </c>
      <c r="F77" s="6" t="n"/>
      <c r="G77" s="30" t="n"/>
      <c r="H77" s="6" t="n"/>
      <c r="I77" s="6" t="n"/>
      <c r="J77" s="6" t="n"/>
      <c r="K77" s="30" t="inlineStr">
        <is>
          <t>https://africanmarketingconfederation.org/amc-relaunch-programme/</t>
        </is>
      </c>
      <c r="L77">
        <f>IFERROR(HYPERLINK("#Main!A"&amp;MATCH(A77,Main!A:A,0),"Open"),HYPERLINK("#Main!A1","Open"))</f>
        <v/>
      </c>
    </row>
    <row r="78" ht="30" customHeight="1">
      <c r="A78" s="33" t="inlineStr">
        <is>
          <t>https://africanmarketingconfederation.org/amc-masterclass-thank-you/</t>
        </is>
      </c>
      <c r="B78" s="4" t="n">
        <v>200</v>
      </c>
      <c r="C78" s="24" t="inlineStr">
        <is>
          <t>2xx</t>
        </is>
      </c>
      <c r="D78" s="4" t="inlineStr">
        <is>
          <t>Indexable</t>
        </is>
      </c>
      <c r="E78" s="27" t="inlineStr">
        <is>
          <t>Indexable</t>
        </is>
      </c>
      <c r="F78" s="24" t="n"/>
      <c r="G78" s="27" t="n"/>
      <c r="H78" s="24" t="n"/>
      <c r="I78" s="24" t="n"/>
      <c r="J78" s="24" t="n"/>
      <c r="K78" s="27" t="inlineStr">
        <is>
          <t>https://africanmarketingconfederation.org/amc-masterclass-thank-you/</t>
        </is>
      </c>
      <c r="L78">
        <f>IFERROR(HYPERLINK("#Main!A"&amp;MATCH(A78,Main!A:A,0),"Open"),HYPERLINK("#Main!A1","Open"))</f>
        <v/>
      </c>
    </row>
    <row r="79" ht="30" customHeight="1">
      <c r="A79" s="33" t="inlineStr">
        <is>
          <t>https://africanmarketingconfederation.org/amc-masterclass-bookings/</t>
        </is>
      </c>
      <c r="B79" s="4" t="n">
        <v>200</v>
      </c>
      <c r="C79" s="6" t="inlineStr">
        <is>
          <t>2xx</t>
        </is>
      </c>
      <c r="D79" s="4" t="inlineStr">
        <is>
          <t>Indexable</t>
        </is>
      </c>
      <c r="E79" s="30" t="inlineStr">
        <is>
          <t>Indexable</t>
        </is>
      </c>
      <c r="F79" s="6" t="n"/>
      <c r="G79" s="30" t="n"/>
      <c r="H79" s="6" t="n"/>
      <c r="I79" s="6" t="n"/>
      <c r="J79" s="6" t="n"/>
      <c r="K79" s="30" t="inlineStr">
        <is>
          <t>https://africanmarketingconfederation.org/amc-masterclass-bookings/</t>
        </is>
      </c>
      <c r="L79">
        <f>IFERROR(HYPERLINK("#Main!A"&amp;MATCH(A79,Main!A:A,0),"Open"),HYPERLINK("#Main!A1","Open"))</f>
        <v/>
      </c>
    </row>
    <row r="80" ht="30" customHeight="1">
      <c r="A80" s="33" t="inlineStr">
        <is>
          <t>https://africanmarketingconfederation.org/amc-conference-programme/</t>
        </is>
      </c>
      <c r="B80" s="4" t="n">
        <v>200</v>
      </c>
      <c r="C80" s="24" t="inlineStr">
        <is>
          <t>2xx</t>
        </is>
      </c>
      <c r="D80" s="4" t="inlineStr">
        <is>
          <t>Indexable</t>
        </is>
      </c>
      <c r="E80" s="27" t="inlineStr">
        <is>
          <t>Indexable</t>
        </is>
      </c>
      <c r="F80" s="24" t="n"/>
      <c r="G80" s="27" t="n"/>
      <c r="H80" s="24" t="n"/>
      <c r="I80" s="24" t="n"/>
      <c r="J80" s="24" t="n"/>
      <c r="K80" s="27" t="inlineStr">
        <is>
          <t>https://africanmarketingconfederation.org/amc-conference-programme/</t>
        </is>
      </c>
      <c r="L80">
        <f>IFERROR(HYPERLINK("#Main!A"&amp;MATCH(A80,Main!A:A,0),"Open"),HYPERLINK("#Main!A1","Open"))</f>
        <v/>
      </c>
    </row>
    <row r="81" ht="30" customHeight="1">
      <c r="A81" s="33" t="inlineStr">
        <is>
          <t>https://africanmarketingconfederation.org/test-homeslider/</t>
        </is>
      </c>
      <c r="B81" s="4" t="n">
        <v>200</v>
      </c>
      <c r="C81" s="6" t="inlineStr">
        <is>
          <t>2xx</t>
        </is>
      </c>
      <c r="D81" s="4" t="inlineStr">
        <is>
          <t>Indexable</t>
        </is>
      </c>
      <c r="E81" s="30" t="inlineStr">
        <is>
          <t>Indexable</t>
        </is>
      </c>
      <c r="F81" s="6" t="n"/>
      <c r="G81" s="30" t="n"/>
      <c r="H81" s="6" t="n"/>
      <c r="I81" s="6" t="n"/>
      <c r="J81" s="6" t="n"/>
      <c r="K81" s="30" t="inlineStr">
        <is>
          <t>https://africanmarketingconfederation.org/test-homeslider/</t>
        </is>
      </c>
      <c r="L81">
        <f>IFERROR(HYPERLINK("#Main!A"&amp;MATCH(A81,Main!A:A,0),"Open"),HYPERLINK("#Main!A1","Open"))</f>
        <v/>
      </c>
    </row>
    <row r="82" ht="30" customHeight="1">
      <c r="A82" s="33" t="inlineStr">
        <is>
          <t>https://africanmarketingconfederation.org/virtual-programme/</t>
        </is>
      </c>
      <c r="B82" s="4" t="n">
        <v>200</v>
      </c>
      <c r="C82" s="24" t="inlineStr">
        <is>
          <t>2xx</t>
        </is>
      </c>
      <c r="D82" s="4" t="inlineStr">
        <is>
          <t>Indexable</t>
        </is>
      </c>
      <c r="E82" s="27" t="inlineStr">
        <is>
          <t>Indexable</t>
        </is>
      </c>
      <c r="F82" s="24" t="n"/>
      <c r="G82" s="27" t="n"/>
      <c r="H82" s="24" t="n"/>
      <c r="I82" s="24" t="n"/>
      <c r="J82" s="24" t="n"/>
      <c r="K82" s="27" t="inlineStr">
        <is>
          <t>https://africanmarketingconfederation.org/virtual-programme/</t>
        </is>
      </c>
      <c r="L82">
        <f>IFERROR(HYPERLINK("#Main!A"&amp;MATCH(A82,Main!A:A,0),"Open"),HYPERLINK("#Main!A1","Open"))</f>
        <v/>
      </c>
    </row>
    <row r="83" ht="30" customHeight="1">
      <c r="A83" s="33" t="inlineStr">
        <is>
          <t>https://africanmarketingconfederation.org/general-enquiry-form-thank-you/</t>
        </is>
      </c>
      <c r="B83" s="4" t="n">
        <v>200</v>
      </c>
      <c r="C83" s="6" t="inlineStr">
        <is>
          <t>2xx</t>
        </is>
      </c>
      <c r="D83" s="4" t="inlineStr">
        <is>
          <t>Indexable</t>
        </is>
      </c>
      <c r="E83" s="30" t="inlineStr">
        <is>
          <t>Indexable</t>
        </is>
      </c>
      <c r="F83" s="6" t="n"/>
      <c r="G83" s="30" t="n"/>
      <c r="H83" s="6" t="n"/>
      <c r="I83" s="6" t="n"/>
      <c r="J83" s="6" t="n"/>
      <c r="K83" s="30" t="inlineStr">
        <is>
          <t>https://africanmarketingconfederation.org/general-enquiry-form-thank-you/</t>
        </is>
      </c>
      <c r="L83">
        <f>IFERROR(HYPERLINK("#Main!A"&amp;MATCH(A83,Main!A:A,0),"Open"),HYPERLINK("#Main!A1","Open"))</f>
        <v/>
      </c>
    </row>
    <row r="84" ht="30" customHeight="1">
      <c r="A84" s="33" t="inlineStr">
        <is>
          <t>https://africanmarketingconfederation.org/amc-conference-2022-thank-you/</t>
        </is>
      </c>
      <c r="B84" s="4" t="n">
        <v>200</v>
      </c>
      <c r="C84" s="24" t="inlineStr">
        <is>
          <t>2xx</t>
        </is>
      </c>
      <c r="D84" s="4" t="inlineStr">
        <is>
          <t>Indexable</t>
        </is>
      </c>
      <c r="E84" s="27" t="inlineStr">
        <is>
          <t>Indexable</t>
        </is>
      </c>
      <c r="F84" s="24" t="n"/>
      <c r="G84" s="27" t="n"/>
      <c r="H84" s="24" t="n"/>
      <c r="I84" s="24" t="n"/>
      <c r="J84" s="24" t="n"/>
      <c r="K84" s="27" t="inlineStr">
        <is>
          <t>https://africanmarketingconfederation.org/amc-conference-2022-thank-you/</t>
        </is>
      </c>
      <c r="L84">
        <f>IFERROR(HYPERLINK("#Main!A"&amp;MATCH(A84,Main!A:A,0),"Open"),HYPERLINK("#Main!A1","Open"))</f>
        <v/>
      </c>
    </row>
    <row r="85" ht="30" customHeight="1">
      <c r="A85" s="33" t="inlineStr">
        <is>
          <t>https://africanmarketingconfederation.org/privacy-policy/</t>
        </is>
      </c>
      <c r="B85" s="4" t="n">
        <v>200</v>
      </c>
      <c r="C85" s="6" t="inlineStr">
        <is>
          <t>2xx</t>
        </is>
      </c>
      <c r="D85" s="4" t="inlineStr">
        <is>
          <t>Indexable</t>
        </is>
      </c>
      <c r="E85" s="30" t="inlineStr">
        <is>
          <t>Indexable</t>
        </is>
      </c>
      <c r="F85" s="6" t="n"/>
      <c r="G85" s="30" t="n"/>
      <c r="H85" s="6" t="n"/>
      <c r="I85" s="6" t="n"/>
      <c r="J85" s="6" t="n"/>
      <c r="K85" s="30" t="inlineStr">
        <is>
          <t>https://africanmarketingconfederation.org/privacy-policy/</t>
        </is>
      </c>
      <c r="L85">
        <f>IFERROR(HYPERLINK("#Main!A"&amp;MATCH(A85,Main!A:A,0),"Open"),HYPERLINK("#Main!A1","Open"))</f>
        <v/>
      </c>
    </row>
    <row r="86" ht="30" customHeight="1">
      <c r="A86" s="33" t="inlineStr">
        <is>
          <t>https://africanmarketingconfederation.org/speakers/</t>
        </is>
      </c>
      <c r="B86" s="4" t="n">
        <v>200</v>
      </c>
      <c r="C86" s="24" t="inlineStr">
        <is>
          <t>2xx</t>
        </is>
      </c>
      <c r="D86" s="4" t="inlineStr">
        <is>
          <t>Indexable</t>
        </is>
      </c>
      <c r="E86" s="27" t="inlineStr">
        <is>
          <t>Indexable</t>
        </is>
      </c>
      <c r="F86" s="24" t="n"/>
      <c r="G86" s="27" t="n"/>
      <c r="H86" s="24" t="n"/>
      <c r="I86" s="24" t="n"/>
      <c r="J86" s="24" t="n"/>
      <c r="K86" s="27" t="inlineStr">
        <is>
          <t>https://africanmarketingconfederation.org/speakers/</t>
        </is>
      </c>
      <c r="L86">
        <f>IFERROR(HYPERLINK("#Main!A"&amp;MATCH(A86,Main!A:A,0),"Open"),HYPERLINK("#Main!A1","Open"))</f>
        <v/>
      </c>
    </row>
  </sheetData>
  <autoFilter ref="A1:K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3" t="inlineStr">
        <is>
          <t>URL</t>
        </is>
      </c>
      <c r="B1" s="3" t="inlineStr">
        <is>
          <t>Word Count</t>
        </is>
      </c>
      <c r="C1" s="3" t="inlineStr">
        <is>
          <t>Word Count Band</t>
        </is>
      </c>
      <c r="D1" s="3" t="inlineStr">
        <is>
          <t>Readability (Rough Flesch)</t>
        </is>
      </c>
      <c r="E1" s="3" t="inlineStr">
        <is>
          <t>H1 Count</t>
        </is>
      </c>
      <c r="F1" s="3" t="inlineStr">
        <is>
          <t>Missing H1 Flag</t>
        </is>
      </c>
      <c r="G1" s="3" t="inlineStr">
        <is>
          <t>Multiple H1 Flag</t>
        </is>
      </c>
      <c r="H1" s="3" t="inlineStr">
        <is>
          <t>Title Missing</t>
        </is>
      </c>
      <c r="I1" s="3" t="inlineStr">
        <is>
          <t>Meta Description Missing</t>
        </is>
      </c>
      <c r="J1" s="3" t="inlineStr">
        <is>
          <t>Thin Content Flag</t>
        </is>
      </c>
      <c r="K1" s="3" t="inlineStr">
        <is>
          <t>Sentence Count</t>
        </is>
      </c>
      <c r="L1" s="3" t="inlineStr">
        <is>
          <t>Body Text-to-HTML Ratio</t>
        </is>
      </c>
      <c r="M1" t="inlineStr">
        <is>
          <t>Open in Main</t>
        </is>
      </c>
      <c r="N1" s="23" t="inlineStr">
        <is>
          <t>BACK TO DASHBOARD</t>
        </is>
      </c>
    </row>
    <row r="2">
      <c r="A2" s="33" t="inlineStr">
        <is>
          <t>https://africanmarketingconfederation.org/</t>
        </is>
      </c>
      <c r="B2" s="24" t="n">
        <v>1105</v>
      </c>
      <c r="C2" s="4" t="inlineStr">
        <is>
          <t>Strong</t>
        </is>
      </c>
      <c r="D2" s="24" t="n">
        <v>158.07</v>
      </c>
      <c r="E2" s="24" t="n">
        <v>5</v>
      </c>
      <c r="F2" s="4" t="b">
        <v>0</v>
      </c>
      <c r="G2" s="24" t="b">
        <v>1</v>
      </c>
      <c r="H2" s="4" t="b">
        <v>0</v>
      </c>
      <c r="I2" s="4" t="b">
        <v>0</v>
      </c>
      <c r="J2" s="4" t="b">
        <v>0</v>
      </c>
      <c r="K2" s="24" t="n">
        <v>23</v>
      </c>
      <c r="L2" s="24" t="b">
        <v>0</v>
      </c>
      <c r="M2">
        <f>IFERROR(HYPERLINK("#Main!A"&amp;MATCH(A2,Main!A:A,0),"Open"),HYPERLINK("#Main!A1","Open"))</f>
        <v/>
      </c>
    </row>
    <row r="3" ht="30" customHeight="1">
      <c r="A3" s="33" t="inlineStr">
        <is>
          <t>https://africanmarketingconfederation.org/publication-download-list/</t>
        </is>
      </c>
      <c r="B3" s="6" t="n">
        <v>179</v>
      </c>
      <c r="C3" s="32" t="inlineStr">
        <is>
          <t>Thin</t>
        </is>
      </c>
      <c r="D3" s="6" t="n">
        <v>115.99</v>
      </c>
      <c r="E3" s="6" t="n">
        <v>0</v>
      </c>
      <c r="F3" s="32" t="b">
        <v>1</v>
      </c>
      <c r="G3" s="6" t="b">
        <v>0</v>
      </c>
      <c r="H3" s="4" t="b">
        <v>0</v>
      </c>
      <c r="I3" s="4" t="b">
        <v>0</v>
      </c>
      <c r="J3" s="32" t="b">
        <v>1</v>
      </c>
      <c r="K3" s="6" t="n">
        <v>2</v>
      </c>
      <c r="L3" s="6" t="b">
        <v>1</v>
      </c>
      <c r="M3">
        <f>IFERROR(HYPERLINK("#Main!A"&amp;MATCH(A3,Main!A:A,0),"Open"),HYPERLINK("#Main!A1","Open"))</f>
        <v/>
      </c>
    </row>
    <row r="4" ht="30" customHeight="1">
      <c r="A4" s="33" t="inlineStr">
        <is>
          <t>https://africanmarketingconfederation.org/launch-event-2026-amc-conference/</t>
        </is>
      </c>
      <c r="B4" s="24" t="n">
        <v>235</v>
      </c>
      <c r="C4" s="32" t="inlineStr">
        <is>
          <t>Thin</t>
        </is>
      </c>
      <c r="D4" s="24" t="n">
        <v>172.76</v>
      </c>
      <c r="E4" s="24" t="n">
        <v>1</v>
      </c>
      <c r="F4" s="4" t="b">
        <v>0</v>
      </c>
      <c r="G4" s="24" t="b">
        <v>0</v>
      </c>
      <c r="H4" s="4" t="b">
        <v>0</v>
      </c>
      <c r="I4" s="4" t="b">
        <v>0</v>
      </c>
      <c r="J4" s="32" t="b">
        <v>1</v>
      </c>
      <c r="K4" s="24" t="n">
        <v>7</v>
      </c>
      <c r="L4" s="24" t="b">
        <v>1</v>
      </c>
      <c r="M4">
        <f>IFERROR(HYPERLINK("#Main!A"&amp;MATCH(A4,Main!A:A,0),"Open"),HYPERLINK("#Main!A1","Open"))</f>
        <v/>
      </c>
    </row>
    <row r="5" ht="30" customHeight="1">
      <c r="A5" s="33" t="inlineStr">
        <is>
          <t>https://africanmarketingconfederation.org/publications-2/</t>
        </is>
      </c>
      <c r="B5" s="6" t="n">
        <v>161</v>
      </c>
      <c r="C5" s="32" t="inlineStr">
        <is>
          <t>Thin</t>
        </is>
      </c>
      <c r="D5" s="6" t="n">
        <v>174.15</v>
      </c>
      <c r="E5" s="6" t="n">
        <v>1</v>
      </c>
      <c r="F5" s="4" t="b">
        <v>0</v>
      </c>
      <c r="G5" s="6" t="b">
        <v>0</v>
      </c>
      <c r="H5" s="4" t="b">
        <v>0</v>
      </c>
      <c r="I5" s="4" t="b">
        <v>0</v>
      </c>
      <c r="J5" s="32" t="b">
        <v>1</v>
      </c>
      <c r="K5" s="6" t="n">
        <v>5</v>
      </c>
      <c r="L5" s="6" t="b">
        <v>1</v>
      </c>
      <c r="M5">
        <f>IFERROR(HYPERLINK("#Main!A"&amp;MATCH(A5,Main!A:A,0),"Open"),HYPERLINK("#Main!A1","Open"))</f>
        <v/>
      </c>
    </row>
    <row r="6" ht="30" customHeight="1">
      <c r="A6" s="33" t="inlineStr">
        <is>
          <t>https://africanmarketingconfederation.org/certified-professional-marketer-africa/</t>
        </is>
      </c>
      <c r="B6" s="24" t="n">
        <v>949</v>
      </c>
      <c r="C6" s="4" t="inlineStr">
        <is>
          <t>Strong</t>
        </is>
      </c>
      <c r="D6" s="24" t="n">
        <v>172.43</v>
      </c>
      <c r="E6" s="24" t="n">
        <v>0</v>
      </c>
      <c r="F6" s="32" t="b">
        <v>1</v>
      </c>
      <c r="G6" s="24" t="b">
        <v>0</v>
      </c>
      <c r="H6" s="4" t="b">
        <v>0</v>
      </c>
      <c r="I6" s="4" t="b">
        <v>0</v>
      </c>
      <c r="J6" s="4" t="b">
        <v>0</v>
      </c>
      <c r="K6" s="24" t="n">
        <v>28</v>
      </c>
      <c r="L6" s="24" t="b">
        <v>0</v>
      </c>
      <c r="M6">
        <f>IFERROR(HYPERLINK("#Main!A"&amp;MATCH(A6,Main!A:A,0),"Open"),HYPERLINK("#Main!A1","Open"))</f>
        <v/>
      </c>
    </row>
    <row r="7" ht="30" customHeight="1">
      <c r="A7" s="33" t="inlineStr">
        <is>
          <t>https://africanmarketingconfederation.org/chartered-marketer-africa/</t>
        </is>
      </c>
      <c r="B7" s="6" t="n">
        <v>375</v>
      </c>
      <c r="C7" s="25" t="inlineStr">
        <is>
          <t>OK</t>
        </is>
      </c>
      <c r="D7" s="6" t="n">
        <v>181.46</v>
      </c>
      <c r="E7" s="6" t="n">
        <v>1</v>
      </c>
      <c r="F7" s="4" t="b">
        <v>0</v>
      </c>
      <c r="G7" s="6" t="b">
        <v>0</v>
      </c>
      <c r="H7" s="4" t="b">
        <v>0</v>
      </c>
      <c r="I7" s="4" t="b">
        <v>0</v>
      </c>
      <c r="J7" s="4" t="b">
        <v>0</v>
      </c>
      <c r="K7" s="6" t="n">
        <v>15</v>
      </c>
      <c r="L7" s="6" t="b">
        <v>0</v>
      </c>
      <c r="M7">
        <f>IFERROR(HYPERLINK("#Main!A"&amp;MATCH(A7,Main!A:A,0),"Open"),HYPERLINK("#Main!A1","Open"))</f>
        <v/>
      </c>
    </row>
    <row r="8" ht="30" customHeight="1">
      <c r="A8" s="33" t="inlineStr">
        <is>
          <t>https://africanmarketingconfederation.org/amc-conference-2026/</t>
        </is>
      </c>
      <c r="B8" s="24" t="n">
        <v>1196</v>
      </c>
      <c r="C8" s="4" t="inlineStr">
        <is>
          <t>Strong</t>
        </is>
      </c>
      <c r="D8" s="24" t="n">
        <v>167.68</v>
      </c>
      <c r="E8" s="24" t="n">
        <v>1</v>
      </c>
      <c r="F8" s="4" t="b">
        <v>0</v>
      </c>
      <c r="G8" s="24" t="b">
        <v>0</v>
      </c>
      <c r="H8" s="4" t="b">
        <v>0</v>
      </c>
      <c r="I8" s="4" t="b">
        <v>0</v>
      </c>
      <c r="J8" s="4" t="b">
        <v>0</v>
      </c>
      <c r="K8" s="24" t="n">
        <v>31</v>
      </c>
      <c r="L8" s="24" t="b">
        <v>0</v>
      </c>
      <c r="M8">
        <f>IFERROR(HYPERLINK("#Main!A"&amp;MATCH(A8,Main!A:A,0),"Open"),HYPERLINK("#Main!A1","Open"))</f>
        <v/>
      </c>
    </row>
    <row r="9" ht="30" customHeight="1">
      <c r="A9" s="33" t="inlineStr">
        <is>
          <t>https://africanmarketingconfederation.org/education/</t>
        </is>
      </c>
      <c r="B9" s="6" t="n">
        <v>718</v>
      </c>
      <c r="C9" s="25" t="inlineStr">
        <is>
          <t>OK</t>
        </is>
      </c>
      <c r="D9" s="6" t="n">
        <v>158.25</v>
      </c>
      <c r="E9" s="6" t="n">
        <v>0</v>
      </c>
      <c r="F9" s="32" t="b">
        <v>1</v>
      </c>
      <c r="G9" s="6" t="b">
        <v>0</v>
      </c>
      <c r="H9" s="4" t="b">
        <v>0</v>
      </c>
      <c r="I9" s="4" t="b">
        <v>0</v>
      </c>
      <c r="J9" s="4" t="b">
        <v>0</v>
      </c>
      <c r="K9" s="6" t="n">
        <v>15</v>
      </c>
      <c r="L9" s="6" t="b">
        <v>0</v>
      </c>
      <c r="M9">
        <f>IFERROR(HYPERLINK("#Main!A"&amp;MATCH(A9,Main!A:A,0),"Open"),HYPERLINK("#Main!A1","Open"))</f>
        <v/>
      </c>
    </row>
    <row r="10" ht="30" customHeight="1">
      <c r="A10" s="33" t="inlineStr">
        <is>
          <t>https://africanmarketingconfederation.org/awards-2026/</t>
        </is>
      </c>
      <c r="B10" s="24" t="n">
        <v>1132</v>
      </c>
      <c r="C10" s="4" t="inlineStr">
        <is>
          <t>Strong</t>
        </is>
      </c>
      <c r="D10" s="24" t="n">
        <v>174.92</v>
      </c>
      <c r="E10" s="24" t="n">
        <v>3</v>
      </c>
      <c r="F10" s="4" t="b">
        <v>0</v>
      </c>
      <c r="G10" s="24" t="b">
        <v>1</v>
      </c>
      <c r="H10" s="4" t="b">
        <v>0</v>
      </c>
      <c r="I10" s="4" t="b">
        <v>0</v>
      </c>
      <c r="J10" s="4" t="b">
        <v>0</v>
      </c>
      <c r="K10" s="24" t="n">
        <v>36</v>
      </c>
      <c r="L10" s="24" t="b">
        <v>0</v>
      </c>
      <c r="M10">
        <f>IFERROR(HYPERLINK("#Main!A"&amp;MATCH(A10,Main!A:A,0),"Open"),HYPERLINK("#Main!A1","Open"))</f>
        <v/>
      </c>
    </row>
    <row r="11" ht="30" customHeight="1">
      <c r="A11" s="33" t="inlineStr">
        <is>
          <t>https://africanmarketingconfederation.org/contact-us/</t>
        </is>
      </c>
      <c r="B11" s="6" t="n">
        <v>500</v>
      </c>
      <c r="C11" s="25" t="inlineStr">
        <is>
          <t>OK</t>
        </is>
      </c>
      <c r="D11" s="6" t="n">
        <v>105.34</v>
      </c>
      <c r="E11" s="6" t="n">
        <v>2</v>
      </c>
      <c r="F11" s="4" t="b">
        <v>0</v>
      </c>
      <c r="G11" s="6" t="b">
        <v>1</v>
      </c>
      <c r="H11" s="4" t="b">
        <v>0</v>
      </c>
      <c r="I11" s="4" t="b">
        <v>0</v>
      </c>
      <c r="J11" s="4" t="b">
        <v>0</v>
      </c>
      <c r="K11" s="6" t="n">
        <v>5</v>
      </c>
      <c r="L11" s="6" t="b">
        <v>0</v>
      </c>
      <c r="M11">
        <f>IFERROR(HYPERLINK("#Main!A"&amp;MATCH(A11,Main!A:A,0),"Open"),HYPERLINK("#Main!A1","Open"))</f>
        <v/>
      </c>
    </row>
    <row r="12" ht="30" customHeight="1">
      <c r="A12" s="33" t="inlineStr">
        <is>
          <t>https://africanmarketingconfederation.org/news-articles/</t>
        </is>
      </c>
      <c r="B12" s="24" t="n">
        <v>608</v>
      </c>
      <c r="C12" s="25" t="inlineStr">
        <is>
          <t>OK</t>
        </is>
      </c>
      <c r="D12" s="24" t="n">
        <v>172.55</v>
      </c>
      <c r="E12" s="24" t="n">
        <v>1</v>
      </c>
      <c r="F12" s="4" t="b">
        <v>0</v>
      </c>
      <c r="G12" s="24" t="b">
        <v>0</v>
      </c>
      <c r="H12" s="4" t="b">
        <v>0</v>
      </c>
      <c r="I12" s="4" t="b">
        <v>0</v>
      </c>
      <c r="J12" s="4" t="b">
        <v>0</v>
      </c>
      <c r="K12" s="24" t="n">
        <v>18</v>
      </c>
      <c r="L12" s="24" t="b">
        <v>0</v>
      </c>
      <c r="M12">
        <f>IFERROR(HYPERLINK("#Main!A"&amp;MATCH(A12,Main!A:A,0),"Open"),HYPERLINK("#Main!A1","Open"))</f>
        <v/>
      </c>
    </row>
    <row r="13" ht="30" customHeight="1">
      <c r="A13" s="33" t="inlineStr">
        <is>
          <t>https://africanmarketingconfederation.org/african-marketing-confederation-tourism-chapter/</t>
        </is>
      </c>
      <c r="B13" s="6" t="n">
        <v>449</v>
      </c>
      <c r="C13" s="25" t="inlineStr">
        <is>
          <t>OK</t>
        </is>
      </c>
      <c r="D13" s="6" t="n">
        <v>174.28</v>
      </c>
      <c r="E13" s="6" t="n">
        <v>2</v>
      </c>
      <c r="F13" s="4" t="b">
        <v>0</v>
      </c>
      <c r="G13" s="6" t="b">
        <v>1</v>
      </c>
      <c r="H13" s="4" t="b">
        <v>0</v>
      </c>
      <c r="I13" s="4" t="b">
        <v>0</v>
      </c>
      <c r="J13" s="4" t="b">
        <v>0</v>
      </c>
      <c r="K13" s="6" t="n">
        <v>14</v>
      </c>
      <c r="L13" s="6" t="b">
        <v>0</v>
      </c>
      <c r="M13">
        <f>IFERROR(HYPERLINK("#Main!A"&amp;MATCH(A13,Main!A:A,0),"Open"),HYPERLINK("#Main!A1","Open"))</f>
        <v/>
      </c>
    </row>
    <row r="14" ht="30" customHeight="1">
      <c r="A14" s="33" t="inlineStr">
        <is>
          <t>https://africanmarketingconfederation.org/sub-committees/</t>
        </is>
      </c>
      <c r="B14" s="24" t="n">
        <v>476</v>
      </c>
      <c r="C14" s="25" t="inlineStr">
        <is>
          <t>OK</t>
        </is>
      </c>
      <c r="D14" s="24" t="n">
        <v>174.63</v>
      </c>
      <c r="E14" s="24" t="n">
        <v>1</v>
      </c>
      <c r="F14" s="4" t="b">
        <v>0</v>
      </c>
      <c r="G14" s="24" t="b">
        <v>0</v>
      </c>
      <c r="H14" s="4" t="b">
        <v>0</v>
      </c>
      <c r="I14" s="4" t="b">
        <v>0</v>
      </c>
      <c r="J14" s="4" t="b">
        <v>0</v>
      </c>
      <c r="K14" s="24" t="n">
        <v>15</v>
      </c>
      <c r="L14" s="24" t="b">
        <v>0</v>
      </c>
      <c r="M14">
        <f>IFERROR(HYPERLINK("#Main!A"&amp;MATCH(A14,Main!A:A,0),"Open"),HYPERLINK("#Main!A1","Open"))</f>
        <v/>
      </c>
    </row>
    <row r="15" ht="30" customHeight="1">
      <c r="A15" s="33" t="inlineStr">
        <is>
          <t>https://africanmarketingconfederation.org/members/</t>
        </is>
      </c>
      <c r="B15" s="6" t="n">
        <v>1771</v>
      </c>
      <c r="C15" s="4" t="inlineStr">
        <is>
          <t>Strong</t>
        </is>
      </c>
      <c r="D15" s="6" t="n">
        <v>172.27</v>
      </c>
      <c r="E15" s="6" t="n">
        <v>1</v>
      </c>
      <c r="F15" s="4" t="b">
        <v>0</v>
      </c>
      <c r="G15" s="6" t="b">
        <v>0</v>
      </c>
      <c r="H15" s="4" t="b">
        <v>0</v>
      </c>
      <c r="I15" s="4" t="b">
        <v>0</v>
      </c>
      <c r="J15" s="4" t="b">
        <v>0</v>
      </c>
      <c r="K15" s="6" t="n">
        <v>52</v>
      </c>
      <c r="L15" s="6" t="b">
        <v>0</v>
      </c>
      <c r="M15">
        <f>IFERROR(HYPERLINK("#Main!A"&amp;MATCH(A15,Main!A:A,0),"Open"),HYPERLINK("#Main!A1","Open"))</f>
        <v/>
      </c>
    </row>
    <row r="16" ht="30" customHeight="1">
      <c r="A16" s="33" t="inlineStr">
        <is>
          <t>https://africanmarketingconfederation.org/about-us/</t>
        </is>
      </c>
      <c r="B16" s="24" t="n">
        <v>283</v>
      </c>
      <c r="C16" s="32" t="inlineStr">
        <is>
          <t>Thin</t>
        </is>
      </c>
      <c r="D16" s="24" t="n">
        <v>170.93</v>
      </c>
      <c r="E16" s="24" t="n">
        <v>1</v>
      </c>
      <c r="F16" s="4" t="b">
        <v>0</v>
      </c>
      <c r="G16" s="24" t="b">
        <v>0</v>
      </c>
      <c r="H16" s="4" t="b">
        <v>0</v>
      </c>
      <c r="I16" s="4" t="b">
        <v>0</v>
      </c>
      <c r="J16" s="32" t="b">
        <v>1</v>
      </c>
      <c r="K16" s="24" t="n">
        <v>8</v>
      </c>
      <c r="L16" s="24" t="b">
        <v>1</v>
      </c>
      <c r="M16">
        <f>IFERROR(HYPERLINK("#Main!A"&amp;MATCH(A16,Main!A:A,0),"Open"),HYPERLINK("#Main!A1","Open"))</f>
        <v/>
      </c>
    </row>
    <row r="17" ht="30" customHeight="1">
      <c r="A17" s="33" t="inlineStr">
        <is>
          <t>https://africanmarketingconfederation.org/awards-2026-1/</t>
        </is>
      </c>
      <c r="B17" s="6" t="n">
        <v>1108</v>
      </c>
      <c r="C17" s="4" t="inlineStr">
        <is>
          <t>Strong</t>
        </is>
      </c>
      <c r="D17" s="6" t="n">
        <v>175.6</v>
      </c>
      <c r="E17" s="6" t="n">
        <v>3</v>
      </c>
      <c r="F17" s="4" t="b">
        <v>0</v>
      </c>
      <c r="G17" s="6" t="b">
        <v>1</v>
      </c>
      <c r="H17" s="4" t="b">
        <v>0</v>
      </c>
      <c r="I17" s="4" t="b">
        <v>0</v>
      </c>
      <c r="J17" s="4" t="b">
        <v>0</v>
      </c>
      <c r="K17" s="6" t="n">
        <v>36</v>
      </c>
      <c r="L17" s="6" t="b">
        <v>0</v>
      </c>
      <c r="M17">
        <f>IFERROR(HYPERLINK("#Main!A"&amp;MATCH(A17,Main!A:A,0),"Open"),HYPERLINK("#Main!A1","Open"))</f>
        <v/>
      </c>
    </row>
    <row r="18" ht="30" customHeight="1">
      <c r="A18" s="33" t="inlineStr">
        <is>
          <t>https://africanmarketingconfederation.org/awards-2026-test/</t>
        </is>
      </c>
      <c r="B18" s="24" t="n">
        <v>1180</v>
      </c>
      <c r="C18" s="4" t="inlineStr">
        <is>
          <t>Strong</t>
        </is>
      </c>
      <c r="D18" s="24" t="n">
        <v>174.46</v>
      </c>
      <c r="E18" s="24" t="n">
        <v>3</v>
      </c>
      <c r="F18" s="4" t="b">
        <v>0</v>
      </c>
      <c r="G18" s="24" t="b">
        <v>1</v>
      </c>
      <c r="H18" s="4" t="b">
        <v>0</v>
      </c>
      <c r="I18" s="4" t="b">
        <v>0</v>
      </c>
      <c r="J18" s="4" t="b">
        <v>0</v>
      </c>
      <c r="K18" s="24" t="n">
        <v>37</v>
      </c>
      <c r="L18" s="24" t="b">
        <v>0</v>
      </c>
      <c r="M18">
        <f>IFERROR(HYPERLINK("#Main!A"&amp;MATCH(A18,Main!A:A,0),"Open"),HYPERLINK("#Main!A1","Open"))</f>
        <v/>
      </c>
    </row>
    <row r="19" ht="30" customHeight="1">
      <c r="A19" s="33" t="inlineStr">
        <is>
          <t>https://africanmarketingconfederation.org/amc-conference-2026-awards-nominations-thank-you/</t>
        </is>
      </c>
      <c r="B19" s="6" t="n">
        <v>233</v>
      </c>
      <c r="C19" s="32" t="inlineStr">
        <is>
          <t>Thin</t>
        </is>
      </c>
      <c r="D19" s="6" t="n">
        <v>159.54</v>
      </c>
      <c r="E19" s="6" t="n">
        <v>2</v>
      </c>
      <c r="F19" s="4" t="b">
        <v>0</v>
      </c>
      <c r="G19" s="6" t="b">
        <v>1</v>
      </c>
      <c r="H19" s="4" t="b">
        <v>0</v>
      </c>
      <c r="I19" s="4" t="b">
        <v>0</v>
      </c>
      <c r="J19" s="32" t="b">
        <v>1</v>
      </c>
      <c r="K19" s="6" t="n">
        <v>5</v>
      </c>
      <c r="L19" s="6" t="b">
        <v>1</v>
      </c>
      <c r="M19">
        <f>IFERROR(HYPERLINK("#Main!A"&amp;MATCH(A19,Main!A:A,0),"Open"),HYPERLINK("#Main!A1","Open"))</f>
        <v/>
      </c>
    </row>
    <row r="20" ht="30" customHeight="1">
      <c r="A20" s="33" t="inlineStr">
        <is>
          <t>https://africanmarketingconfederation.org/speakers-2025/</t>
        </is>
      </c>
      <c r="B20" s="24" t="n">
        <v>3219</v>
      </c>
      <c r="C20" s="4" t="inlineStr">
        <is>
          <t>Strong</t>
        </is>
      </c>
      <c r="D20" s="24" t="n">
        <v>182.63</v>
      </c>
      <c r="E20" s="24" t="n">
        <v>9</v>
      </c>
      <c r="F20" s="4" t="b">
        <v>0</v>
      </c>
      <c r="G20" s="24" t="b">
        <v>1</v>
      </c>
      <c r="H20" s="4" t="b">
        <v>0</v>
      </c>
      <c r="I20" s="4" t="b">
        <v>0</v>
      </c>
      <c r="J20" s="4" t="b">
        <v>0</v>
      </c>
      <c r="K20" s="24" t="n">
        <v>135</v>
      </c>
      <c r="L20" s="24" t="b">
        <v>0</v>
      </c>
      <c r="M20">
        <f>IFERROR(HYPERLINK("#Main!A"&amp;MATCH(A20,Main!A:A,0),"Open"),HYPERLINK("#Main!A1","Open"))</f>
        <v/>
      </c>
    </row>
    <row r="21" ht="30" customHeight="1">
      <c r="A21" s="33" t="inlineStr">
        <is>
          <t>https://africanmarketingconfederation.org/amc-conference-2026-zambia-thank-you/</t>
        </is>
      </c>
      <c r="B21" s="6" t="n">
        <v>216</v>
      </c>
      <c r="C21" s="32" t="inlineStr">
        <is>
          <t>Thin</t>
        </is>
      </c>
      <c r="D21" s="6" t="n">
        <v>162.99</v>
      </c>
      <c r="E21" s="6" t="n">
        <v>2</v>
      </c>
      <c r="F21" s="4" t="b">
        <v>0</v>
      </c>
      <c r="G21" s="6" t="b">
        <v>1</v>
      </c>
      <c r="H21" s="4" t="b">
        <v>0</v>
      </c>
      <c r="I21" s="4" t="b">
        <v>0</v>
      </c>
      <c r="J21" s="32" t="b">
        <v>1</v>
      </c>
      <c r="K21" s="6" t="n">
        <v>5</v>
      </c>
      <c r="L21" s="6" t="b">
        <v>1</v>
      </c>
      <c r="M21">
        <f>IFERROR(HYPERLINK("#Main!A"&amp;MATCH(A21,Main!A:A,0),"Open"),HYPERLINK("#Main!A1","Open"))</f>
        <v/>
      </c>
    </row>
    <row r="22" ht="30" customHeight="1">
      <c r="A22" s="33" t="inlineStr">
        <is>
          <t>https://africanmarketingconfederation.org/amc-launch-event-zambia-thank-you-2026/</t>
        </is>
      </c>
      <c r="B22" s="24" t="n">
        <v>229</v>
      </c>
      <c r="C22" s="32" t="inlineStr">
        <is>
          <t>Thin</t>
        </is>
      </c>
      <c r="D22" s="24" t="n">
        <v>160.35</v>
      </c>
      <c r="E22" s="24" t="n">
        <v>2</v>
      </c>
      <c r="F22" s="4" t="b">
        <v>0</v>
      </c>
      <c r="G22" s="24" t="b">
        <v>1</v>
      </c>
      <c r="H22" s="4" t="b">
        <v>0</v>
      </c>
      <c r="I22" s="4" t="b">
        <v>0</v>
      </c>
      <c r="J22" s="32" t="b">
        <v>1</v>
      </c>
      <c r="K22" s="24" t="n">
        <v>5</v>
      </c>
      <c r="L22" s="24" t="b">
        <v>1</v>
      </c>
      <c r="M22">
        <f>IFERROR(HYPERLINK("#Main!A"&amp;MATCH(A22,Main!A:A,0),"Open"),HYPERLINK("#Main!A1","Open"))</f>
        <v/>
      </c>
    </row>
    <row r="23" ht="30" customHeight="1">
      <c r="A23" s="33" t="inlineStr">
        <is>
          <t>https://africanmarketingconfederation.org/amc-marketing-conference-2024/awards-2025/</t>
        </is>
      </c>
      <c r="B23" s="6" t="n">
        <v>1288</v>
      </c>
      <c r="C23" s="4" t="inlineStr">
        <is>
          <t>Strong</t>
        </is>
      </c>
      <c r="D23" s="6" t="n">
        <v>181.2</v>
      </c>
      <c r="E23" s="6" t="n">
        <v>1</v>
      </c>
      <c r="F23" s="4" t="b">
        <v>0</v>
      </c>
      <c r="G23" s="6" t="b">
        <v>0</v>
      </c>
      <c r="H23" s="4" t="b">
        <v>0</v>
      </c>
      <c r="I23" s="4" t="b">
        <v>0</v>
      </c>
      <c r="J23" s="4" t="b">
        <v>0</v>
      </c>
      <c r="K23" s="6" t="n">
        <v>51</v>
      </c>
      <c r="L23" s="6" t="b">
        <v>0</v>
      </c>
      <c r="M23">
        <f>IFERROR(HYPERLINK("#Main!A"&amp;MATCH(A23,Main!A:A,0),"Open"),HYPERLINK("#Main!A1","Open"))</f>
        <v/>
      </c>
    </row>
    <row r="24" ht="30" customHeight="1">
      <c r="A24" s="33" t="inlineStr">
        <is>
          <t>https://africanmarketingconfederation.org/amc-conference-2025-highlights/</t>
        </is>
      </c>
      <c r="B24" s="24" t="n">
        <v>1888</v>
      </c>
      <c r="C24" s="4" t="inlineStr">
        <is>
          <t>Strong</t>
        </is>
      </c>
      <c r="D24" s="24" t="n">
        <v>183.75</v>
      </c>
      <c r="E24" s="24" t="n">
        <v>10</v>
      </c>
      <c r="F24" s="4" t="b">
        <v>0</v>
      </c>
      <c r="G24" s="24" t="b">
        <v>1</v>
      </c>
      <c r="H24" s="4" t="b">
        <v>0</v>
      </c>
      <c r="I24" s="4" t="b">
        <v>0</v>
      </c>
      <c r="J24" s="4" t="b">
        <v>0</v>
      </c>
      <c r="K24" s="24" t="n">
        <v>83</v>
      </c>
      <c r="L24" s="24" t="b">
        <v>0</v>
      </c>
      <c r="M24">
        <f>IFERROR(HYPERLINK("#Main!A"&amp;MATCH(A24,Main!A:A,0),"Open"),HYPERLINK("#Main!A1","Open"))</f>
        <v/>
      </c>
    </row>
    <row r="25" ht="30" customHeight="1">
      <c r="A25" s="33" t="inlineStr">
        <is>
          <t>https://africanmarketingconfederation.org/amc-conference-2022/</t>
        </is>
      </c>
      <c r="B25" s="6" t="n">
        <v>376</v>
      </c>
      <c r="C25" s="25" t="inlineStr">
        <is>
          <t>OK</t>
        </is>
      </c>
      <c r="D25" s="6" t="n">
        <v>177.48</v>
      </c>
      <c r="E25" s="6" t="n">
        <v>0</v>
      </c>
      <c r="F25" s="32" t="b">
        <v>1</v>
      </c>
      <c r="G25" s="6" t="b">
        <v>0</v>
      </c>
      <c r="H25" s="4" t="b">
        <v>0</v>
      </c>
      <c r="I25" s="4" t="b">
        <v>0</v>
      </c>
      <c r="J25" s="4" t="b">
        <v>0</v>
      </c>
      <c r="K25" s="6" t="n">
        <v>13</v>
      </c>
      <c r="L25" s="6" t="b">
        <v>0</v>
      </c>
      <c r="M25">
        <f>IFERROR(HYPERLINK("#Main!A"&amp;MATCH(A25,Main!A:A,0),"Open"),HYPERLINK("#Main!A1","Open"))</f>
        <v/>
      </c>
    </row>
    <row r="26" ht="30" customHeight="1">
      <c r="A26" s="33" t="inlineStr">
        <is>
          <t>https://africanmarketingconfederation.org/amc-conference-2023/gallery/</t>
        </is>
      </c>
      <c r="B26" s="24" t="n">
        <v>82</v>
      </c>
      <c r="C26" s="32" t="inlineStr">
        <is>
          <t>Thin</t>
        </is>
      </c>
      <c r="D26" s="24" t="n">
        <v>165.22</v>
      </c>
      <c r="E26" s="24" t="n">
        <v>1</v>
      </c>
      <c r="F26" s="4" t="b">
        <v>0</v>
      </c>
      <c r="G26" s="24" t="b">
        <v>0</v>
      </c>
      <c r="H26" s="4" t="b">
        <v>0</v>
      </c>
      <c r="I26" s="4" t="b">
        <v>0</v>
      </c>
      <c r="J26" s="32" t="b">
        <v>1</v>
      </c>
      <c r="K26" s="24" t="n">
        <v>2</v>
      </c>
      <c r="L26" s="24" t="b">
        <v>1</v>
      </c>
      <c r="M26">
        <f>IFERROR(HYPERLINK("#Main!A"&amp;MATCH(A26,Main!A:A,0),"Open"),HYPERLINK("#Main!A1","Open"))</f>
        <v/>
      </c>
    </row>
    <row r="27" ht="30" customHeight="1">
      <c r="A27" s="33" t="inlineStr">
        <is>
          <t>https://africanmarketingconfederation.org/conference-registrations-2024/</t>
        </is>
      </c>
      <c r="B27" s="6" t="n">
        <v>914</v>
      </c>
      <c r="C27" s="4" t="inlineStr">
        <is>
          <t>Strong</t>
        </is>
      </c>
      <c r="D27" s="6" t="n">
        <v>90.87</v>
      </c>
      <c r="E27" s="6" t="n">
        <v>1</v>
      </c>
      <c r="F27" s="4" t="b">
        <v>0</v>
      </c>
      <c r="G27" s="6" t="b">
        <v>0</v>
      </c>
      <c r="H27" s="4" t="b">
        <v>0</v>
      </c>
      <c r="I27" s="4" t="b">
        <v>0</v>
      </c>
      <c r="J27" s="4" t="b">
        <v>0</v>
      </c>
      <c r="K27" s="6" t="n">
        <v>8</v>
      </c>
      <c r="L27" s="6" t="b">
        <v>0</v>
      </c>
      <c r="M27">
        <f>IFERROR(HYPERLINK("#Main!A"&amp;MATCH(A27,Main!A:A,0),"Open"),HYPERLINK("#Main!A1","Open"))</f>
        <v/>
      </c>
    </row>
    <row r="28" ht="30" customHeight="1">
      <c r="A28" s="33" t="inlineStr">
        <is>
          <t>https://africanmarketingconfederation.org/elementor-31820/</t>
        </is>
      </c>
      <c r="B28" s="24" t="n">
        <v>1021</v>
      </c>
      <c r="C28" s="4" t="inlineStr">
        <is>
          <t>Strong</t>
        </is>
      </c>
      <c r="D28" s="24" t="n">
        <v>166.98</v>
      </c>
      <c r="E28" s="24" t="n">
        <v>1</v>
      </c>
      <c r="F28" s="4" t="b">
        <v>0</v>
      </c>
      <c r="G28" s="24" t="b">
        <v>0</v>
      </c>
      <c r="H28" s="4" t="b">
        <v>0</v>
      </c>
      <c r="I28" s="4" t="b">
        <v>0</v>
      </c>
      <c r="J28" s="4" t="b">
        <v>0</v>
      </c>
      <c r="K28" s="24" t="n">
        <v>26</v>
      </c>
      <c r="L28" s="24" t="b">
        <v>0</v>
      </c>
      <c r="M28">
        <f>IFERROR(HYPERLINK("#Main!A"&amp;MATCH(A28,Main!A:A,0),"Open"),HYPERLINK("#Main!A1","Open"))</f>
        <v/>
      </c>
    </row>
    <row r="29" ht="30" customHeight="1">
      <c r="A29" s="33" t="inlineStr">
        <is>
          <t>https://africanmarketingconfederation.org/amc-conference-2024-recap/</t>
        </is>
      </c>
      <c r="B29" s="6" t="n">
        <v>1453</v>
      </c>
      <c r="C29" s="4" t="inlineStr">
        <is>
          <t>Strong</t>
        </is>
      </c>
      <c r="D29" s="6" t="n">
        <v>124.9</v>
      </c>
      <c r="E29" s="6" t="n">
        <v>2</v>
      </c>
      <c r="F29" s="4" t="b">
        <v>0</v>
      </c>
      <c r="G29" s="6" t="b">
        <v>1</v>
      </c>
      <c r="H29" s="4" t="b">
        <v>0</v>
      </c>
      <c r="I29" s="4" t="b">
        <v>0</v>
      </c>
      <c r="J29" s="4" t="b">
        <v>0</v>
      </c>
      <c r="K29" s="6" t="n">
        <v>18</v>
      </c>
      <c r="L29" s="6" t="b">
        <v>0</v>
      </c>
      <c r="M29">
        <f>IFERROR(HYPERLINK("#Main!A"&amp;MATCH(A29,Main!A:A,0),"Open"),HYPERLINK("#Main!A1","Open"))</f>
        <v/>
      </c>
    </row>
    <row r="30" ht="30" customHeight="1">
      <c r="A30" s="33" t="inlineStr">
        <is>
          <t>https://africanmarketingconfederation.org/amc-marketing-conference-2024/amc-programme-2025/</t>
        </is>
      </c>
      <c r="B30" s="24" t="n">
        <v>126</v>
      </c>
      <c r="C30" s="32" t="inlineStr">
        <is>
          <t>Thin</t>
        </is>
      </c>
      <c r="D30" s="24" t="n">
        <v>142.89</v>
      </c>
      <c r="E30" s="24" t="n">
        <v>2</v>
      </c>
      <c r="F30" s="4" t="b">
        <v>0</v>
      </c>
      <c r="G30" s="24" t="b">
        <v>1</v>
      </c>
      <c r="H30" s="4" t="b">
        <v>0</v>
      </c>
      <c r="I30" s="4" t="b">
        <v>0</v>
      </c>
      <c r="J30" s="32" t="b">
        <v>1</v>
      </c>
      <c r="K30" s="24" t="n">
        <v>2</v>
      </c>
      <c r="L30" s="24" t="b">
        <v>1</v>
      </c>
      <c r="M30">
        <f>IFERROR(HYPERLINK("#Main!A"&amp;MATCH(A30,Main!A:A,0),"Open"),HYPERLINK("#Main!A1","Open"))</f>
        <v/>
      </c>
    </row>
    <row r="31" ht="30" customHeight="1">
      <c r="A31" s="33" t="inlineStr">
        <is>
          <t>https://africanmarketingconfederation.org/amc-conference-2025/</t>
        </is>
      </c>
      <c r="B31" s="6" t="n">
        <v>1242</v>
      </c>
      <c r="C31" s="4" t="inlineStr">
        <is>
          <t>Strong</t>
        </is>
      </c>
      <c r="D31" s="6" t="n">
        <v>164.81</v>
      </c>
      <c r="E31" s="6" t="n">
        <v>2</v>
      </c>
      <c r="F31" s="4" t="b">
        <v>0</v>
      </c>
      <c r="G31" s="6" t="b">
        <v>1</v>
      </c>
      <c r="H31" s="4" t="b">
        <v>0</v>
      </c>
      <c r="I31" s="4" t="b">
        <v>0</v>
      </c>
      <c r="J31" s="4" t="b">
        <v>0</v>
      </c>
      <c r="K31" s="6" t="n">
        <v>30</v>
      </c>
      <c r="L31" s="6" t="b">
        <v>0</v>
      </c>
      <c r="M31">
        <f>IFERROR(HYPERLINK("#Main!A"&amp;MATCH(A31,Main!A:A,0),"Open"),HYPERLINK("#Main!A1","Open"))</f>
        <v/>
      </c>
    </row>
    <row r="32" ht="30" customHeight="1">
      <c r="A32" s="33" t="inlineStr">
        <is>
          <t>https://africanmarketingconfederation.org/amc-sponsors-2025/</t>
        </is>
      </c>
      <c r="B32" s="24" t="n">
        <v>1213</v>
      </c>
      <c r="C32" s="4" t="inlineStr">
        <is>
          <t>Strong</t>
        </is>
      </c>
      <c r="D32" s="24" t="n">
        <v>134.41</v>
      </c>
      <c r="E32" s="24" t="n">
        <v>1</v>
      </c>
      <c r="F32" s="4" t="b">
        <v>0</v>
      </c>
      <c r="G32" s="24" t="b">
        <v>0</v>
      </c>
      <c r="H32" s="4" t="b">
        <v>0</v>
      </c>
      <c r="I32" s="4" t="b">
        <v>0</v>
      </c>
      <c r="J32" s="4" t="b">
        <v>0</v>
      </c>
      <c r="K32" s="24" t="n">
        <v>17</v>
      </c>
      <c r="L32" s="24" t="b">
        <v>0</v>
      </c>
      <c r="M32">
        <f>IFERROR(HYPERLINK("#Main!A"&amp;MATCH(A32,Main!A:A,0),"Open"),HYPERLINK("#Main!A1","Open"))</f>
        <v/>
      </c>
    </row>
    <row r="33" ht="30" customHeight="1">
      <c r="A33" s="33" t="inlineStr">
        <is>
          <t>https://africanmarketingconfederation.org/amc-conference-2022-prospectus/</t>
        </is>
      </c>
      <c r="B33" s="6" t="n">
        <v>164</v>
      </c>
      <c r="C33" s="32" t="inlineStr">
        <is>
          <t>Thin</t>
        </is>
      </c>
      <c r="D33" s="6" t="n">
        <v>151.35</v>
      </c>
      <c r="E33" s="6" t="n">
        <v>0</v>
      </c>
      <c r="F33" s="32" t="b">
        <v>1</v>
      </c>
      <c r="G33" s="6" t="b">
        <v>0</v>
      </c>
      <c r="H33" s="4" t="b">
        <v>0</v>
      </c>
      <c r="I33" s="4" t="b">
        <v>0</v>
      </c>
      <c r="J33" s="32" t="b">
        <v>1</v>
      </c>
      <c r="K33" s="6" t="n">
        <v>3</v>
      </c>
      <c r="L33" s="6" t="b">
        <v>1</v>
      </c>
      <c r="M33">
        <f>IFERROR(HYPERLINK("#Main!A"&amp;MATCH(A33,Main!A:A,0),"Open"),HYPERLINK("#Main!A1","Open"))</f>
        <v/>
      </c>
    </row>
    <row r="34" ht="30" customHeight="1">
      <c r="A34" s="33" t="inlineStr">
        <is>
          <t>https://africanmarketingconfederation.org/test-payment-gate/</t>
        </is>
      </c>
      <c r="B34" s="24" t="n">
        <v>214</v>
      </c>
      <c r="C34" s="32" t="inlineStr">
        <is>
          <t>Thin</t>
        </is>
      </c>
      <c r="D34" s="24" t="n">
        <v>98.23</v>
      </c>
      <c r="E34" s="24" t="n">
        <v>0</v>
      </c>
      <c r="F34" s="32" t="b">
        <v>1</v>
      </c>
      <c r="G34" s="24" t="b">
        <v>0</v>
      </c>
      <c r="H34" s="4" t="b">
        <v>0</v>
      </c>
      <c r="I34" s="4" t="b">
        <v>0</v>
      </c>
      <c r="J34" s="32" t="b">
        <v>1</v>
      </c>
      <c r="K34" s="24" t="n">
        <v>2</v>
      </c>
      <c r="L34" s="24" t="b">
        <v>1</v>
      </c>
      <c r="M34">
        <f>IFERROR(HYPERLINK("#Main!A"&amp;MATCH(A34,Main!A:A,0),"Open"),HYPERLINK("#Main!A1","Open"))</f>
        <v/>
      </c>
    </row>
    <row r="35" ht="30" customHeight="1">
      <c r="A35" s="33" t="inlineStr">
        <is>
          <t>https://africanmarketingconfederation.org/amc-marketing-conference-2024/amc-preregister-2025/</t>
        </is>
      </c>
      <c r="B35" s="6" t="n">
        <v>679</v>
      </c>
      <c r="C35" s="25" t="inlineStr">
        <is>
          <t>OK</t>
        </is>
      </c>
      <c r="D35" s="6" t="n">
        <v>120.69</v>
      </c>
      <c r="E35" s="6" t="n">
        <v>1</v>
      </c>
      <c r="F35" s="4" t="b">
        <v>0</v>
      </c>
      <c r="G35" s="6" t="b">
        <v>0</v>
      </c>
      <c r="H35" s="4" t="b">
        <v>0</v>
      </c>
      <c r="I35" s="4" t="b">
        <v>0</v>
      </c>
      <c r="J35" s="4" t="b">
        <v>0</v>
      </c>
      <c r="K35" s="6" t="n">
        <v>8</v>
      </c>
      <c r="L35" s="6" t="b">
        <v>0</v>
      </c>
      <c r="M35">
        <f>IFERROR(HYPERLINK("#Main!A"&amp;MATCH(A35,Main!A:A,0),"Open"),HYPERLINK("#Main!A1","Open"))</f>
        <v/>
      </c>
    </row>
    <row r="36" ht="30" customHeight="1">
      <c r="A36" s="33" t="inlineStr">
        <is>
          <t>https://africanmarketingconfederation.org/conference-faq-2025/</t>
        </is>
      </c>
      <c r="B36" s="24" t="n">
        <v>2280</v>
      </c>
      <c r="C36" s="4" t="inlineStr">
        <is>
          <t>Strong</t>
        </is>
      </c>
      <c r="D36" s="24" t="n">
        <v>189.82</v>
      </c>
      <c r="E36" s="24" t="n">
        <v>1</v>
      </c>
      <c r="F36" s="4" t="b">
        <v>0</v>
      </c>
      <c r="G36" s="24" t="b">
        <v>0</v>
      </c>
      <c r="H36" s="4" t="b">
        <v>0</v>
      </c>
      <c r="I36" s="4" t="b">
        <v>0</v>
      </c>
      <c r="J36" s="4" t="b">
        <v>0</v>
      </c>
      <c r="K36" s="24" t="n">
        <v>136</v>
      </c>
      <c r="L36" s="24" t="b">
        <v>0</v>
      </c>
      <c r="M36">
        <f>IFERROR(HYPERLINK("#Main!A"&amp;MATCH(A36,Main!A:A,0),"Open"),HYPERLINK("#Main!A1","Open"))</f>
        <v/>
      </c>
    </row>
    <row r="37" ht="45" customHeight="1">
      <c r="A37" s="33" t="inlineStr">
        <is>
          <t>https://africanmarketingconfederation.org/amc-marketing-conference-2024/amc-conference-2025-ghana-sponsors/</t>
        </is>
      </c>
      <c r="B37" s="6" t="n">
        <v>106</v>
      </c>
      <c r="C37" s="32" t="inlineStr">
        <is>
          <t>Thin</t>
        </is>
      </c>
      <c r="D37" s="6" t="n">
        <v>179.94</v>
      </c>
      <c r="E37" s="6" t="n">
        <v>1</v>
      </c>
      <c r="F37" s="4" t="b">
        <v>0</v>
      </c>
      <c r="G37" s="6" t="b">
        <v>0</v>
      </c>
      <c r="H37" s="4" t="b">
        <v>0</v>
      </c>
      <c r="I37" s="4" t="b">
        <v>0</v>
      </c>
      <c r="J37" s="32" t="b">
        <v>1</v>
      </c>
      <c r="K37" s="6" t="n">
        <v>4</v>
      </c>
      <c r="L37" s="6" t="b">
        <v>1</v>
      </c>
      <c r="M37">
        <f>IFERROR(HYPERLINK("#Main!A"&amp;MATCH(A37,Main!A:A,0),"Open"),HYPERLINK("#Main!A1","Open"))</f>
        <v/>
      </c>
    </row>
    <row r="38" ht="30" customHeight="1">
      <c r="A38" s="33" t="inlineStr">
        <is>
          <t>https://africanmarketingconfederation.org/amc-forum-payments/</t>
        </is>
      </c>
      <c r="B38" s="24" t="n">
        <v>71</v>
      </c>
      <c r="C38" s="32" t="inlineStr">
        <is>
          <t>Thin</t>
        </is>
      </c>
      <c r="D38" s="24" t="n">
        <v>170.8</v>
      </c>
      <c r="E38" s="24" t="n">
        <v>0</v>
      </c>
      <c r="F38" s="32" t="b">
        <v>1</v>
      </c>
      <c r="G38" s="24" t="b">
        <v>0</v>
      </c>
      <c r="H38" s="4" t="b">
        <v>0</v>
      </c>
      <c r="I38" s="4" t="b">
        <v>0</v>
      </c>
      <c r="J38" s="32" t="b">
        <v>1</v>
      </c>
      <c r="K38" s="24" t="n">
        <v>2</v>
      </c>
      <c r="L38" s="24" t="b">
        <v>1</v>
      </c>
      <c r="M38">
        <f>IFERROR(HYPERLINK("#Main!A"&amp;MATCH(A38,Main!A:A,0),"Open"),HYPERLINK("#Main!A1","Open"))</f>
        <v/>
      </c>
    </row>
    <row r="39" ht="30" customHeight="1">
      <c r="A39" s="33" t="inlineStr">
        <is>
          <t>https://africanmarketingconfederation.org/amc-marketing-conference-2024/amc-launch-event-2025/</t>
        </is>
      </c>
      <c r="B39" s="6" t="n">
        <v>630</v>
      </c>
      <c r="C39" s="25" t="inlineStr">
        <is>
          <t>OK</t>
        </is>
      </c>
      <c r="D39" s="6" t="n">
        <v>46.97</v>
      </c>
      <c r="E39" s="6" t="n">
        <v>1</v>
      </c>
      <c r="F39" s="4" t="b">
        <v>0</v>
      </c>
      <c r="G39" s="6" t="b">
        <v>0</v>
      </c>
      <c r="H39" s="4" t="b">
        <v>0</v>
      </c>
      <c r="I39" s="4" t="b">
        <v>0</v>
      </c>
      <c r="J39" s="4" t="b">
        <v>0</v>
      </c>
      <c r="K39" s="6" t="n">
        <v>4</v>
      </c>
      <c r="L39" s="6" t="b">
        <v>0</v>
      </c>
      <c r="M39">
        <f>IFERROR(HYPERLINK("#Main!A"&amp;MATCH(A39,Main!A:A,0),"Open"),HYPERLINK("#Main!A1","Open"))</f>
        <v/>
      </c>
    </row>
    <row r="40" ht="30" customHeight="1">
      <c r="A40" s="33" t="inlineStr">
        <is>
          <t>https://africanmarketingconfederation.org/checkout/</t>
        </is>
      </c>
      <c r="B40" s="24" t="n">
        <v>133</v>
      </c>
      <c r="C40" s="32" t="inlineStr">
        <is>
          <t>Thin</t>
        </is>
      </c>
      <c r="D40" s="24" t="n">
        <v>161.84</v>
      </c>
      <c r="E40" s="24" t="n">
        <v>0</v>
      </c>
      <c r="F40" s="32" t="b">
        <v>1</v>
      </c>
      <c r="G40" s="24" t="b">
        <v>0</v>
      </c>
      <c r="H40" s="4" t="b">
        <v>0</v>
      </c>
      <c r="I40" s="4" t="b">
        <v>0</v>
      </c>
      <c r="J40" s="32" t="b">
        <v>1</v>
      </c>
      <c r="K40" s="24" t="n">
        <v>3</v>
      </c>
      <c r="L40" s="24" t="b">
        <v>1</v>
      </c>
      <c r="M40">
        <f>IFERROR(HYPERLINK("#Main!A"&amp;MATCH(A40,Main!A:A,0),"Open"),HYPERLINK("#Main!A1","Open"))</f>
        <v/>
      </c>
    </row>
    <row r="41" ht="30" customHeight="1">
      <c r="A41" s="33" t="inlineStr">
        <is>
          <t>https://africanmarketingconfederation.org/amc-awards-2024/</t>
        </is>
      </c>
      <c r="B41" s="6" t="n">
        <v>1672</v>
      </c>
      <c r="C41" s="4" t="inlineStr">
        <is>
          <t>Strong</t>
        </is>
      </c>
      <c r="D41" s="6" t="n">
        <v>178.55</v>
      </c>
      <c r="E41" s="6" t="n">
        <v>2</v>
      </c>
      <c r="F41" s="4" t="b">
        <v>0</v>
      </c>
      <c r="G41" s="6" t="b">
        <v>1</v>
      </c>
      <c r="H41" s="4" t="b">
        <v>0</v>
      </c>
      <c r="I41" s="4" t="b">
        <v>0</v>
      </c>
      <c r="J41" s="4" t="b">
        <v>0</v>
      </c>
      <c r="K41" s="6" t="n">
        <v>60</v>
      </c>
      <c r="L41" s="6" t="b">
        <v>0</v>
      </c>
      <c r="M41">
        <f>IFERROR(HYPERLINK("#Main!A"&amp;MATCH(A41,Main!A:A,0),"Open"),HYPERLINK("#Main!A1","Open"))</f>
        <v/>
      </c>
    </row>
    <row r="42" ht="30" customHeight="1">
      <c r="A42" s="33" t="inlineStr">
        <is>
          <t>https://africanmarketingconfederation.org/amc-conference-2023/</t>
        </is>
      </c>
      <c r="B42" s="24" t="n">
        <v>434</v>
      </c>
      <c r="C42" s="25" t="inlineStr">
        <is>
          <t>OK</t>
        </is>
      </c>
      <c r="D42" s="24" t="n">
        <v>166.79</v>
      </c>
      <c r="E42" s="24" t="n">
        <v>1</v>
      </c>
      <c r="F42" s="4" t="b">
        <v>0</v>
      </c>
      <c r="G42" s="24" t="b">
        <v>0</v>
      </c>
      <c r="H42" s="4" t="b">
        <v>0</v>
      </c>
      <c r="I42" s="4" t="b">
        <v>0</v>
      </c>
      <c r="J42" s="4" t="b">
        <v>0</v>
      </c>
      <c r="K42" s="24" t="n">
        <v>11</v>
      </c>
      <c r="L42" s="24" t="b">
        <v>0</v>
      </c>
      <c r="M42">
        <f>IFERROR(HYPERLINK("#Main!A"&amp;MATCH(A42,Main!A:A,0),"Open"),HYPERLINK("#Main!A1","Open"))</f>
        <v/>
      </c>
    </row>
    <row r="43" ht="30" customHeight="1">
      <c r="A43" s="33" t="inlineStr">
        <is>
          <t>https://africanmarketingconfederation.org/amc-forum-mombasa/</t>
        </is>
      </c>
      <c r="B43" s="6" t="n">
        <v>1400</v>
      </c>
      <c r="C43" s="4" t="inlineStr">
        <is>
          <t>Strong</t>
        </is>
      </c>
      <c r="D43" s="6" t="n">
        <v>97.53</v>
      </c>
      <c r="E43" s="6" t="n">
        <v>1</v>
      </c>
      <c r="F43" s="4" t="b">
        <v>0</v>
      </c>
      <c r="G43" s="6" t="b">
        <v>0</v>
      </c>
      <c r="H43" s="4" t="b">
        <v>0</v>
      </c>
      <c r="I43" s="4" t="b">
        <v>0</v>
      </c>
      <c r="J43" s="4" t="b">
        <v>0</v>
      </c>
      <c r="K43" s="6" t="n">
        <v>13</v>
      </c>
      <c r="L43" s="6" t="b">
        <v>0</v>
      </c>
      <c r="M43">
        <f>IFERROR(HYPERLINK("#Main!A"&amp;MATCH(A43,Main!A:A,0),"Open"),HYPERLINK("#Main!A1","Open"))</f>
        <v/>
      </c>
    </row>
    <row r="44" ht="45" customHeight="1">
      <c r="A44" s="33" t="inlineStr">
        <is>
          <t>https://africanmarketingconfederation.org/amc-marketing-conference-2024/amc-speakers-presentations-2024/</t>
        </is>
      </c>
      <c r="B44" s="24" t="n">
        <v>66</v>
      </c>
      <c r="C44" s="32" t="inlineStr">
        <is>
          <t>Thin</t>
        </is>
      </c>
      <c r="D44" s="24" t="n">
        <v>173.34</v>
      </c>
      <c r="E44" s="24" t="n">
        <v>4</v>
      </c>
      <c r="F44" s="4" t="b">
        <v>0</v>
      </c>
      <c r="G44" s="24" t="b">
        <v>1</v>
      </c>
      <c r="H44" s="4" t="b">
        <v>0</v>
      </c>
      <c r="I44" s="4" t="b">
        <v>0</v>
      </c>
      <c r="J44" s="32" t="b">
        <v>1</v>
      </c>
      <c r="K44" s="24" t="n">
        <v>2</v>
      </c>
      <c r="L44" s="24" t="b">
        <v>1</v>
      </c>
      <c r="M44">
        <f>IFERROR(HYPERLINK("#Main!A"&amp;MATCH(A44,Main!A:A,0),"Open"),HYPERLINK("#Main!A1","Open"))</f>
        <v/>
      </c>
    </row>
    <row r="45" ht="30" customHeight="1">
      <c r="A45" s="33" t="inlineStr">
        <is>
          <t>https://africanmarketingconfederation.org/amc-marketing-conference-2024/testimony-thank-you-page/</t>
        </is>
      </c>
      <c r="B45" s="6" t="n">
        <v>66</v>
      </c>
      <c r="C45" s="32" t="inlineStr">
        <is>
          <t>Thin</t>
        </is>
      </c>
      <c r="D45" s="6" t="n">
        <v>173.34</v>
      </c>
      <c r="E45" s="6" t="n">
        <v>4</v>
      </c>
      <c r="F45" s="4" t="b">
        <v>0</v>
      </c>
      <c r="G45" s="6" t="b">
        <v>1</v>
      </c>
      <c r="H45" s="4" t="b">
        <v>0</v>
      </c>
      <c r="I45" s="4" t="b">
        <v>0</v>
      </c>
      <c r="J45" s="32" t="b">
        <v>1</v>
      </c>
      <c r="K45" s="6" t="n">
        <v>2</v>
      </c>
      <c r="L45" s="6" t="b">
        <v>1</v>
      </c>
      <c r="M45">
        <f>IFERROR(HYPERLINK("#Main!A"&amp;MATCH(A45,Main!A:A,0),"Open"),HYPERLINK("#Main!A1","Open"))</f>
        <v/>
      </c>
    </row>
    <row r="46" ht="30" customHeight="1">
      <c r="A46" s="33" t="inlineStr">
        <is>
          <t>https://africanmarketingconfederation.org/amc-sign-up-now-form-2025/</t>
        </is>
      </c>
      <c r="B46" s="24" t="n">
        <v>608</v>
      </c>
      <c r="C46" s="25" t="inlineStr">
        <is>
          <t>OK</t>
        </is>
      </c>
      <c r="D46" s="24" t="n">
        <v>118.68</v>
      </c>
      <c r="E46" s="24" t="n">
        <v>1</v>
      </c>
      <c r="F46" s="4" t="b">
        <v>0</v>
      </c>
      <c r="G46" s="24" t="b">
        <v>0</v>
      </c>
      <c r="H46" s="4" t="b">
        <v>0</v>
      </c>
      <c r="I46" s="4" t="b">
        <v>0</v>
      </c>
      <c r="J46" s="4" t="b">
        <v>0</v>
      </c>
      <c r="K46" s="24" t="n">
        <v>7</v>
      </c>
      <c r="L46" s="24" t="b">
        <v>0</v>
      </c>
      <c r="M46">
        <f>IFERROR(HYPERLINK("#Main!A"&amp;MATCH(A46,Main!A:A,0),"Open"),HYPERLINK("#Main!A1","Open"))</f>
        <v/>
      </c>
    </row>
    <row r="47" ht="30" customHeight="1">
      <c r="A47" s="33" t="inlineStr">
        <is>
          <t>https://africanmarketingconfederation.org/amc-marketing-conference-2024/</t>
        </is>
      </c>
      <c r="B47" s="6" t="n">
        <v>1400</v>
      </c>
      <c r="C47" s="4" t="inlineStr">
        <is>
          <t>Strong</t>
        </is>
      </c>
      <c r="D47" s="6" t="n">
        <v>97.53</v>
      </c>
      <c r="E47" s="6" t="n">
        <v>1</v>
      </c>
      <c r="F47" s="4" t="b">
        <v>0</v>
      </c>
      <c r="G47" s="6" t="b">
        <v>0</v>
      </c>
      <c r="H47" s="4" t="b">
        <v>0</v>
      </c>
      <c r="I47" s="4" t="b">
        <v>0</v>
      </c>
      <c r="J47" s="4" t="b">
        <v>0</v>
      </c>
      <c r="K47" s="6" t="n">
        <v>13</v>
      </c>
      <c r="L47" s="6" t="b">
        <v>0</v>
      </c>
      <c r="M47">
        <f>IFERROR(HYPERLINK("#Main!A"&amp;MATCH(A47,Main!A:A,0),"Open"),HYPERLINK("#Main!A1","Open"))</f>
        <v/>
      </c>
    </row>
    <row r="48" ht="30" customHeight="1">
      <c r="A48" s="33" t="inlineStr">
        <is>
          <t>https://africanmarketingconfederation.org/amc-testimony-page-2024/</t>
        </is>
      </c>
      <c r="B48" s="24" t="n">
        <v>622</v>
      </c>
      <c r="C48" s="25" t="inlineStr">
        <is>
          <t>OK</t>
        </is>
      </c>
      <c r="D48" s="24" t="n">
        <v>49</v>
      </c>
      <c r="E48" s="24" t="n">
        <v>1</v>
      </c>
      <c r="F48" s="4" t="b">
        <v>0</v>
      </c>
      <c r="G48" s="24" t="b">
        <v>0</v>
      </c>
      <c r="H48" s="4" t="b">
        <v>0</v>
      </c>
      <c r="I48" s="4" t="b">
        <v>0</v>
      </c>
      <c r="J48" s="4" t="b">
        <v>0</v>
      </c>
      <c r="K48" s="24" t="n">
        <v>4</v>
      </c>
      <c r="L48" s="24" t="b">
        <v>0</v>
      </c>
      <c r="M48">
        <f>IFERROR(HYPERLINK("#Main!A"&amp;MATCH(A48,Main!A:A,0),"Open"),HYPERLINK("#Main!A1","Open"))</f>
        <v/>
      </c>
    </row>
    <row r="49" ht="30" customHeight="1">
      <c r="A49" s="33" t="inlineStr">
        <is>
          <t>https://africanmarketingconfederation.org/thank-you-for-registering-2024-registrations/</t>
        </is>
      </c>
      <c r="B49" s="6" t="n">
        <v>153</v>
      </c>
      <c r="C49" s="32" t="inlineStr">
        <is>
          <t>Thin</t>
        </is>
      </c>
      <c r="D49" s="6" t="n">
        <v>155.07</v>
      </c>
      <c r="E49" s="6" t="n">
        <v>0</v>
      </c>
      <c r="F49" s="32" t="b">
        <v>1</v>
      </c>
      <c r="G49" s="6" t="b">
        <v>0</v>
      </c>
      <c r="H49" s="4" t="b">
        <v>0</v>
      </c>
      <c r="I49" s="4" t="b">
        <v>0</v>
      </c>
      <c r="J49" s="32" t="b">
        <v>1</v>
      </c>
      <c r="K49" s="6" t="n">
        <v>3</v>
      </c>
      <c r="L49" s="6" t="b">
        <v>1</v>
      </c>
      <c r="M49">
        <f>IFERROR(HYPERLINK("#Main!A"&amp;MATCH(A49,Main!A:A,0),"Open"),HYPERLINK("#Main!A1","Open"))</f>
        <v/>
      </c>
    </row>
    <row r="50" ht="30" customHeight="1">
      <c r="A50" s="33" t="inlineStr">
        <is>
          <t>https://africanmarketingconfederation.org/download-prospectus-2024/</t>
        </is>
      </c>
      <c r="B50" s="24" t="n">
        <v>88</v>
      </c>
      <c r="C50" s="32" t="inlineStr">
        <is>
          <t>Thin</t>
        </is>
      </c>
      <c r="D50" s="24" t="n">
        <v>177.06</v>
      </c>
      <c r="E50" s="24" t="n">
        <v>0</v>
      </c>
      <c r="F50" s="32" t="b">
        <v>1</v>
      </c>
      <c r="G50" s="24" t="b">
        <v>0</v>
      </c>
      <c r="H50" s="4" t="b">
        <v>0</v>
      </c>
      <c r="I50" s="4" t="b">
        <v>0</v>
      </c>
      <c r="J50" s="32" t="b">
        <v>1</v>
      </c>
      <c r="K50" s="24" t="n">
        <v>3</v>
      </c>
      <c r="L50" s="24" t="b">
        <v>1</v>
      </c>
      <c r="M50">
        <f>IFERROR(HYPERLINK("#Main!A"&amp;MATCH(A50,Main!A:A,0),"Open"),HYPERLINK("#Main!A1","Open"))</f>
        <v/>
      </c>
    </row>
    <row r="51" ht="30" customHeight="1">
      <c r="A51" s="33" t="inlineStr">
        <is>
          <t>https://africanmarketingconfederation.org/thank-you-for-registering-2024-registrations-kenya/</t>
        </is>
      </c>
      <c r="B51" s="6" t="n">
        <v>141</v>
      </c>
      <c r="C51" s="32" t="inlineStr">
        <is>
          <t>Thin</t>
        </is>
      </c>
      <c r="D51" s="6" t="n">
        <v>135.28</v>
      </c>
      <c r="E51" s="6" t="n">
        <v>0</v>
      </c>
      <c r="F51" s="32" t="b">
        <v>1</v>
      </c>
      <c r="G51" s="6" t="b">
        <v>0</v>
      </c>
      <c r="H51" s="4" t="b">
        <v>0</v>
      </c>
      <c r="I51" s="4" t="b">
        <v>0</v>
      </c>
      <c r="J51" s="32" t="b">
        <v>1</v>
      </c>
      <c r="K51" s="6" t="n">
        <v>2</v>
      </c>
      <c r="L51" s="6" t="b">
        <v>1</v>
      </c>
      <c r="M51">
        <f>IFERROR(HYPERLINK("#Main!A"&amp;MATCH(A51,Main!A:A,0),"Open"),HYPERLINK("#Main!A1","Open"))</f>
        <v/>
      </c>
    </row>
    <row r="52" ht="30" customHeight="1">
      <c r="A52" s="33" t="inlineStr">
        <is>
          <t>https://africanmarketingconfederation.org/subscribe/</t>
        </is>
      </c>
      <c r="B52" s="24" t="n">
        <v>502</v>
      </c>
      <c r="C52" s="25" t="inlineStr">
        <is>
          <t>OK</t>
        </is>
      </c>
      <c r="D52" s="24" t="n">
        <v>104.93</v>
      </c>
      <c r="E52" s="24" t="n">
        <v>0</v>
      </c>
      <c r="F52" s="32" t="b">
        <v>1</v>
      </c>
      <c r="G52" s="24" t="b">
        <v>0</v>
      </c>
      <c r="H52" s="4" t="b">
        <v>0</v>
      </c>
      <c r="I52" s="4" t="b">
        <v>0</v>
      </c>
      <c r="J52" s="4" t="b">
        <v>0</v>
      </c>
      <c r="K52" s="24" t="n">
        <v>5</v>
      </c>
      <c r="L52" s="24" t="b">
        <v>0</v>
      </c>
      <c r="M52">
        <f>IFERROR(HYPERLINK("#Main!A"&amp;MATCH(A52,Main!A:A,0),"Open"),HYPERLINK("#Main!A1","Open"))</f>
        <v/>
      </c>
    </row>
    <row r="53" ht="30" customHeight="1">
      <c r="A53" s="33" t="inlineStr">
        <is>
          <t>https://africanmarketingconfederation.org/amc-marketing-conference-2024/speakers-2024/</t>
        </is>
      </c>
      <c r="B53" s="6" t="n">
        <v>0</v>
      </c>
      <c r="C53" s="6" t="b">
        <v>0</v>
      </c>
      <c r="D53" s="6" t="b">
        <v>0</v>
      </c>
      <c r="E53" s="6" t="n">
        <v>0</v>
      </c>
      <c r="F53" s="4" t="b">
        <v>0</v>
      </c>
      <c r="G53" s="6" t="b">
        <v>0</v>
      </c>
      <c r="H53" s="32" t="b">
        <v>1</v>
      </c>
      <c r="I53" s="32" t="b">
        <v>1</v>
      </c>
      <c r="J53" s="4" t="b">
        <v>0</v>
      </c>
      <c r="K53" s="6" t="n">
        <v>0</v>
      </c>
      <c r="L53" s="6" t="b">
        <v>0</v>
      </c>
      <c r="M53">
        <f>IFERROR(HYPERLINK("#Main!A"&amp;MATCH(A53,Main!A:A,0),"Open"),HYPERLINK("#Main!A1","Open"))</f>
        <v/>
      </c>
    </row>
    <row r="54" ht="30" customHeight="1">
      <c r="A54" s="33" t="inlineStr">
        <is>
          <t>https://africanmarketingconfederation.org/amc-conference-sponsors/</t>
        </is>
      </c>
      <c r="B54" s="24" t="n">
        <v>0</v>
      </c>
      <c r="C54" s="24" t="b">
        <v>0</v>
      </c>
      <c r="D54" s="24" t="b">
        <v>0</v>
      </c>
      <c r="E54" s="24" t="n">
        <v>0</v>
      </c>
      <c r="F54" s="4" t="b">
        <v>0</v>
      </c>
      <c r="G54" s="24" t="b">
        <v>0</v>
      </c>
      <c r="H54" s="32" t="b">
        <v>1</v>
      </c>
      <c r="I54" s="32" t="b">
        <v>1</v>
      </c>
      <c r="J54" s="4" t="b">
        <v>0</v>
      </c>
      <c r="K54" s="24" t="n">
        <v>0</v>
      </c>
      <c r="L54" s="24" t="b">
        <v>0</v>
      </c>
      <c r="M54">
        <f>IFERROR(HYPERLINK("#Main!A"&amp;MATCH(A54,Main!A:A,0),"Open"),HYPERLINK("#Main!A1","Open"))</f>
        <v/>
      </c>
    </row>
    <row r="55" ht="30" customHeight="1">
      <c r="A55" s="33" t="inlineStr">
        <is>
          <t>https://africanmarketingconfederation.org/elementor-20341/</t>
        </is>
      </c>
      <c r="B55" s="6" t="n">
        <v>79</v>
      </c>
      <c r="C55" s="32" t="inlineStr">
        <is>
          <t>Thin</t>
        </is>
      </c>
      <c r="D55" s="6" t="n">
        <v>166.74</v>
      </c>
      <c r="E55" s="6" t="n">
        <v>0</v>
      </c>
      <c r="F55" s="32" t="b">
        <v>1</v>
      </c>
      <c r="G55" s="6" t="b">
        <v>0</v>
      </c>
      <c r="H55" s="4" t="b">
        <v>0</v>
      </c>
      <c r="I55" s="32" t="b">
        <v>1</v>
      </c>
      <c r="J55" s="32" t="b">
        <v>1</v>
      </c>
      <c r="K55" s="6" t="n">
        <v>2</v>
      </c>
      <c r="L55" s="6" t="b">
        <v>1</v>
      </c>
      <c r="M55">
        <f>IFERROR(HYPERLINK("#Main!A"&amp;MATCH(A55,Main!A:A,0),"Open"),HYPERLINK("#Main!A1","Open"))</f>
        <v/>
      </c>
    </row>
    <row r="56" ht="30" customHeight="1">
      <c r="A56" s="33" t="inlineStr">
        <is>
          <t>https://africanmarketingconfederation.org/chartered-marketer-africa-final-submission-fee/</t>
        </is>
      </c>
      <c r="B56" s="24" t="n">
        <v>147</v>
      </c>
      <c r="C56" s="32" t="inlineStr">
        <is>
          <t>Thin</t>
        </is>
      </c>
      <c r="D56" s="24" t="n">
        <v>157.1</v>
      </c>
      <c r="E56" s="24" t="n">
        <v>1</v>
      </c>
      <c r="F56" s="4" t="b">
        <v>0</v>
      </c>
      <c r="G56" s="24" t="b">
        <v>0</v>
      </c>
      <c r="H56" s="4" t="b">
        <v>0</v>
      </c>
      <c r="I56" s="4" t="b">
        <v>0</v>
      </c>
      <c r="J56" s="32" t="b">
        <v>1</v>
      </c>
      <c r="K56" s="24" t="n">
        <v>3</v>
      </c>
      <c r="L56" s="24" t="b">
        <v>1</v>
      </c>
      <c r="M56">
        <f>IFERROR(HYPERLINK("#Main!A"&amp;MATCH(A56,Main!A:A,0),"Open"),HYPERLINK("#Main!A1","Open"))</f>
        <v/>
      </c>
    </row>
    <row r="57" ht="30" customHeight="1">
      <c r="A57" s="33" t="inlineStr">
        <is>
          <t>https://africanmarketingconfederation.org/chartered-marketer-africa-programme-fee/</t>
        </is>
      </c>
      <c r="B57" s="6" t="n">
        <v>145</v>
      </c>
      <c r="C57" s="32" t="inlineStr">
        <is>
          <t>Thin</t>
        </is>
      </c>
      <c r="D57" s="6" t="n">
        <v>157.78</v>
      </c>
      <c r="E57" s="6" t="n">
        <v>1</v>
      </c>
      <c r="F57" s="4" t="b">
        <v>0</v>
      </c>
      <c r="G57" s="6" t="b">
        <v>0</v>
      </c>
      <c r="H57" s="4" t="b">
        <v>0</v>
      </c>
      <c r="I57" s="4" t="b">
        <v>0</v>
      </c>
      <c r="J57" s="32" t="b">
        <v>1</v>
      </c>
      <c r="K57" s="6" t="n">
        <v>3</v>
      </c>
      <c r="L57" s="6" t="b">
        <v>1</v>
      </c>
      <c r="M57">
        <f>IFERROR(HYPERLINK("#Main!A"&amp;MATCH(A57,Main!A:A,0),"Open"),HYPERLINK("#Main!A1","Open"))</f>
        <v/>
      </c>
    </row>
    <row r="58" ht="30" customHeight="1">
      <c r="A58" s="33" t="inlineStr">
        <is>
          <t>https://africanmarketingconfederation.org/download-brochure/</t>
        </is>
      </c>
      <c r="B58" s="24" t="n">
        <v>92</v>
      </c>
      <c r="C58" s="32" t="inlineStr">
        <is>
          <t>Thin</t>
        </is>
      </c>
      <c r="D58" s="24" t="n">
        <v>160.15</v>
      </c>
      <c r="E58" s="24" t="n">
        <v>0</v>
      </c>
      <c r="F58" s="32" t="b">
        <v>1</v>
      </c>
      <c r="G58" s="24" t="b">
        <v>0</v>
      </c>
      <c r="H58" s="4" t="b">
        <v>0</v>
      </c>
      <c r="I58" s="4" t="b">
        <v>0</v>
      </c>
      <c r="J58" s="32" t="b">
        <v>1</v>
      </c>
      <c r="K58" s="24" t="n">
        <v>2</v>
      </c>
      <c r="L58" s="24" t="b">
        <v>1</v>
      </c>
      <c r="M58">
        <f>IFERROR(HYPERLINK("#Main!A"&amp;MATCH(A58,Main!A:A,0),"Open"),HYPERLINK("#Main!A1","Open"))</f>
        <v/>
      </c>
    </row>
    <row r="59" ht="30" customHeight="1">
      <c r="A59" s="33" t="inlineStr">
        <is>
          <t>https://africanmarketingconfederation.org/thank-you-for-the-nomination-2024/</t>
        </is>
      </c>
      <c r="B59" s="6" t="n">
        <v>133</v>
      </c>
      <c r="C59" s="32" t="inlineStr">
        <is>
          <t>Thin</t>
        </is>
      </c>
      <c r="D59" s="6" t="n">
        <v>139.34</v>
      </c>
      <c r="E59" s="6" t="n">
        <v>0</v>
      </c>
      <c r="F59" s="32" t="b">
        <v>1</v>
      </c>
      <c r="G59" s="6" t="b">
        <v>0</v>
      </c>
      <c r="H59" s="4" t="b">
        <v>0</v>
      </c>
      <c r="I59" s="4" t="b">
        <v>0</v>
      </c>
      <c r="J59" s="32" t="b">
        <v>1</v>
      </c>
      <c r="K59" s="6" t="n">
        <v>2</v>
      </c>
      <c r="L59" s="6" t="b">
        <v>1</v>
      </c>
      <c r="M59">
        <f>IFERROR(HYPERLINK("#Main!A"&amp;MATCH(A59,Main!A:A,0),"Open"),HYPERLINK("#Main!A1","Open"))</f>
        <v/>
      </c>
    </row>
    <row r="60" ht="30" customHeight="1">
      <c r="A60" s="33" t="inlineStr">
        <is>
          <t>https://africanmarketingconfederation.org/thank-you-for-the-submission-2024/</t>
        </is>
      </c>
      <c r="B60" s="24" t="n">
        <v>87</v>
      </c>
      <c r="C60" s="32" t="inlineStr">
        <is>
          <t>Thin</t>
        </is>
      </c>
      <c r="D60" s="24" t="n">
        <v>162.68</v>
      </c>
      <c r="E60" s="24" t="n">
        <v>0</v>
      </c>
      <c r="F60" s="32" t="b">
        <v>1</v>
      </c>
      <c r="G60" s="24" t="b">
        <v>0</v>
      </c>
      <c r="H60" s="4" t="b">
        <v>0</v>
      </c>
      <c r="I60" s="4" t="b">
        <v>0</v>
      </c>
      <c r="J60" s="32" t="b">
        <v>1</v>
      </c>
      <c r="K60" s="24" t="n">
        <v>2</v>
      </c>
      <c r="L60" s="24" t="b">
        <v>1</v>
      </c>
      <c r="M60">
        <f>IFERROR(HYPERLINK("#Main!A"&amp;MATCH(A60,Main!A:A,0),"Open"),HYPERLINK("#Main!A1","Open"))</f>
        <v/>
      </c>
    </row>
    <row r="61" ht="30" customHeight="1">
      <c r="A61" s="33" t="inlineStr">
        <is>
          <t>https://africanmarketingconfederation.org/amc-conference-2024-sponsors-packages/</t>
        </is>
      </c>
      <c r="B61" s="6" t="n">
        <v>145</v>
      </c>
      <c r="C61" s="32" t="inlineStr">
        <is>
          <t>Thin</t>
        </is>
      </c>
      <c r="D61" s="6" t="n">
        <v>133.25</v>
      </c>
      <c r="E61" s="6" t="n">
        <v>1</v>
      </c>
      <c r="F61" s="4" t="b">
        <v>0</v>
      </c>
      <c r="G61" s="6" t="b">
        <v>0</v>
      </c>
      <c r="H61" s="4" t="b">
        <v>0</v>
      </c>
      <c r="I61" s="4" t="b">
        <v>0</v>
      </c>
      <c r="J61" s="32" t="b">
        <v>1</v>
      </c>
      <c r="K61" s="6" t="n">
        <v>2</v>
      </c>
      <c r="L61" s="6" t="b">
        <v>1</v>
      </c>
      <c r="M61">
        <f>IFERROR(HYPERLINK("#Main!A"&amp;MATCH(A61,Main!A:A,0),"Open"),HYPERLINK("#Main!A1","Open"))</f>
        <v/>
      </c>
    </row>
    <row r="62" ht="30" customHeight="1">
      <c r="A62" s="33" t="inlineStr">
        <is>
          <t>https://africanmarketingconfederation.org/elementor-16548/</t>
        </is>
      </c>
      <c r="B62" s="24" t="n">
        <v>113</v>
      </c>
      <c r="C62" s="32" t="inlineStr">
        <is>
          <t>Thin</t>
        </is>
      </c>
      <c r="D62" s="24" t="n">
        <v>168.6</v>
      </c>
      <c r="E62" s="24" t="n">
        <v>0</v>
      </c>
      <c r="F62" s="32" t="b">
        <v>1</v>
      </c>
      <c r="G62" s="24" t="b">
        <v>0</v>
      </c>
      <c r="H62" s="4" t="b">
        <v>0</v>
      </c>
      <c r="I62" s="4" t="b">
        <v>0</v>
      </c>
      <c r="J62" s="32" t="b">
        <v>1</v>
      </c>
      <c r="K62" s="24" t="n">
        <v>3</v>
      </c>
      <c r="L62" s="24" t="b">
        <v>1</v>
      </c>
      <c r="M62">
        <f>IFERROR(HYPERLINK("#Main!A"&amp;MATCH(A62,Main!A:A,0),"Open"),HYPERLINK("#Main!A1","Open"))</f>
        <v/>
      </c>
    </row>
    <row r="63" ht="30" customHeight="1">
      <c r="A63" s="33" t="inlineStr">
        <is>
          <t>https://africanmarketingconfederation.org/amc-marketing-conference-2024/programme-2024/</t>
        </is>
      </c>
      <c r="B63" s="6" t="n">
        <v>1335</v>
      </c>
      <c r="C63" s="4" t="inlineStr">
        <is>
          <t>Strong</t>
        </is>
      </c>
      <c r="D63" s="6" t="n">
        <v>139.08</v>
      </c>
      <c r="E63" s="6" t="n">
        <v>1</v>
      </c>
      <c r="F63" s="4" t="b">
        <v>0</v>
      </c>
      <c r="G63" s="6" t="b">
        <v>0</v>
      </c>
      <c r="H63" s="4" t="b">
        <v>0</v>
      </c>
      <c r="I63" s="4" t="b">
        <v>0</v>
      </c>
      <c r="J63" s="4" t="b">
        <v>0</v>
      </c>
      <c r="K63" s="6" t="n">
        <v>20</v>
      </c>
      <c r="L63" s="6" t="b">
        <v>0</v>
      </c>
      <c r="M63">
        <f>IFERROR(HYPERLINK("#Main!A"&amp;MATCH(A63,Main!A:A,0),"Open"),HYPERLINK("#Main!A1","Open"))</f>
        <v/>
      </c>
    </row>
    <row r="64" ht="30" customHeight="1">
      <c r="A64" s="33" t="inlineStr">
        <is>
          <t>https://africanmarketingconfederation.org/amc-conference-2023/programme/</t>
        </is>
      </c>
      <c r="B64" s="24" t="n">
        <v>730</v>
      </c>
      <c r="C64" s="25" t="inlineStr">
        <is>
          <t>OK</t>
        </is>
      </c>
      <c r="D64" s="24" t="n">
        <v>163.25</v>
      </c>
      <c r="E64" s="24" t="n">
        <v>1</v>
      </c>
      <c r="F64" s="4" t="b">
        <v>0</v>
      </c>
      <c r="G64" s="24" t="b">
        <v>0</v>
      </c>
      <c r="H64" s="4" t="b">
        <v>0</v>
      </c>
      <c r="I64" s="4" t="b">
        <v>0</v>
      </c>
      <c r="J64" s="4" t="b">
        <v>0</v>
      </c>
      <c r="K64" s="24" t="n">
        <v>17</v>
      </c>
      <c r="L64" s="24" t="b">
        <v>0</v>
      </c>
      <c r="M64">
        <f>IFERROR(HYPERLINK("#Main!A"&amp;MATCH(A64,Main!A:A,0),"Open"),HYPERLINK("#Main!A1","Open"))</f>
        <v/>
      </c>
    </row>
    <row r="65" ht="30" customHeight="1">
      <c r="A65" s="33" t="inlineStr">
        <is>
          <t>https://africanmarketingconfederation.org/amc-conference-2023/amc-awards/</t>
        </is>
      </c>
      <c r="B65" s="6" t="n">
        <v>362</v>
      </c>
      <c r="C65" s="25" t="inlineStr">
        <is>
          <t>OK</t>
        </is>
      </c>
      <c r="D65" s="6" t="n">
        <v>176.22</v>
      </c>
      <c r="E65" s="6" t="n">
        <v>1</v>
      </c>
      <c r="F65" s="4" t="b">
        <v>0</v>
      </c>
      <c r="G65" s="6" t="b">
        <v>0</v>
      </c>
      <c r="H65" s="4" t="b">
        <v>0</v>
      </c>
      <c r="I65" s="4" t="b">
        <v>0</v>
      </c>
      <c r="J65" s="4" t="b">
        <v>0</v>
      </c>
      <c r="K65" s="6" t="n">
        <v>12</v>
      </c>
      <c r="L65" s="6" t="b">
        <v>0</v>
      </c>
      <c r="M65">
        <f>IFERROR(HYPERLINK("#Main!A"&amp;MATCH(A65,Main!A:A,0),"Open"),HYPERLINK("#Main!A1","Open"))</f>
        <v/>
      </c>
    </row>
    <row r="66" ht="30" customHeight="1">
      <c r="A66" s="33" t="inlineStr">
        <is>
          <t>https://africanmarketingconfederation.org/amc-conference-2023/partners/</t>
        </is>
      </c>
      <c r="B66" s="24" t="n">
        <v>72</v>
      </c>
      <c r="C66" s="32" t="inlineStr">
        <is>
          <t>Thin</t>
        </is>
      </c>
      <c r="D66" s="24" t="n">
        <v>170.3</v>
      </c>
      <c r="E66" s="24" t="n">
        <v>1</v>
      </c>
      <c r="F66" s="4" t="b">
        <v>0</v>
      </c>
      <c r="G66" s="24" t="b">
        <v>0</v>
      </c>
      <c r="H66" s="4" t="b">
        <v>0</v>
      </c>
      <c r="I66" s="4" t="b">
        <v>0</v>
      </c>
      <c r="J66" s="32" t="b">
        <v>1</v>
      </c>
      <c r="K66" s="24" t="n">
        <v>2</v>
      </c>
      <c r="L66" s="24" t="b">
        <v>1</v>
      </c>
      <c r="M66">
        <f>IFERROR(HYPERLINK("#Main!A"&amp;MATCH(A66,Main!A:A,0),"Open"),HYPERLINK("#Main!A1","Open"))</f>
        <v/>
      </c>
    </row>
    <row r="67" ht="30" customHeight="1">
      <c r="A67" s="33" t="inlineStr">
        <is>
          <t>https://africanmarketingconfederation.org/amc-conference-2023/speakers/</t>
        </is>
      </c>
      <c r="B67" s="6" t="n">
        <v>2694</v>
      </c>
      <c r="C67" s="4" t="inlineStr">
        <is>
          <t>Strong</t>
        </is>
      </c>
      <c r="D67" s="6" t="n">
        <v>180.79</v>
      </c>
      <c r="E67" s="6" t="n">
        <v>1</v>
      </c>
      <c r="F67" s="4" t="b">
        <v>0</v>
      </c>
      <c r="G67" s="6" t="b">
        <v>0</v>
      </c>
      <c r="H67" s="4" t="b">
        <v>0</v>
      </c>
      <c r="I67" s="4" t="b">
        <v>0</v>
      </c>
      <c r="J67" s="4" t="b">
        <v>0</v>
      </c>
      <c r="K67" s="6" t="n">
        <v>105</v>
      </c>
      <c r="L67" s="6" t="b">
        <v>0</v>
      </c>
      <c r="M67">
        <f>IFERROR(HYPERLINK("#Main!A"&amp;MATCH(A67,Main!A:A,0),"Open"),HYPERLINK("#Main!A1","Open"))</f>
        <v/>
      </c>
    </row>
    <row r="68" ht="30" customHeight="1">
      <c r="A68" s="33" t="inlineStr">
        <is>
          <t>https://africanmarketingconfederation.org/chartered-marketer-africa-thank-you/</t>
        </is>
      </c>
      <c r="B68" s="24" t="n">
        <v>95</v>
      </c>
      <c r="C68" s="32" t="inlineStr">
        <is>
          <t>Thin</t>
        </is>
      </c>
      <c r="D68" s="24" t="n">
        <v>174.69</v>
      </c>
      <c r="E68" s="24" t="n">
        <v>0</v>
      </c>
      <c r="F68" s="32" t="b">
        <v>1</v>
      </c>
      <c r="G68" s="24" t="b">
        <v>0</v>
      </c>
      <c r="H68" s="4" t="b">
        <v>0</v>
      </c>
      <c r="I68" s="4" t="b">
        <v>0</v>
      </c>
      <c r="J68" s="32" t="b">
        <v>1</v>
      </c>
      <c r="K68" s="24" t="n">
        <v>3</v>
      </c>
      <c r="L68" s="24" t="b">
        <v>1</v>
      </c>
      <c r="M68">
        <f>IFERROR(HYPERLINK("#Main!A"&amp;MATCH(A68,Main!A:A,0),"Open"),HYPERLINK("#Main!A1","Open"))</f>
        <v/>
      </c>
    </row>
    <row r="69" ht="30" customHeight="1">
      <c r="A69" s="33" t="inlineStr">
        <is>
          <t>https://africanmarketingconfederation.org/amc-conference-2023/amc-awards-book-now/</t>
        </is>
      </c>
      <c r="B69" s="6" t="n">
        <v>67</v>
      </c>
      <c r="C69" s="32" t="inlineStr">
        <is>
          <t>Thin</t>
        </is>
      </c>
      <c r="D69" s="6" t="n">
        <v>172.83</v>
      </c>
      <c r="E69" s="6" t="n">
        <v>0</v>
      </c>
      <c r="F69" s="32" t="b">
        <v>1</v>
      </c>
      <c r="G69" s="6" t="b">
        <v>0</v>
      </c>
      <c r="H69" s="4" t="b">
        <v>0</v>
      </c>
      <c r="I69" s="32" t="b">
        <v>1</v>
      </c>
      <c r="J69" s="32" t="b">
        <v>1</v>
      </c>
      <c r="K69" s="6" t="n">
        <v>2</v>
      </c>
      <c r="L69" s="6" t="b">
        <v>1</v>
      </c>
      <c r="M69">
        <f>IFERROR(HYPERLINK("#Main!A"&amp;MATCH(A69,Main!A:A,0),"Open"),HYPERLINK("#Main!A1","Open"))</f>
        <v/>
      </c>
    </row>
    <row r="70" ht="30" customHeight="1">
      <c r="A70" s="33" t="inlineStr">
        <is>
          <t>https://africanmarketingconfederation.org/amc-conference-2023/book-now/</t>
        </is>
      </c>
      <c r="B70" s="24" t="n">
        <v>231</v>
      </c>
      <c r="C70" s="32" t="inlineStr">
        <is>
          <t>Thin</t>
        </is>
      </c>
      <c r="D70" s="24" t="n">
        <v>89.59999999999999</v>
      </c>
      <c r="E70" s="24" t="n">
        <v>1</v>
      </c>
      <c r="F70" s="4" t="b">
        <v>0</v>
      </c>
      <c r="G70" s="24" t="b">
        <v>0</v>
      </c>
      <c r="H70" s="4" t="b">
        <v>0</v>
      </c>
      <c r="I70" s="4" t="b">
        <v>0</v>
      </c>
      <c r="J70" s="32" t="b">
        <v>1</v>
      </c>
      <c r="K70" s="24" t="n">
        <v>2</v>
      </c>
      <c r="L70" s="24" t="b">
        <v>1</v>
      </c>
      <c r="M70">
        <f>IFERROR(HYPERLINK("#Main!A"&amp;MATCH(A70,Main!A:A,0),"Open"),HYPERLINK("#Main!A1","Open"))</f>
        <v/>
      </c>
    </row>
    <row r="71" ht="30" customHeight="1">
      <c r="A71" s="33" t="inlineStr">
        <is>
          <t>https://africanmarketingconfederation.org/amc-conference-2023/download-prospectus/</t>
        </is>
      </c>
      <c r="B71" s="6" t="n">
        <v>136</v>
      </c>
      <c r="C71" s="32" t="inlineStr">
        <is>
          <t>Thin</t>
        </is>
      </c>
      <c r="D71" s="6" t="n">
        <v>137.81</v>
      </c>
      <c r="E71" s="6" t="n">
        <v>1</v>
      </c>
      <c r="F71" s="4" t="b">
        <v>0</v>
      </c>
      <c r="G71" s="6" t="b">
        <v>0</v>
      </c>
      <c r="H71" s="4" t="b">
        <v>0</v>
      </c>
      <c r="I71" s="4" t="b">
        <v>0</v>
      </c>
      <c r="J71" s="32" t="b">
        <v>1</v>
      </c>
      <c r="K71" s="6" t="n">
        <v>2</v>
      </c>
      <c r="L71" s="6" t="b">
        <v>1</v>
      </c>
      <c r="M71">
        <f>IFERROR(HYPERLINK("#Main!A"&amp;MATCH(A71,Main!A:A,0),"Open"),HYPERLINK("#Main!A1","Open"))</f>
        <v/>
      </c>
    </row>
    <row r="72" ht="30" customHeight="1">
      <c r="A72" s="33" t="inlineStr">
        <is>
          <t>https://africanmarketingconfederation.org/thank-you-for-subscribing/</t>
        </is>
      </c>
      <c r="B72" s="24" t="n">
        <v>219</v>
      </c>
      <c r="C72" s="32" t="inlineStr">
        <is>
          <t>Thin</t>
        </is>
      </c>
      <c r="D72" s="24" t="n">
        <v>184.61</v>
      </c>
      <c r="E72" s="24" t="n">
        <v>0</v>
      </c>
      <c r="F72" s="32" t="b">
        <v>1</v>
      </c>
      <c r="G72" s="24" t="b">
        <v>0</v>
      </c>
      <c r="H72" s="4" t="b">
        <v>0</v>
      </c>
      <c r="I72" s="4" t="b">
        <v>0</v>
      </c>
      <c r="J72" s="32" t="b">
        <v>1</v>
      </c>
      <c r="K72" s="24" t="n">
        <v>10</v>
      </c>
      <c r="L72" s="24" t="b">
        <v>1</v>
      </c>
      <c r="M72">
        <f>IFERROR(HYPERLINK("#Main!A"&amp;MATCH(A72,Main!A:A,0),"Open"),HYPERLINK("#Main!A1","Open"))</f>
        <v/>
      </c>
    </row>
    <row r="73" ht="30" customHeight="1">
      <c r="A73" s="33" t="inlineStr">
        <is>
          <t>https://africanmarketingconfederation.org/amc-conference-2023/book-now-thank-you/</t>
        </is>
      </c>
      <c r="B73" s="6" t="n">
        <v>81</v>
      </c>
      <c r="C73" s="32" t="inlineStr">
        <is>
          <t>Thin</t>
        </is>
      </c>
      <c r="D73" s="6" t="n">
        <v>179.43</v>
      </c>
      <c r="E73" s="6" t="n">
        <v>0</v>
      </c>
      <c r="F73" s="32" t="b">
        <v>1</v>
      </c>
      <c r="G73" s="6" t="b">
        <v>0</v>
      </c>
      <c r="H73" s="4" t="b">
        <v>0</v>
      </c>
      <c r="I73" s="4" t="b">
        <v>0</v>
      </c>
      <c r="J73" s="32" t="b">
        <v>1</v>
      </c>
      <c r="K73" s="6" t="n">
        <v>3</v>
      </c>
      <c r="L73" s="6" t="b">
        <v>1</v>
      </c>
      <c r="M73">
        <f>IFERROR(HYPERLINK("#Main!A"&amp;MATCH(A73,Main!A:A,0),"Open"),HYPERLINK("#Main!A1","Open"))</f>
        <v/>
      </c>
    </row>
    <row r="74" ht="30" customHeight="1">
      <c r="A74" s="33" t="inlineStr">
        <is>
          <t>https://africanmarketingconfederation.org/upcoming-events/</t>
        </is>
      </c>
      <c r="B74" s="24" t="n">
        <v>142</v>
      </c>
      <c r="C74" s="32" t="inlineStr">
        <is>
          <t>Thin</t>
        </is>
      </c>
      <c r="D74" s="24" t="n">
        <v>178.01</v>
      </c>
      <c r="E74" s="24" t="n">
        <v>0</v>
      </c>
      <c r="F74" s="32" t="b">
        <v>1</v>
      </c>
      <c r="G74" s="24" t="b">
        <v>0</v>
      </c>
      <c r="H74" s="4" t="b">
        <v>0</v>
      </c>
      <c r="I74" s="4" t="b">
        <v>0</v>
      </c>
      <c r="J74" s="32" t="b">
        <v>1</v>
      </c>
      <c r="K74" s="24" t="n">
        <v>5</v>
      </c>
      <c r="L74" s="24" t="b">
        <v>1</v>
      </c>
      <c r="M74">
        <f>IFERROR(HYPERLINK("#Main!A"&amp;MATCH(A74,Main!A:A,0),"Open"),HYPERLINK("#Main!A1","Open"))</f>
        <v/>
      </c>
    </row>
    <row r="75" ht="30" customHeight="1">
      <c r="A75" s="33" t="inlineStr">
        <is>
          <t>https://africanmarketingconfederation.org/amc-conference-thank-you/</t>
        </is>
      </c>
      <c r="B75" s="6" t="n">
        <v>359</v>
      </c>
      <c r="C75" s="25" t="inlineStr">
        <is>
          <t>OK</t>
        </is>
      </c>
      <c r="D75" s="6" t="n">
        <v>173.71</v>
      </c>
      <c r="E75" s="6" t="n">
        <v>1</v>
      </c>
      <c r="F75" s="4" t="b">
        <v>0</v>
      </c>
      <c r="G75" s="6" t="b">
        <v>0</v>
      </c>
      <c r="H75" s="4" t="b">
        <v>0</v>
      </c>
      <c r="I75" s="4" t="b">
        <v>0</v>
      </c>
      <c r="J75" s="4" t="b">
        <v>0</v>
      </c>
      <c r="K75" s="6" t="n">
        <v>11</v>
      </c>
      <c r="L75" s="6" t="b">
        <v>0</v>
      </c>
      <c r="M75">
        <f>IFERROR(HYPERLINK("#Main!A"&amp;MATCH(A75,Main!A:A,0),"Open"),HYPERLINK("#Main!A1","Open"))</f>
        <v/>
      </c>
    </row>
    <row r="76" ht="30" customHeight="1">
      <c r="A76" s="33" t="inlineStr">
        <is>
          <t>https://africanmarketingconfederation.org/amc-masterclass/</t>
        </is>
      </c>
      <c r="B76" s="24" t="n">
        <v>278</v>
      </c>
      <c r="C76" s="32" t="inlineStr">
        <is>
          <t>Thin</t>
        </is>
      </c>
      <c r="D76" s="24" t="n">
        <v>171.56</v>
      </c>
      <c r="E76" s="24" t="n">
        <v>0</v>
      </c>
      <c r="F76" s="32" t="b">
        <v>1</v>
      </c>
      <c r="G76" s="24" t="b">
        <v>0</v>
      </c>
      <c r="H76" s="4" t="b">
        <v>0</v>
      </c>
      <c r="I76" s="4" t="b">
        <v>0</v>
      </c>
      <c r="J76" s="32" t="b">
        <v>1</v>
      </c>
      <c r="K76" s="24" t="n">
        <v>8</v>
      </c>
      <c r="L76" s="24" t="b">
        <v>1</v>
      </c>
      <c r="M76">
        <f>IFERROR(HYPERLINK("#Main!A"&amp;MATCH(A76,Main!A:A,0),"Open"),HYPERLINK("#Main!A1","Open"))</f>
        <v/>
      </c>
    </row>
    <row r="77" ht="30" customHeight="1">
      <c r="A77" s="33" t="inlineStr">
        <is>
          <t>https://africanmarketingconfederation.org/amc-relaunch-programme/</t>
        </is>
      </c>
      <c r="B77" s="6" t="n">
        <v>516</v>
      </c>
      <c r="C77" s="25" t="inlineStr">
        <is>
          <t>OK</t>
        </is>
      </c>
      <c r="D77" s="6" t="n">
        <v>169.43</v>
      </c>
      <c r="E77" s="6" t="n">
        <v>0</v>
      </c>
      <c r="F77" s="32" t="b">
        <v>1</v>
      </c>
      <c r="G77" s="6" t="b">
        <v>0</v>
      </c>
      <c r="H77" s="4" t="b">
        <v>0</v>
      </c>
      <c r="I77" s="4" t="b">
        <v>0</v>
      </c>
      <c r="J77" s="4" t="b">
        <v>0</v>
      </c>
      <c r="K77" s="6" t="n">
        <v>14</v>
      </c>
      <c r="L77" s="6" t="b">
        <v>0</v>
      </c>
      <c r="M77">
        <f>IFERROR(HYPERLINK("#Main!A"&amp;MATCH(A77,Main!A:A,0),"Open"),HYPERLINK("#Main!A1","Open"))</f>
        <v/>
      </c>
    </row>
    <row r="78" ht="30" customHeight="1">
      <c r="A78" s="33" t="inlineStr">
        <is>
          <t>https://africanmarketingconfederation.org/amc-masterclass-thank-you/</t>
        </is>
      </c>
      <c r="B78" s="24" t="n">
        <v>32</v>
      </c>
      <c r="C78" s="32" t="inlineStr">
        <is>
          <t>Thin</t>
        </is>
      </c>
      <c r="D78" s="24" t="n">
        <v>174.36</v>
      </c>
      <c r="E78" s="24" t="n">
        <v>0</v>
      </c>
      <c r="F78" s="32" t="b">
        <v>1</v>
      </c>
      <c r="G78" s="24" t="b">
        <v>0</v>
      </c>
      <c r="H78" s="4" t="b">
        <v>0</v>
      </c>
      <c r="I78" s="4" t="b">
        <v>0</v>
      </c>
      <c r="J78" s="32" t="b">
        <v>1</v>
      </c>
      <c r="K78" s="24" t="n">
        <v>1</v>
      </c>
      <c r="L78" s="24" t="b">
        <v>1</v>
      </c>
      <c r="M78">
        <f>IFERROR(HYPERLINK("#Main!A"&amp;MATCH(A78,Main!A:A,0),"Open"),HYPERLINK("#Main!A1","Open"))</f>
        <v/>
      </c>
    </row>
    <row r="79" ht="30" customHeight="1">
      <c r="A79" s="33" t="inlineStr">
        <is>
          <t>https://africanmarketingconfederation.org/amc-masterclass-bookings/</t>
        </is>
      </c>
      <c r="B79" s="6" t="n">
        <v>79</v>
      </c>
      <c r="C79" s="32" t="inlineStr">
        <is>
          <t>Thin</t>
        </is>
      </c>
      <c r="D79" s="6" t="n">
        <v>166.74</v>
      </c>
      <c r="E79" s="6" t="n">
        <v>0</v>
      </c>
      <c r="F79" s="32" t="b">
        <v>1</v>
      </c>
      <c r="G79" s="6" t="b">
        <v>0</v>
      </c>
      <c r="H79" s="4" t="b">
        <v>0</v>
      </c>
      <c r="I79" s="32" t="b">
        <v>1</v>
      </c>
      <c r="J79" s="32" t="b">
        <v>1</v>
      </c>
      <c r="K79" s="6" t="n">
        <v>2</v>
      </c>
      <c r="L79" s="6" t="b">
        <v>1</v>
      </c>
      <c r="M79">
        <f>IFERROR(HYPERLINK("#Main!A"&amp;MATCH(A79,Main!A:A,0),"Open"),HYPERLINK("#Main!A1","Open"))</f>
        <v/>
      </c>
    </row>
    <row r="80" ht="30" customHeight="1">
      <c r="A80" s="33" t="inlineStr">
        <is>
          <t>https://africanmarketingconfederation.org/amc-conference-programme/</t>
        </is>
      </c>
      <c r="B80" s="24" t="n">
        <v>2156</v>
      </c>
      <c r="C80" s="4" t="inlineStr">
        <is>
          <t>Strong</t>
        </is>
      </c>
      <c r="D80" s="24" t="n">
        <v>174.17</v>
      </c>
      <c r="E80" s="24" t="n">
        <v>0</v>
      </c>
      <c r="F80" s="32" t="b">
        <v>1</v>
      </c>
      <c r="G80" s="24" t="b">
        <v>0</v>
      </c>
      <c r="H80" s="4" t="b">
        <v>0</v>
      </c>
      <c r="I80" s="4" t="b">
        <v>0</v>
      </c>
      <c r="J80" s="4" t="b">
        <v>0</v>
      </c>
      <c r="K80" s="24" t="n">
        <v>67</v>
      </c>
      <c r="L80" s="24" t="b">
        <v>0</v>
      </c>
      <c r="M80">
        <f>IFERROR(HYPERLINK("#Main!A"&amp;MATCH(A80,Main!A:A,0),"Open"),HYPERLINK("#Main!A1","Open"))</f>
        <v/>
      </c>
    </row>
    <row r="81" ht="30" customHeight="1">
      <c r="A81" s="33" t="inlineStr">
        <is>
          <t>https://africanmarketingconfederation.org/test-homeslider/</t>
        </is>
      </c>
      <c r="B81" s="6" t="n">
        <v>133</v>
      </c>
      <c r="C81" s="32" t="inlineStr">
        <is>
          <t>Thin</t>
        </is>
      </c>
      <c r="D81" s="6" t="n">
        <v>173.09</v>
      </c>
      <c r="E81" s="6" t="n">
        <v>0</v>
      </c>
      <c r="F81" s="32" t="b">
        <v>1</v>
      </c>
      <c r="G81" s="6" t="b">
        <v>0</v>
      </c>
      <c r="H81" s="4" t="b">
        <v>0</v>
      </c>
      <c r="I81" s="4" t="b">
        <v>0</v>
      </c>
      <c r="J81" s="32" t="b">
        <v>1</v>
      </c>
      <c r="K81" s="6" t="n">
        <v>4</v>
      </c>
      <c r="L81" s="6" t="b">
        <v>1</v>
      </c>
      <c r="M81">
        <f>IFERROR(HYPERLINK("#Main!A"&amp;MATCH(A81,Main!A:A,0),"Open"),HYPERLINK("#Main!A1","Open"))</f>
        <v/>
      </c>
    </row>
    <row r="82" ht="30" customHeight="1">
      <c r="A82" s="33" t="inlineStr">
        <is>
          <t>https://africanmarketingconfederation.org/virtual-programme/</t>
        </is>
      </c>
      <c r="B82" s="24" t="n">
        <v>1789</v>
      </c>
      <c r="C82" s="4" t="inlineStr">
        <is>
          <t>Strong</t>
        </is>
      </c>
      <c r="D82" s="24" t="n">
        <v>172.57</v>
      </c>
      <c r="E82" s="24" t="n">
        <v>0</v>
      </c>
      <c r="F82" s="32" t="b">
        <v>1</v>
      </c>
      <c r="G82" s="24" t="b">
        <v>0</v>
      </c>
      <c r="H82" s="4" t="b">
        <v>0</v>
      </c>
      <c r="I82" s="4" t="b">
        <v>0</v>
      </c>
      <c r="J82" s="4" t="b">
        <v>0</v>
      </c>
      <c r="K82" s="24" t="n">
        <v>53</v>
      </c>
      <c r="L82" s="24" t="b">
        <v>0</v>
      </c>
      <c r="M82">
        <f>IFERROR(HYPERLINK("#Main!A"&amp;MATCH(A82,Main!A:A,0),"Open"),HYPERLINK("#Main!A1","Open"))</f>
        <v/>
      </c>
    </row>
    <row r="83" ht="30" customHeight="1">
      <c r="A83" s="33" t="inlineStr">
        <is>
          <t>https://africanmarketingconfederation.org/general-enquiry-form-thank-you/</t>
        </is>
      </c>
      <c r="B83" s="6" t="n">
        <v>103</v>
      </c>
      <c r="C83" s="32" t="inlineStr">
        <is>
          <t>Thin</t>
        </is>
      </c>
      <c r="D83" s="6" t="n">
        <v>180.7</v>
      </c>
      <c r="E83" s="6" t="n">
        <v>0</v>
      </c>
      <c r="F83" s="32" t="b">
        <v>1</v>
      </c>
      <c r="G83" s="6" t="b">
        <v>0</v>
      </c>
      <c r="H83" s="4" t="b">
        <v>0</v>
      </c>
      <c r="I83" s="4" t="b">
        <v>0</v>
      </c>
      <c r="J83" s="32" t="b">
        <v>1</v>
      </c>
      <c r="K83" s="6" t="n">
        <v>4</v>
      </c>
      <c r="L83" s="6" t="b">
        <v>1</v>
      </c>
      <c r="M83">
        <f>IFERROR(HYPERLINK("#Main!A"&amp;MATCH(A83,Main!A:A,0),"Open"),HYPERLINK("#Main!A1","Open"))</f>
        <v/>
      </c>
    </row>
    <row r="84" ht="30" customHeight="1">
      <c r="A84" s="33" t="inlineStr">
        <is>
          <t>https://africanmarketingconfederation.org/amc-conference-2022-thank-you/</t>
        </is>
      </c>
      <c r="B84" s="24" t="n">
        <v>411</v>
      </c>
      <c r="C84" s="25" t="inlineStr">
        <is>
          <t>OK</t>
        </is>
      </c>
      <c r="D84" s="24" t="n">
        <v>177.04</v>
      </c>
      <c r="E84" s="24" t="n">
        <v>0</v>
      </c>
      <c r="F84" s="32" t="b">
        <v>1</v>
      </c>
      <c r="G84" s="24" t="b">
        <v>0</v>
      </c>
      <c r="H84" s="4" t="b">
        <v>0</v>
      </c>
      <c r="I84" s="4" t="b">
        <v>0</v>
      </c>
      <c r="J84" s="4" t="b">
        <v>0</v>
      </c>
      <c r="K84" s="24" t="n">
        <v>14</v>
      </c>
      <c r="L84" s="24" t="b">
        <v>0</v>
      </c>
      <c r="M84">
        <f>IFERROR(HYPERLINK("#Main!A"&amp;MATCH(A84,Main!A:A,0),"Open"),HYPERLINK("#Main!A1","Open"))</f>
        <v/>
      </c>
    </row>
    <row r="85" ht="30" customHeight="1">
      <c r="A85" s="33" t="inlineStr">
        <is>
          <t>https://africanmarketingconfederation.org/privacy-policy/</t>
        </is>
      </c>
      <c r="B85" s="6" t="n">
        <v>675</v>
      </c>
      <c r="C85" s="25" t="inlineStr">
        <is>
          <t>OK</t>
        </is>
      </c>
      <c r="D85" s="6" t="n">
        <v>178.29</v>
      </c>
      <c r="E85" s="6" t="n">
        <v>2</v>
      </c>
      <c r="F85" s="4" t="b">
        <v>0</v>
      </c>
      <c r="G85" s="6" t="b">
        <v>1</v>
      </c>
      <c r="H85" s="4" t="b">
        <v>0</v>
      </c>
      <c r="I85" s="4" t="b">
        <v>0</v>
      </c>
      <c r="J85" s="4" t="b">
        <v>0</v>
      </c>
      <c r="K85" s="6" t="n">
        <v>24</v>
      </c>
      <c r="L85" s="6" t="b">
        <v>0</v>
      </c>
      <c r="M85">
        <f>IFERROR(HYPERLINK("#Main!A"&amp;MATCH(A85,Main!A:A,0),"Open"),HYPERLINK("#Main!A1","Open"))</f>
        <v/>
      </c>
    </row>
    <row r="86" ht="30" customHeight="1">
      <c r="A86" s="33" t="inlineStr">
        <is>
          <t>https://africanmarketingconfederation.org/speakers/</t>
        </is>
      </c>
      <c r="B86" s="24" t="n">
        <v>239</v>
      </c>
      <c r="C86" s="32" t="inlineStr">
        <is>
          <t>Thin</t>
        </is>
      </c>
      <c r="D86" s="24" t="n">
        <v>158.32</v>
      </c>
      <c r="E86" s="24" t="n">
        <v>0</v>
      </c>
      <c r="F86" s="32" t="b">
        <v>1</v>
      </c>
      <c r="G86" s="24" t="b">
        <v>0</v>
      </c>
      <c r="H86" s="4" t="b">
        <v>0</v>
      </c>
      <c r="I86" s="4" t="b">
        <v>0</v>
      </c>
      <c r="J86" s="32" t="b">
        <v>1</v>
      </c>
      <c r="K86" s="24" t="n">
        <v>5</v>
      </c>
      <c r="L86" s="24" t="b">
        <v>1</v>
      </c>
      <c r="M86">
        <f>IFERROR(HYPERLINK("#Main!A"&amp;MATCH(A86,Main!A:A,0),"Open"),HYPERLINK("#Main!A1","Open"))</f>
        <v/>
      </c>
    </row>
  </sheetData>
  <autoFilter ref="A1:L86"/>
  <conditionalFormatting sqref="B2:B86">
    <cfRule type="colorScale" priority="1">
      <colorScale>
        <cfvo type="min"/>
        <cfvo type="percentile" val="50"/>
        <cfvo type="max"/>
        <color rgb="00F8696B"/>
        <color rgb="00FFEB84"/>
        <color rgb="0063BE7B"/>
      </colorScale>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3" t="inlineStr">
        <is>
          <t>URL</t>
        </is>
      </c>
      <c r="B1" s="3" t="inlineStr">
        <is>
          <t>Status Code</t>
        </is>
      </c>
      <c r="C1" s="3" t="inlineStr">
        <is>
          <t>Final URL</t>
        </is>
      </c>
      <c r="D1" s="3" t="inlineStr">
        <is>
          <t>Redirect Chain Length</t>
        </is>
      </c>
      <c r="E1" s="3" t="inlineStr">
        <is>
          <t>Redirect Target</t>
        </is>
      </c>
      <c r="F1" s="3" t="inlineStr">
        <is>
          <t>Redirect Hops</t>
        </is>
      </c>
      <c r="G1" s="3" t="inlineStr">
        <is>
          <t>HTTP-&gt;HTTPS Redirect</t>
        </is>
      </c>
      <c r="H1" s="3" t="inlineStr">
        <is>
          <t>Redirect Loop Flag</t>
        </is>
      </c>
      <c r="I1" t="inlineStr">
        <is>
          <t>Open in Main</t>
        </is>
      </c>
      <c r="J1" s="23" t="inlineStr">
        <is>
          <t>BACK TO DASHBOARD</t>
        </is>
      </c>
    </row>
    <row r="2">
      <c r="A2" s="33" t="inlineStr">
        <is>
          <t>https://africanmarketingconfederation.org/</t>
        </is>
      </c>
      <c r="B2" s="4" t="n">
        <v>200</v>
      </c>
      <c r="C2" s="27" t="inlineStr">
        <is>
          <t>https://africanmarketingconfederation.org/</t>
        </is>
      </c>
      <c r="D2" s="24" t="n">
        <v>0</v>
      </c>
      <c r="E2" s="24" t="n"/>
      <c r="F2" s="27" t="n"/>
      <c r="G2" s="24" t="b">
        <v>0</v>
      </c>
      <c r="H2" s="4" t="b">
        <v>0</v>
      </c>
      <c r="I2">
        <f>IFERROR(HYPERLINK("#Main!A"&amp;MATCH(A2,Main!A:A,0),"Open"),HYPERLINK("#Main!A1","Open"))</f>
        <v/>
      </c>
    </row>
    <row r="3" ht="30" customHeight="1">
      <c r="A3" s="33" t="inlineStr">
        <is>
          <t>https://africanmarketingconfederation.org/publication-download-list/</t>
        </is>
      </c>
      <c r="B3" s="4" t="n">
        <v>200</v>
      </c>
      <c r="C3" s="30" t="inlineStr">
        <is>
          <t>https://africanmarketingconfederation.org/publication-download-list/</t>
        </is>
      </c>
      <c r="D3" s="6" t="n">
        <v>0</v>
      </c>
      <c r="E3" s="6" t="n"/>
      <c r="F3" s="30" t="n"/>
      <c r="G3" s="6" t="b">
        <v>0</v>
      </c>
      <c r="H3" s="4" t="b">
        <v>0</v>
      </c>
      <c r="I3">
        <f>IFERROR(HYPERLINK("#Main!A"&amp;MATCH(A3,Main!A:A,0),"Open"),HYPERLINK("#Main!A1","Open"))</f>
        <v/>
      </c>
    </row>
    <row r="4" ht="30" customHeight="1">
      <c r="A4" s="33" t="inlineStr">
        <is>
          <t>https://africanmarketingconfederation.org/launch-event-2026-amc-conference/</t>
        </is>
      </c>
      <c r="B4" s="4" t="n">
        <v>200</v>
      </c>
      <c r="C4" s="27" t="inlineStr">
        <is>
          <t>https://africanmarketingconfederation.org/launch-event-2026-amc-conference/</t>
        </is>
      </c>
      <c r="D4" s="24" t="n">
        <v>0</v>
      </c>
      <c r="E4" s="24" t="n"/>
      <c r="F4" s="27" t="n"/>
      <c r="G4" s="24" t="b">
        <v>0</v>
      </c>
      <c r="H4" s="4" t="b">
        <v>0</v>
      </c>
      <c r="I4">
        <f>IFERROR(HYPERLINK("#Main!A"&amp;MATCH(A4,Main!A:A,0),"Open"),HYPERLINK("#Main!A1","Open"))</f>
        <v/>
      </c>
    </row>
    <row r="5" ht="30" customHeight="1">
      <c r="A5" s="33" t="inlineStr">
        <is>
          <t>https://africanmarketingconfederation.org/publications-2/</t>
        </is>
      </c>
      <c r="B5" s="4" t="n">
        <v>200</v>
      </c>
      <c r="C5" s="30" t="inlineStr">
        <is>
          <t>https://africanmarketingconfederation.org/publications-2/</t>
        </is>
      </c>
      <c r="D5" s="6" t="n">
        <v>0</v>
      </c>
      <c r="E5" s="6" t="n"/>
      <c r="F5" s="30" t="n"/>
      <c r="G5" s="6" t="b">
        <v>0</v>
      </c>
      <c r="H5" s="4" t="b">
        <v>0</v>
      </c>
      <c r="I5">
        <f>IFERROR(HYPERLINK("#Main!A"&amp;MATCH(A5,Main!A:A,0),"Open"),HYPERLINK("#Main!A1","Open"))</f>
        <v/>
      </c>
    </row>
    <row r="6" ht="30" customHeight="1">
      <c r="A6" s="33" t="inlineStr">
        <is>
          <t>https://africanmarketingconfederation.org/certified-professional-marketer-africa/</t>
        </is>
      </c>
      <c r="B6" s="4" t="n">
        <v>200</v>
      </c>
      <c r="C6" s="27" t="inlineStr">
        <is>
          <t>https://africanmarketingconfederation.org/certified-professional-marketer-africa/</t>
        </is>
      </c>
      <c r="D6" s="24" t="n">
        <v>0</v>
      </c>
      <c r="E6" s="24" t="n"/>
      <c r="F6" s="27" t="n"/>
      <c r="G6" s="24" t="b">
        <v>0</v>
      </c>
      <c r="H6" s="4" t="b">
        <v>0</v>
      </c>
      <c r="I6">
        <f>IFERROR(HYPERLINK("#Main!A"&amp;MATCH(A6,Main!A:A,0),"Open"),HYPERLINK("#Main!A1","Open"))</f>
        <v/>
      </c>
    </row>
    <row r="7" ht="30" customHeight="1">
      <c r="A7" s="33" t="inlineStr">
        <is>
          <t>https://africanmarketingconfederation.org/chartered-marketer-africa/</t>
        </is>
      </c>
      <c r="B7" s="4" t="n">
        <v>200</v>
      </c>
      <c r="C7" s="30" t="inlineStr">
        <is>
          <t>https://africanmarketingconfederation.org/chartered-marketer-africa/</t>
        </is>
      </c>
      <c r="D7" s="6" t="n">
        <v>0</v>
      </c>
      <c r="E7" s="6" t="n"/>
      <c r="F7" s="30" t="n"/>
      <c r="G7" s="6" t="b">
        <v>0</v>
      </c>
      <c r="H7" s="4" t="b">
        <v>0</v>
      </c>
      <c r="I7">
        <f>IFERROR(HYPERLINK("#Main!A"&amp;MATCH(A7,Main!A:A,0),"Open"),HYPERLINK("#Main!A1","Open"))</f>
        <v/>
      </c>
    </row>
    <row r="8" ht="30" customHeight="1">
      <c r="A8" s="33" t="inlineStr">
        <is>
          <t>https://africanmarketingconfederation.org/amc-conference-2026/</t>
        </is>
      </c>
      <c r="B8" s="4" t="n">
        <v>200</v>
      </c>
      <c r="C8" s="27" t="inlineStr">
        <is>
          <t>https://africanmarketingconfederation.org/amc-conference-2026/</t>
        </is>
      </c>
      <c r="D8" s="24" t="n">
        <v>0</v>
      </c>
      <c r="E8" s="24" t="n"/>
      <c r="F8" s="27" t="n"/>
      <c r="G8" s="24" t="b">
        <v>0</v>
      </c>
      <c r="H8" s="4" t="b">
        <v>0</v>
      </c>
      <c r="I8">
        <f>IFERROR(HYPERLINK("#Main!A"&amp;MATCH(A8,Main!A:A,0),"Open"),HYPERLINK("#Main!A1","Open"))</f>
        <v/>
      </c>
    </row>
    <row r="9" ht="30" customHeight="1">
      <c r="A9" s="33" t="inlineStr">
        <is>
          <t>https://africanmarketingconfederation.org/education/</t>
        </is>
      </c>
      <c r="B9" s="4" t="n">
        <v>200</v>
      </c>
      <c r="C9" s="30" t="inlineStr">
        <is>
          <t>https://africanmarketingconfederation.org/education/</t>
        </is>
      </c>
      <c r="D9" s="6" t="n">
        <v>0</v>
      </c>
      <c r="E9" s="6" t="n"/>
      <c r="F9" s="30" t="n"/>
      <c r="G9" s="6" t="b">
        <v>0</v>
      </c>
      <c r="H9" s="4" t="b">
        <v>0</v>
      </c>
      <c r="I9">
        <f>IFERROR(HYPERLINK("#Main!A"&amp;MATCH(A9,Main!A:A,0),"Open"),HYPERLINK("#Main!A1","Open"))</f>
        <v/>
      </c>
    </row>
    <row r="10" ht="30" customHeight="1">
      <c r="A10" s="33" t="inlineStr">
        <is>
          <t>https://africanmarketingconfederation.org/awards-2026/</t>
        </is>
      </c>
      <c r="B10" s="4" t="n">
        <v>200</v>
      </c>
      <c r="C10" s="27" t="inlineStr">
        <is>
          <t>https://africanmarketingconfederation.org/awards-2026/</t>
        </is>
      </c>
      <c r="D10" s="24" t="n">
        <v>0</v>
      </c>
      <c r="E10" s="24" t="n"/>
      <c r="F10" s="27" t="n"/>
      <c r="G10" s="24" t="b">
        <v>0</v>
      </c>
      <c r="H10" s="4" t="b">
        <v>0</v>
      </c>
      <c r="I10">
        <f>IFERROR(HYPERLINK("#Main!A"&amp;MATCH(A10,Main!A:A,0),"Open"),HYPERLINK("#Main!A1","Open"))</f>
        <v/>
      </c>
    </row>
    <row r="11" ht="30" customHeight="1">
      <c r="A11" s="33" t="inlineStr">
        <is>
          <t>https://africanmarketingconfederation.org/contact-us/</t>
        </is>
      </c>
      <c r="B11" s="4" t="n">
        <v>200</v>
      </c>
      <c r="C11" s="30" t="inlineStr">
        <is>
          <t>https://africanmarketingconfederation.org/contact-us/</t>
        </is>
      </c>
      <c r="D11" s="6" t="n">
        <v>0</v>
      </c>
      <c r="E11" s="6" t="n"/>
      <c r="F11" s="30" t="n"/>
      <c r="G11" s="6" t="b">
        <v>0</v>
      </c>
      <c r="H11" s="4" t="b">
        <v>0</v>
      </c>
      <c r="I11">
        <f>IFERROR(HYPERLINK("#Main!A"&amp;MATCH(A11,Main!A:A,0),"Open"),HYPERLINK("#Main!A1","Open"))</f>
        <v/>
      </c>
    </row>
    <row r="12" ht="30" customHeight="1">
      <c r="A12" s="33" t="inlineStr">
        <is>
          <t>https://africanmarketingconfederation.org/news-articles/</t>
        </is>
      </c>
      <c r="B12" s="4" t="n">
        <v>200</v>
      </c>
      <c r="C12" s="27" t="inlineStr">
        <is>
          <t>https://africanmarketingconfederation.org/news-articles/</t>
        </is>
      </c>
      <c r="D12" s="24" t="n">
        <v>0</v>
      </c>
      <c r="E12" s="24" t="n"/>
      <c r="F12" s="27" t="n"/>
      <c r="G12" s="24" t="b">
        <v>0</v>
      </c>
      <c r="H12" s="4" t="b">
        <v>0</v>
      </c>
      <c r="I12">
        <f>IFERROR(HYPERLINK("#Main!A"&amp;MATCH(A12,Main!A:A,0),"Open"),HYPERLINK("#Main!A1","Open"))</f>
        <v/>
      </c>
    </row>
    <row r="13" ht="30" customHeight="1">
      <c r="A13" s="33" t="inlineStr">
        <is>
          <t>https://africanmarketingconfederation.org/african-marketing-confederation-tourism-chapter/</t>
        </is>
      </c>
      <c r="B13" s="4" t="n">
        <v>200</v>
      </c>
      <c r="C13" s="30" t="inlineStr">
        <is>
          <t>https://africanmarketingconfederation.org/african-marketing-confederation-tourism-chapter/</t>
        </is>
      </c>
      <c r="D13" s="6" t="n">
        <v>0</v>
      </c>
      <c r="E13" s="6" t="n"/>
      <c r="F13" s="30" t="n"/>
      <c r="G13" s="6" t="b">
        <v>0</v>
      </c>
      <c r="H13" s="4" t="b">
        <v>0</v>
      </c>
      <c r="I13">
        <f>IFERROR(HYPERLINK("#Main!A"&amp;MATCH(A13,Main!A:A,0),"Open"),HYPERLINK("#Main!A1","Open"))</f>
        <v/>
      </c>
    </row>
    <row r="14" ht="30" customHeight="1">
      <c r="A14" s="33" t="inlineStr">
        <is>
          <t>https://africanmarketingconfederation.org/sub-committees/</t>
        </is>
      </c>
      <c r="B14" s="4" t="n">
        <v>200</v>
      </c>
      <c r="C14" s="27" t="inlineStr">
        <is>
          <t>https://africanmarketingconfederation.org/sub-committees/</t>
        </is>
      </c>
      <c r="D14" s="24" t="n">
        <v>0</v>
      </c>
      <c r="E14" s="24" t="n"/>
      <c r="F14" s="27" t="n"/>
      <c r="G14" s="24" t="b">
        <v>0</v>
      </c>
      <c r="H14" s="4" t="b">
        <v>0</v>
      </c>
      <c r="I14">
        <f>IFERROR(HYPERLINK("#Main!A"&amp;MATCH(A14,Main!A:A,0),"Open"),HYPERLINK("#Main!A1","Open"))</f>
        <v/>
      </c>
    </row>
    <row r="15" ht="30" customHeight="1">
      <c r="A15" s="33" t="inlineStr">
        <is>
          <t>https://africanmarketingconfederation.org/members/</t>
        </is>
      </c>
      <c r="B15" s="4" t="n">
        <v>200</v>
      </c>
      <c r="C15" s="30" t="inlineStr">
        <is>
          <t>https://africanmarketingconfederation.org/members/</t>
        </is>
      </c>
      <c r="D15" s="6" t="n">
        <v>0</v>
      </c>
      <c r="E15" s="6" t="n"/>
      <c r="F15" s="30" t="n"/>
      <c r="G15" s="6" t="b">
        <v>0</v>
      </c>
      <c r="H15" s="4" t="b">
        <v>0</v>
      </c>
      <c r="I15">
        <f>IFERROR(HYPERLINK("#Main!A"&amp;MATCH(A15,Main!A:A,0),"Open"),HYPERLINK("#Main!A1","Open"))</f>
        <v/>
      </c>
    </row>
    <row r="16" ht="30" customHeight="1">
      <c r="A16" s="33" t="inlineStr">
        <is>
          <t>https://africanmarketingconfederation.org/about-us/</t>
        </is>
      </c>
      <c r="B16" s="4" t="n">
        <v>200</v>
      </c>
      <c r="C16" s="27" t="inlineStr">
        <is>
          <t>https://africanmarketingconfederation.org/about-us/</t>
        </is>
      </c>
      <c r="D16" s="24" t="n">
        <v>0</v>
      </c>
      <c r="E16" s="24" t="n"/>
      <c r="F16" s="27" t="n"/>
      <c r="G16" s="24" t="b">
        <v>0</v>
      </c>
      <c r="H16" s="4" t="b">
        <v>0</v>
      </c>
      <c r="I16">
        <f>IFERROR(HYPERLINK("#Main!A"&amp;MATCH(A16,Main!A:A,0),"Open"),HYPERLINK("#Main!A1","Open"))</f>
        <v/>
      </c>
    </row>
    <row r="17" ht="30" customHeight="1">
      <c r="A17" s="33" t="inlineStr">
        <is>
          <t>https://africanmarketingconfederation.org/awards-2026-1/</t>
        </is>
      </c>
      <c r="B17" s="4" t="n">
        <v>200</v>
      </c>
      <c r="C17" s="30" t="inlineStr">
        <is>
          <t>https://africanmarketingconfederation.org/awards-2026-1/</t>
        </is>
      </c>
      <c r="D17" s="6" t="n">
        <v>0</v>
      </c>
      <c r="E17" s="6" t="n"/>
      <c r="F17" s="30" t="n"/>
      <c r="G17" s="6" t="b">
        <v>0</v>
      </c>
      <c r="H17" s="4" t="b">
        <v>0</v>
      </c>
      <c r="I17">
        <f>IFERROR(HYPERLINK("#Main!A"&amp;MATCH(A17,Main!A:A,0),"Open"),HYPERLINK("#Main!A1","Open"))</f>
        <v/>
      </c>
    </row>
    <row r="18" ht="30" customHeight="1">
      <c r="A18" s="33" t="inlineStr">
        <is>
          <t>https://africanmarketingconfederation.org/awards-2026-test/</t>
        </is>
      </c>
      <c r="B18" s="4" t="n">
        <v>200</v>
      </c>
      <c r="C18" s="27" t="inlineStr">
        <is>
          <t>https://africanmarketingconfederation.org/awards-2026-test/</t>
        </is>
      </c>
      <c r="D18" s="24" t="n">
        <v>0</v>
      </c>
      <c r="E18" s="24" t="n"/>
      <c r="F18" s="27" t="n"/>
      <c r="G18" s="24" t="b">
        <v>0</v>
      </c>
      <c r="H18" s="4" t="b">
        <v>0</v>
      </c>
      <c r="I18">
        <f>IFERROR(HYPERLINK("#Main!A"&amp;MATCH(A18,Main!A:A,0),"Open"),HYPERLINK("#Main!A1","Open"))</f>
        <v/>
      </c>
    </row>
    <row r="19" ht="30" customHeight="1">
      <c r="A19" s="33" t="inlineStr">
        <is>
          <t>https://africanmarketingconfederation.org/amc-conference-2026-awards-nominations-thank-you/</t>
        </is>
      </c>
      <c r="B19" s="4" t="n">
        <v>200</v>
      </c>
      <c r="C19" s="30" t="inlineStr">
        <is>
          <t>https://africanmarketingconfederation.org/amc-conference-2026-awards-nominations-thank-you/</t>
        </is>
      </c>
      <c r="D19" s="6" t="n">
        <v>0</v>
      </c>
      <c r="E19" s="6" t="n"/>
      <c r="F19" s="30" t="n"/>
      <c r="G19" s="6" t="b">
        <v>0</v>
      </c>
      <c r="H19" s="4" t="b">
        <v>0</v>
      </c>
      <c r="I19">
        <f>IFERROR(HYPERLINK("#Main!A"&amp;MATCH(A19,Main!A:A,0),"Open"),HYPERLINK("#Main!A1","Open"))</f>
        <v/>
      </c>
    </row>
    <row r="20" ht="30" customHeight="1">
      <c r="A20" s="33" t="inlineStr">
        <is>
          <t>https://africanmarketingconfederation.org/speakers-2025/</t>
        </is>
      </c>
      <c r="B20" s="4" t="n">
        <v>200</v>
      </c>
      <c r="C20" s="27" t="inlineStr">
        <is>
          <t>https://africanmarketingconfederation.org/speakers-2025/</t>
        </is>
      </c>
      <c r="D20" s="24" t="n">
        <v>0</v>
      </c>
      <c r="E20" s="24" t="n"/>
      <c r="F20" s="27" t="n"/>
      <c r="G20" s="24" t="b">
        <v>0</v>
      </c>
      <c r="H20" s="4" t="b">
        <v>0</v>
      </c>
      <c r="I20">
        <f>IFERROR(HYPERLINK("#Main!A"&amp;MATCH(A20,Main!A:A,0),"Open"),HYPERLINK("#Main!A1","Open"))</f>
        <v/>
      </c>
    </row>
    <row r="21" ht="30" customHeight="1">
      <c r="A21" s="33" t="inlineStr">
        <is>
          <t>https://africanmarketingconfederation.org/amc-conference-2026-zambia-thank-you/</t>
        </is>
      </c>
      <c r="B21" s="4" t="n">
        <v>200</v>
      </c>
      <c r="C21" s="30" t="inlineStr">
        <is>
          <t>https://africanmarketingconfederation.org/amc-conference-2026-zambia-thank-you/</t>
        </is>
      </c>
      <c r="D21" s="6" t="n">
        <v>0</v>
      </c>
      <c r="E21" s="6" t="n"/>
      <c r="F21" s="30" t="n"/>
      <c r="G21" s="6" t="b">
        <v>0</v>
      </c>
      <c r="H21" s="4" t="b">
        <v>0</v>
      </c>
      <c r="I21">
        <f>IFERROR(HYPERLINK("#Main!A"&amp;MATCH(A21,Main!A:A,0),"Open"),HYPERLINK("#Main!A1","Open"))</f>
        <v/>
      </c>
    </row>
    <row r="22" ht="30" customHeight="1">
      <c r="A22" s="33" t="inlineStr">
        <is>
          <t>https://africanmarketingconfederation.org/amc-launch-event-zambia-thank-you-2026/</t>
        </is>
      </c>
      <c r="B22" s="4" t="n">
        <v>200</v>
      </c>
      <c r="C22" s="27" t="inlineStr">
        <is>
          <t>https://africanmarketingconfederation.org/amc-launch-event-zambia-thank-you-2026/</t>
        </is>
      </c>
      <c r="D22" s="24" t="n">
        <v>0</v>
      </c>
      <c r="E22" s="24" t="n"/>
      <c r="F22" s="27" t="n"/>
      <c r="G22" s="24" t="b">
        <v>0</v>
      </c>
      <c r="H22" s="4" t="b">
        <v>0</v>
      </c>
      <c r="I22">
        <f>IFERROR(HYPERLINK("#Main!A"&amp;MATCH(A22,Main!A:A,0),"Open"),HYPERLINK("#Main!A1","Open"))</f>
        <v/>
      </c>
    </row>
    <row r="23" ht="30" customHeight="1">
      <c r="A23" s="33" t="inlineStr">
        <is>
          <t>https://africanmarketingconfederation.org/amc-marketing-conference-2024/awards-2025/</t>
        </is>
      </c>
      <c r="B23" s="4" t="n">
        <v>200</v>
      </c>
      <c r="C23" s="30" t="inlineStr">
        <is>
          <t>https://africanmarketingconfederation.org/amc-marketing-conference-2024/awards-2025/</t>
        </is>
      </c>
      <c r="D23" s="6" t="n">
        <v>0</v>
      </c>
      <c r="E23" s="6" t="n"/>
      <c r="F23" s="30" t="n"/>
      <c r="G23" s="6" t="b">
        <v>0</v>
      </c>
      <c r="H23" s="4" t="b">
        <v>0</v>
      </c>
      <c r="I23">
        <f>IFERROR(HYPERLINK("#Main!A"&amp;MATCH(A23,Main!A:A,0),"Open"),HYPERLINK("#Main!A1","Open"))</f>
        <v/>
      </c>
    </row>
    <row r="24" ht="30" customHeight="1">
      <c r="A24" s="33" t="inlineStr">
        <is>
          <t>https://africanmarketingconfederation.org/amc-conference-2025-highlights/</t>
        </is>
      </c>
      <c r="B24" s="4" t="n">
        <v>200</v>
      </c>
      <c r="C24" s="27" t="inlineStr">
        <is>
          <t>https://africanmarketingconfederation.org/amc-conference-2025-highlights/</t>
        </is>
      </c>
      <c r="D24" s="24" t="n">
        <v>0</v>
      </c>
      <c r="E24" s="24" t="n"/>
      <c r="F24" s="27" t="n"/>
      <c r="G24" s="24" t="b">
        <v>0</v>
      </c>
      <c r="H24" s="4" t="b">
        <v>0</v>
      </c>
      <c r="I24">
        <f>IFERROR(HYPERLINK("#Main!A"&amp;MATCH(A24,Main!A:A,0),"Open"),HYPERLINK("#Main!A1","Open"))</f>
        <v/>
      </c>
    </row>
    <row r="25" ht="30" customHeight="1">
      <c r="A25" s="33" t="inlineStr">
        <is>
          <t>https://africanmarketingconfederation.org/amc-conference-2022/</t>
        </is>
      </c>
      <c r="B25" s="4" t="n">
        <v>200</v>
      </c>
      <c r="C25" s="30" t="inlineStr">
        <is>
          <t>https://africanmarketingconfederation.org/amc-conference-2022/</t>
        </is>
      </c>
      <c r="D25" s="6" t="n">
        <v>0</v>
      </c>
      <c r="E25" s="6" t="n"/>
      <c r="F25" s="30" t="n"/>
      <c r="G25" s="6" t="b">
        <v>0</v>
      </c>
      <c r="H25" s="4" t="b">
        <v>0</v>
      </c>
      <c r="I25">
        <f>IFERROR(HYPERLINK("#Main!A"&amp;MATCH(A25,Main!A:A,0),"Open"),HYPERLINK("#Main!A1","Open"))</f>
        <v/>
      </c>
    </row>
    <row r="26" ht="30" customHeight="1">
      <c r="A26" s="33" t="inlineStr">
        <is>
          <t>https://africanmarketingconfederation.org/amc-conference-2023/gallery/</t>
        </is>
      </c>
      <c r="B26" s="4" t="n">
        <v>200</v>
      </c>
      <c r="C26" s="27" t="inlineStr">
        <is>
          <t>https://africanmarketingconfederation.org/amc-conference-2023/gallery/</t>
        </is>
      </c>
      <c r="D26" s="24" t="n">
        <v>0</v>
      </c>
      <c r="E26" s="24" t="n"/>
      <c r="F26" s="27" t="n"/>
      <c r="G26" s="24" t="b">
        <v>0</v>
      </c>
      <c r="H26" s="4" t="b">
        <v>0</v>
      </c>
      <c r="I26">
        <f>IFERROR(HYPERLINK("#Main!A"&amp;MATCH(A26,Main!A:A,0),"Open"),HYPERLINK("#Main!A1","Open"))</f>
        <v/>
      </c>
    </row>
    <row r="27" ht="30" customHeight="1">
      <c r="A27" s="33" t="inlineStr">
        <is>
          <t>https://africanmarketingconfederation.org/conference-registrations-2024/</t>
        </is>
      </c>
      <c r="B27" s="4" t="n">
        <v>200</v>
      </c>
      <c r="C27" s="30" t="inlineStr">
        <is>
          <t>https://africanmarketingconfederation.org/conference-registrations-2024/</t>
        </is>
      </c>
      <c r="D27" s="6" t="n">
        <v>0</v>
      </c>
      <c r="E27" s="6" t="n"/>
      <c r="F27" s="30" t="n"/>
      <c r="G27" s="6" t="b">
        <v>0</v>
      </c>
      <c r="H27" s="4" t="b">
        <v>0</v>
      </c>
      <c r="I27">
        <f>IFERROR(HYPERLINK("#Main!A"&amp;MATCH(A27,Main!A:A,0),"Open"),HYPERLINK("#Main!A1","Open"))</f>
        <v/>
      </c>
    </row>
    <row r="28" ht="30" customHeight="1">
      <c r="A28" s="33" t="inlineStr">
        <is>
          <t>https://africanmarketingconfederation.org/elementor-31820/</t>
        </is>
      </c>
      <c r="B28" s="4" t="n">
        <v>200</v>
      </c>
      <c r="C28" s="27" t="inlineStr">
        <is>
          <t>https://africanmarketingconfederation.org/elementor-31820/</t>
        </is>
      </c>
      <c r="D28" s="24" t="n">
        <v>0</v>
      </c>
      <c r="E28" s="24" t="n"/>
      <c r="F28" s="27" t="n"/>
      <c r="G28" s="24" t="b">
        <v>0</v>
      </c>
      <c r="H28" s="4" t="b">
        <v>0</v>
      </c>
      <c r="I28">
        <f>IFERROR(HYPERLINK("#Main!A"&amp;MATCH(A28,Main!A:A,0),"Open"),HYPERLINK("#Main!A1","Open"))</f>
        <v/>
      </c>
    </row>
    <row r="29" ht="30" customHeight="1">
      <c r="A29" s="33" t="inlineStr">
        <is>
          <t>https://africanmarketingconfederation.org/amc-conference-2024-recap/</t>
        </is>
      </c>
      <c r="B29" s="4" t="n">
        <v>200</v>
      </c>
      <c r="C29" s="30" t="inlineStr">
        <is>
          <t>https://africanmarketingconfederation.org/amc-conference-2024-recap/</t>
        </is>
      </c>
      <c r="D29" s="6" t="n">
        <v>0</v>
      </c>
      <c r="E29" s="6" t="n"/>
      <c r="F29" s="30" t="n"/>
      <c r="G29" s="6" t="b">
        <v>0</v>
      </c>
      <c r="H29" s="4" t="b">
        <v>0</v>
      </c>
      <c r="I29">
        <f>IFERROR(HYPERLINK("#Main!A"&amp;MATCH(A29,Main!A:A,0),"Open"),HYPERLINK("#Main!A1","Open"))</f>
        <v/>
      </c>
    </row>
    <row r="30" ht="30" customHeight="1">
      <c r="A30" s="33" t="inlineStr">
        <is>
          <t>https://africanmarketingconfederation.org/amc-marketing-conference-2024/amc-programme-2025/</t>
        </is>
      </c>
      <c r="B30" s="4" t="n">
        <v>200</v>
      </c>
      <c r="C30" s="27" t="inlineStr">
        <is>
          <t>https://africanmarketingconfederation.org/amc-marketing-conference-2024/amc-programme-2025/</t>
        </is>
      </c>
      <c r="D30" s="24" t="n">
        <v>0</v>
      </c>
      <c r="E30" s="24" t="n"/>
      <c r="F30" s="27" t="n"/>
      <c r="G30" s="24" t="b">
        <v>0</v>
      </c>
      <c r="H30" s="4" t="b">
        <v>0</v>
      </c>
      <c r="I30">
        <f>IFERROR(HYPERLINK("#Main!A"&amp;MATCH(A30,Main!A:A,0),"Open"),HYPERLINK("#Main!A1","Open"))</f>
        <v/>
      </c>
    </row>
    <row r="31" ht="30" customHeight="1">
      <c r="A31" s="33" t="inlineStr">
        <is>
          <t>https://africanmarketingconfederation.org/amc-conference-2025/</t>
        </is>
      </c>
      <c r="B31" s="4" t="n">
        <v>200</v>
      </c>
      <c r="C31" s="30" t="inlineStr">
        <is>
          <t>https://africanmarketingconfederation.org/amc-conference-2025/</t>
        </is>
      </c>
      <c r="D31" s="6" t="n">
        <v>0</v>
      </c>
      <c r="E31" s="6" t="n"/>
      <c r="F31" s="30" t="n"/>
      <c r="G31" s="6" t="b">
        <v>0</v>
      </c>
      <c r="H31" s="4" t="b">
        <v>0</v>
      </c>
      <c r="I31">
        <f>IFERROR(HYPERLINK("#Main!A"&amp;MATCH(A31,Main!A:A,0),"Open"),HYPERLINK("#Main!A1","Open"))</f>
        <v/>
      </c>
    </row>
    <row r="32" ht="30" customHeight="1">
      <c r="A32" s="33" t="inlineStr">
        <is>
          <t>https://africanmarketingconfederation.org/amc-sponsors-2025/</t>
        </is>
      </c>
      <c r="B32" s="4" t="n">
        <v>200</v>
      </c>
      <c r="C32" s="27" t="inlineStr">
        <is>
          <t>https://africanmarketingconfederation.org/amc-sponsors-2025/</t>
        </is>
      </c>
      <c r="D32" s="24" t="n">
        <v>0</v>
      </c>
      <c r="E32" s="24" t="n"/>
      <c r="F32" s="27" t="n"/>
      <c r="G32" s="24" t="b">
        <v>0</v>
      </c>
      <c r="H32" s="4" t="b">
        <v>0</v>
      </c>
      <c r="I32">
        <f>IFERROR(HYPERLINK("#Main!A"&amp;MATCH(A32,Main!A:A,0),"Open"),HYPERLINK("#Main!A1","Open"))</f>
        <v/>
      </c>
    </row>
    <row r="33" ht="30" customHeight="1">
      <c r="A33" s="33" t="inlineStr">
        <is>
          <t>https://africanmarketingconfederation.org/amc-conference-2022-prospectus/</t>
        </is>
      </c>
      <c r="B33" s="4" t="n">
        <v>200</v>
      </c>
      <c r="C33" s="30" t="inlineStr">
        <is>
          <t>https://africanmarketingconfederation.org/amc-conference-2022-prospectus/</t>
        </is>
      </c>
      <c r="D33" s="6" t="n">
        <v>0</v>
      </c>
      <c r="E33" s="6" t="n"/>
      <c r="F33" s="30" t="n"/>
      <c r="G33" s="6" t="b">
        <v>0</v>
      </c>
      <c r="H33" s="4" t="b">
        <v>0</v>
      </c>
      <c r="I33">
        <f>IFERROR(HYPERLINK("#Main!A"&amp;MATCH(A33,Main!A:A,0),"Open"),HYPERLINK("#Main!A1","Open"))</f>
        <v/>
      </c>
    </row>
    <row r="34" ht="30" customHeight="1">
      <c r="A34" s="33" t="inlineStr">
        <is>
          <t>https://africanmarketingconfederation.org/test-payment-gate/</t>
        </is>
      </c>
      <c r="B34" s="4" t="n">
        <v>200</v>
      </c>
      <c r="C34" s="27" t="inlineStr">
        <is>
          <t>https://africanmarketingconfederation.org/test-payment-gate/</t>
        </is>
      </c>
      <c r="D34" s="24" t="n">
        <v>0</v>
      </c>
      <c r="E34" s="24" t="n"/>
      <c r="F34" s="27" t="n"/>
      <c r="G34" s="24" t="b">
        <v>0</v>
      </c>
      <c r="H34" s="4" t="b">
        <v>0</v>
      </c>
      <c r="I34">
        <f>IFERROR(HYPERLINK("#Main!A"&amp;MATCH(A34,Main!A:A,0),"Open"),HYPERLINK("#Main!A1","Open"))</f>
        <v/>
      </c>
    </row>
    <row r="35" ht="30" customHeight="1">
      <c r="A35" s="33" t="inlineStr">
        <is>
          <t>https://africanmarketingconfederation.org/amc-marketing-conference-2024/amc-preregister-2025/</t>
        </is>
      </c>
      <c r="B35" s="4" t="n">
        <v>200</v>
      </c>
      <c r="C35" s="30" t="inlineStr">
        <is>
          <t>https://africanmarketingconfederation.org/amc-marketing-conference-2024/amc-preregister-2025/</t>
        </is>
      </c>
      <c r="D35" s="6" t="n">
        <v>0</v>
      </c>
      <c r="E35" s="6" t="n"/>
      <c r="F35" s="30" t="n"/>
      <c r="G35" s="6" t="b">
        <v>0</v>
      </c>
      <c r="H35" s="4" t="b">
        <v>0</v>
      </c>
      <c r="I35">
        <f>IFERROR(HYPERLINK("#Main!A"&amp;MATCH(A35,Main!A:A,0),"Open"),HYPERLINK("#Main!A1","Open"))</f>
        <v/>
      </c>
    </row>
    <row r="36" ht="30" customHeight="1">
      <c r="A36" s="33" t="inlineStr">
        <is>
          <t>https://africanmarketingconfederation.org/conference-faq-2025/</t>
        </is>
      </c>
      <c r="B36" s="4" t="n">
        <v>200</v>
      </c>
      <c r="C36" s="27" t="inlineStr">
        <is>
          <t>https://africanmarketingconfederation.org/conference-faq-2025/</t>
        </is>
      </c>
      <c r="D36" s="24" t="n">
        <v>0</v>
      </c>
      <c r="E36" s="24" t="n"/>
      <c r="F36" s="27" t="n"/>
      <c r="G36" s="24" t="b">
        <v>0</v>
      </c>
      <c r="H36" s="4" t="b">
        <v>0</v>
      </c>
      <c r="I36">
        <f>IFERROR(HYPERLINK("#Main!A"&amp;MATCH(A36,Main!A:A,0),"Open"),HYPERLINK("#Main!A1","Open"))</f>
        <v/>
      </c>
    </row>
    <row r="37" ht="45" customHeight="1">
      <c r="A37" s="33" t="inlineStr">
        <is>
          <t>https://africanmarketingconfederation.org/amc-marketing-conference-2024/amc-conference-2025-ghana-sponsors/</t>
        </is>
      </c>
      <c r="B37" s="4" t="n">
        <v>200</v>
      </c>
      <c r="C37" s="30" t="inlineStr">
        <is>
          <t>https://africanmarketingconfederation.org/amc-marketing-conference-2024/amc-conference-2025-ghana-sponsors/</t>
        </is>
      </c>
      <c r="D37" s="6" t="n">
        <v>0</v>
      </c>
      <c r="E37" s="6" t="n"/>
      <c r="F37" s="30" t="n"/>
      <c r="G37" s="6" t="b">
        <v>0</v>
      </c>
      <c r="H37" s="4" t="b">
        <v>0</v>
      </c>
      <c r="I37">
        <f>IFERROR(HYPERLINK("#Main!A"&amp;MATCH(A37,Main!A:A,0),"Open"),HYPERLINK("#Main!A1","Open"))</f>
        <v/>
      </c>
    </row>
    <row r="38" ht="30" customHeight="1">
      <c r="A38" s="33" t="inlineStr">
        <is>
          <t>https://africanmarketingconfederation.org/amc-forum-payments/</t>
        </is>
      </c>
      <c r="B38" s="4" t="n">
        <v>200</v>
      </c>
      <c r="C38" s="27" t="inlineStr">
        <is>
          <t>https://africanmarketingconfederation.org/amc-forum-payments/</t>
        </is>
      </c>
      <c r="D38" s="24" t="n">
        <v>0</v>
      </c>
      <c r="E38" s="24" t="n"/>
      <c r="F38" s="27" t="n"/>
      <c r="G38" s="24" t="b">
        <v>0</v>
      </c>
      <c r="H38" s="4" t="b">
        <v>0</v>
      </c>
      <c r="I38">
        <f>IFERROR(HYPERLINK("#Main!A"&amp;MATCH(A38,Main!A:A,0),"Open"),HYPERLINK("#Main!A1","Open"))</f>
        <v/>
      </c>
    </row>
    <row r="39" ht="30" customHeight="1">
      <c r="A39" s="33" t="inlineStr">
        <is>
          <t>https://africanmarketingconfederation.org/amc-marketing-conference-2024/amc-launch-event-2025/</t>
        </is>
      </c>
      <c r="B39" s="4" t="n">
        <v>200</v>
      </c>
      <c r="C39" s="30" t="inlineStr">
        <is>
          <t>https://africanmarketingconfederation.org/amc-marketing-conference-2024/amc-launch-event-2025/</t>
        </is>
      </c>
      <c r="D39" s="6" t="n">
        <v>0</v>
      </c>
      <c r="E39" s="6" t="n"/>
      <c r="F39" s="30" t="n"/>
      <c r="G39" s="6" t="b">
        <v>0</v>
      </c>
      <c r="H39" s="4" t="b">
        <v>0</v>
      </c>
      <c r="I39">
        <f>IFERROR(HYPERLINK("#Main!A"&amp;MATCH(A39,Main!A:A,0),"Open"),HYPERLINK("#Main!A1","Open"))</f>
        <v/>
      </c>
    </row>
    <row r="40" ht="30" customHeight="1">
      <c r="A40" s="33" t="inlineStr">
        <is>
          <t>https://africanmarketingconfederation.org/checkout/</t>
        </is>
      </c>
      <c r="B40" s="4" t="n">
        <v>200</v>
      </c>
      <c r="C40" s="27" t="inlineStr">
        <is>
          <t>https://africanmarketingconfederation.org/cart/</t>
        </is>
      </c>
      <c r="D40" s="24" t="n">
        <v>1</v>
      </c>
      <c r="E40" s="24" t="n"/>
      <c r="F40" s="27" t="n"/>
      <c r="G40" s="24" t="b">
        <v>0</v>
      </c>
      <c r="H40" s="4" t="b">
        <v>0</v>
      </c>
      <c r="I40">
        <f>IFERROR(HYPERLINK("#Main!A"&amp;MATCH(A40,Main!A:A,0),"Open"),HYPERLINK("#Main!A1","Open"))</f>
        <v/>
      </c>
    </row>
    <row r="41" ht="30" customHeight="1">
      <c r="A41" s="33" t="inlineStr">
        <is>
          <t>https://africanmarketingconfederation.org/amc-awards-2024/</t>
        </is>
      </c>
      <c r="B41" s="4" t="n">
        <v>200</v>
      </c>
      <c r="C41" s="30" t="inlineStr">
        <is>
          <t>https://africanmarketingconfederation.org/amc-awards-2024/</t>
        </is>
      </c>
      <c r="D41" s="6" t="n">
        <v>0</v>
      </c>
      <c r="E41" s="6" t="n"/>
      <c r="F41" s="30" t="n"/>
      <c r="G41" s="6" t="b">
        <v>0</v>
      </c>
      <c r="H41" s="4" t="b">
        <v>0</v>
      </c>
      <c r="I41">
        <f>IFERROR(HYPERLINK("#Main!A"&amp;MATCH(A41,Main!A:A,0),"Open"),HYPERLINK("#Main!A1","Open"))</f>
        <v/>
      </c>
    </row>
    <row r="42" ht="30" customHeight="1">
      <c r="A42" s="33" t="inlineStr">
        <is>
          <t>https://africanmarketingconfederation.org/amc-conference-2023/</t>
        </is>
      </c>
      <c r="B42" s="4" t="n">
        <v>200</v>
      </c>
      <c r="C42" s="27" t="inlineStr">
        <is>
          <t>https://africanmarketingconfederation.org/amc-conference-2023/</t>
        </is>
      </c>
      <c r="D42" s="24" t="n">
        <v>0</v>
      </c>
      <c r="E42" s="24" t="n"/>
      <c r="F42" s="27" t="n"/>
      <c r="G42" s="24" t="b">
        <v>0</v>
      </c>
      <c r="H42" s="4" t="b">
        <v>0</v>
      </c>
      <c r="I42">
        <f>IFERROR(HYPERLINK("#Main!A"&amp;MATCH(A42,Main!A:A,0),"Open"),HYPERLINK("#Main!A1","Open"))</f>
        <v/>
      </c>
    </row>
    <row r="43" ht="30" customHeight="1">
      <c r="A43" s="33" t="inlineStr">
        <is>
          <t>https://africanmarketingconfederation.org/amc-forum-mombasa/</t>
        </is>
      </c>
      <c r="B43" s="4" t="n">
        <v>200</v>
      </c>
      <c r="C43" s="30" t="inlineStr">
        <is>
          <t>https://africanmarketingconfederation.org/amc-forum-mombasa/</t>
        </is>
      </c>
      <c r="D43" s="6" t="n">
        <v>0</v>
      </c>
      <c r="E43" s="6" t="n"/>
      <c r="F43" s="30" t="n"/>
      <c r="G43" s="6" t="b">
        <v>0</v>
      </c>
      <c r="H43" s="4" t="b">
        <v>0</v>
      </c>
      <c r="I43">
        <f>IFERROR(HYPERLINK("#Main!A"&amp;MATCH(A43,Main!A:A,0),"Open"),HYPERLINK("#Main!A1","Open"))</f>
        <v/>
      </c>
    </row>
    <row r="44" ht="45" customHeight="1">
      <c r="A44" s="33" t="inlineStr">
        <is>
          <t>https://africanmarketingconfederation.org/amc-marketing-conference-2024/amc-speakers-presentations-2024/</t>
        </is>
      </c>
      <c r="B44" s="4" t="n">
        <v>200</v>
      </c>
      <c r="C44" s="27" t="inlineStr">
        <is>
          <t>https://africanmarketingconfederation.org/amc-marketing-conference-2024/amc-speakers-presentations-2024/</t>
        </is>
      </c>
      <c r="D44" s="24" t="n">
        <v>0</v>
      </c>
      <c r="E44" s="24" t="n"/>
      <c r="F44" s="27" t="n"/>
      <c r="G44" s="24" t="b">
        <v>0</v>
      </c>
      <c r="H44" s="4" t="b">
        <v>0</v>
      </c>
      <c r="I44">
        <f>IFERROR(HYPERLINK("#Main!A"&amp;MATCH(A44,Main!A:A,0),"Open"),HYPERLINK("#Main!A1","Open"))</f>
        <v/>
      </c>
    </row>
    <row r="45" ht="30" customHeight="1">
      <c r="A45" s="33" t="inlineStr">
        <is>
          <t>https://africanmarketingconfederation.org/amc-marketing-conference-2024/testimony-thank-you-page/</t>
        </is>
      </c>
      <c r="B45" s="4" t="n">
        <v>200</v>
      </c>
      <c r="C45" s="30" t="inlineStr">
        <is>
          <t>https://africanmarketingconfederation.org/amc-marketing-conference-2024/testimony-thank-you-page/</t>
        </is>
      </c>
      <c r="D45" s="6" t="n">
        <v>0</v>
      </c>
      <c r="E45" s="6" t="n"/>
      <c r="F45" s="30" t="n"/>
      <c r="G45" s="6" t="b">
        <v>0</v>
      </c>
      <c r="H45" s="4" t="b">
        <v>0</v>
      </c>
      <c r="I45">
        <f>IFERROR(HYPERLINK("#Main!A"&amp;MATCH(A45,Main!A:A,0),"Open"),HYPERLINK("#Main!A1","Open"))</f>
        <v/>
      </c>
    </row>
    <row r="46" ht="30" customHeight="1">
      <c r="A46" s="33" t="inlineStr">
        <is>
          <t>https://africanmarketingconfederation.org/amc-sign-up-now-form-2025/</t>
        </is>
      </c>
      <c r="B46" s="4" t="n">
        <v>200</v>
      </c>
      <c r="C46" s="27" t="inlineStr">
        <is>
          <t>https://africanmarketingconfederation.org/amc-sign-up-now-form-2025/</t>
        </is>
      </c>
      <c r="D46" s="24" t="n">
        <v>0</v>
      </c>
      <c r="E46" s="24" t="n"/>
      <c r="F46" s="27" t="n"/>
      <c r="G46" s="24" t="b">
        <v>0</v>
      </c>
      <c r="H46" s="4" t="b">
        <v>0</v>
      </c>
      <c r="I46">
        <f>IFERROR(HYPERLINK("#Main!A"&amp;MATCH(A46,Main!A:A,0),"Open"),HYPERLINK("#Main!A1","Open"))</f>
        <v/>
      </c>
    </row>
    <row r="47" ht="30" customHeight="1">
      <c r="A47" s="33" t="inlineStr">
        <is>
          <t>https://africanmarketingconfederation.org/amc-marketing-conference-2024/</t>
        </is>
      </c>
      <c r="B47" s="4" t="n">
        <v>200</v>
      </c>
      <c r="C47" s="30" t="inlineStr">
        <is>
          <t>https://africanmarketingconfederation.org/amc-forum-mombasa/</t>
        </is>
      </c>
      <c r="D47" s="6" t="n">
        <v>1</v>
      </c>
      <c r="E47" s="6" t="n"/>
      <c r="F47" s="30" t="n"/>
      <c r="G47" s="6" t="b">
        <v>0</v>
      </c>
      <c r="H47" s="4" t="b">
        <v>0</v>
      </c>
      <c r="I47">
        <f>IFERROR(HYPERLINK("#Main!A"&amp;MATCH(A47,Main!A:A,0),"Open"),HYPERLINK("#Main!A1","Open"))</f>
        <v/>
      </c>
    </row>
    <row r="48" ht="30" customHeight="1">
      <c r="A48" s="33" t="inlineStr">
        <is>
          <t>https://africanmarketingconfederation.org/amc-testimony-page-2024/</t>
        </is>
      </c>
      <c r="B48" s="4" t="n">
        <v>200</v>
      </c>
      <c r="C48" s="27" t="inlineStr">
        <is>
          <t>https://africanmarketingconfederation.org/amc-testimony-page-2024/</t>
        </is>
      </c>
      <c r="D48" s="24" t="n">
        <v>0</v>
      </c>
      <c r="E48" s="24" t="n"/>
      <c r="F48" s="27" t="n"/>
      <c r="G48" s="24" t="b">
        <v>0</v>
      </c>
      <c r="H48" s="4" t="b">
        <v>0</v>
      </c>
      <c r="I48">
        <f>IFERROR(HYPERLINK("#Main!A"&amp;MATCH(A48,Main!A:A,0),"Open"),HYPERLINK("#Main!A1","Open"))</f>
        <v/>
      </c>
    </row>
    <row r="49" ht="30" customHeight="1">
      <c r="A49" s="33" t="inlineStr">
        <is>
          <t>https://africanmarketingconfederation.org/thank-you-for-registering-2024-registrations/</t>
        </is>
      </c>
      <c r="B49" s="4" t="n">
        <v>200</v>
      </c>
      <c r="C49" s="30" t="inlineStr">
        <is>
          <t>https://africanmarketingconfederation.org/thank-you-for-registering-2024-registrations/</t>
        </is>
      </c>
      <c r="D49" s="6" t="n">
        <v>0</v>
      </c>
      <c r="E49" s="6" t="n"/>
      <c r="F49" s="30" t="n"/>
      <c r="G49" s="6" t="b">
        <v>0</v>
      </c>
      <c r="H49" s="4" t="b">
        <v>0</v>
      </c>
      <c r="I49">
        <f>IFERROR(HYPERLINK("#Main!A"&amp;MATCH(A49,Main!A:A,0),"Open"),HYPERLINK("#Main!A1","Open"))</f>
        <v/>
      </c>
    </row>
    <row r="50" ht="30" customHeight="1">
      <c r="A50" s="33" t="inlineStr">
        <is>
          <t>https://africanmarketingconfederation.org/download-prospectus-2024/</t>
        </is>
      </c>
      <c r="B50" s="4" t="n">
        <v>200</v>
      </c>
      <c r="C50" s="27" t="inlineStr">
        <is>
          <t>https://africanmarketingconfederation.org/download-prospectus-2024/</t>
        </is>
      </c>
      <c r="D50" s="24" t="n">
        <v>0</v>
      </c>
      <c r="E50" s="24" t="n"/>
      <c r="F50" s="27" t="n"/>
      <c r="G50" s="24" t="b">
        <v>0</v>
      </c>
      <c r="H50" s="4" t="b">
        <v>0</v>
      </c>
      <c r="I50">
        <f>IFERROR(HYPERLINK("#Main!A"&amp;MATCH(A50,Main!A:A,0),"Open"),HYPERLINK("#Main!A1","Open"))</f>
        <v/>
      </c>
    </row>
    <row r="51" ht="30" customHeight="1">
      <c r="A51" s="33" t="inlineStr">
        <is>
          <t>https://africanmarketingconfederation.org/thank-you-for-registering-2024-registrations-kenya/</t>
        </is>
      </c>
      <c r="B51" s="4" t="n">
        <v>200</v>
      </c>
      <c r="C51" s="30" t="inlineStr">
        <is>
          <t>https://africanmarketingconfederation.org/thank-you-for-registering-2024-registrations-kenya/</t>
        </is>
      </c>
      <c r="D51" s="6" t="n">
        <v>0</v>
      </c>
      <c r="E51" s="6" t="n"/>
      <c r="F51" s="30" t="n"/>
      <c r="G51" s="6" t="b">
        <v>0</v>
      </c>
      <c r="H51" s="4" t="b">
        <v>0</v>
      </c>
      <c r="I51">
        <f>IFERROR(HYPERLINK("#Main!A"&amp;MATCH(A51,Main!A:A,0),"Open"),HYPERLINK("#Main!A1","Open"))</f>
        <v/>
      </c>
    </row>
    <row r="52" ht="30" customHeight="1">
      <c r="A52" s="33" t="inlineStr">
        <is>
          <t>https://africanmarketingconfederation.org/subscribe/</t>
        </is>
      </c>
      <c r="B52" s="4" t="n">
        <v>200</v>
      </c>
      <c r="C52" s="27" t="inlineStr">
        <is>
          <t>https://africanmarketingconfederation.org/subscribe/</t>
        </is>
      </c>
      <c r="D52" s="24" t="n">
        <v>0</v>
      </c>
      <c r="E52" s="24" t="n"/>
      <c r="F52" s="27" t="n"/>
      <c r="G52" s="24" t="b">
        <v>0</v>
      </c>
      <c r="H52" s="4" t="b">
        <v>0</v>
      </c>
      <c r="I52">
        <f>IFERROR(HYPERLINK("#Main!A"&amp;MATCH(A52,Main!A:A,0),"Open"),HYPERLINK("#Main!A1","Open"))</f>
        <v/>
      </c>
    </row>
    <row r="53" ht="30" customHeight="1">
      <c r="A53" s="33" t="inlineStr">
        <is>
          <t>https://africanmarketingconfederation.org/amc-marketing-conference-2024/speakers-2024/</t>
        </is>
      </c>
      <c r="B53" s="32" t="n">
        <v>404</v>
      </c>
      <c r="C53" s="30" t="inlineStr">
        <is>
          <t>https://africanmarketingconfederation.org/amc-forum-speakers/</t>
        </is>
      </c>
      <c r="D53" s="6" t="n">
        <v>1</v>
      </c>
      <c r="E53" s="6" t="n"/>
      <c r="F53" s="30" t="n"/>
      <c r="G53" s="6" t="b">
        <v>0</v>
      </c>
      <c r="H53" s="4" t="b">
        <v>0</v>
      </c>
      <c r="I53">
        <f>IFERROR(HYPERLINK("#Main!A"&amp;MATCH(A53,Main!A:A,0),"Open"),HYPERLINK("#Main!A1","Open"))</f>
        <v/>
      </c>
    </row>
    <row r="54" ht="30" customHeight="1">
      <c r="A54" s="33" t="inlineStr">
        <is>
          <t>https://africanmarketingconfederation.org/amc-conference-sponsors/</t>
        </is>
      </c>
      <c r="B54" s="32" t="n">
        <v>404</v>
      </c>
      <c r="C54" s="27" t="inlineStr">
        <is>
          <t>https://africanmarketingconfederation.org/amc-forum-sponsors/</t>
        </is>
      </c>
      <c r="D54" s="24" t="n">
        <v>1</v>
      </c>
      <c r="E54" s="24" t="n"/>
      <c r="F54" s="27" t="n"/>
      <c r="G54" s="24" t="b">
        <v>0</v>
      </c>
      <c r="H54" s="4" t="b">
        <v>0</v>
      </c>
      <c r="I54">
        <f>IFERROR(HYPERLINK("#Main!A"&amp;MATCH(A54,Main!A:A,0),"Open"),HYPERLINK("#Main!A1","Open"))</f>
        <v/>
      </c>
    </row>
    <row r="55" ht="30" customHeight="1">
      <c r="A55" s="33" t="inlineStr">
        <is>
          <t>https://africanmarketingconfederation.org/elementor-20341/</t>
        </is>
      </c>
      <c r="B55" s="4" t="n">
        <v>200</v>
      </c>
      <c r="C55" s="30" t="inlineStr">
        <is>
          <t>https://africanmarketingconfederation.org/elementor-20341/</t>
        </is>
      </c>
      <c r="D55" s="6" t="n">
        <v>0</v>
      </c>
      <c r="E55" s="6" t="n"/>
      <c r="F55" s="30" t="n"/>
      <c r="G55" s="6" t="b">
        <v>0</v>
      </c>
      <c r="H55" s="4" t="b">
        <v>0</v>
      </c>
      <c r="I55">
        <f>IFERROR(HYPERLINK("#Main!A"&amp;MATCH(A55,Main!A:A,0),"Open"),HYPERLINK("#Main!A1","Open"))</f>
        <v/>
      </c>
    </row>
    <row r="56" ht="30" customHeight="1">
      <c r="A56" s="33" t="inlineStr">
        <is>
          <t>https://africanmarketingconfederation.org/chartered-marketer-africa-final-submission-fee/</t>
        </is>
      </c>
      <c r="B56" s="4" t="n">
        <v>200</v>
      </c>
      <c r="C56" s="27" t="inlineStr">
        <is>
          <t>https://africanmarketingconfederation.org/chartered-marketer-africa-final-submission-fee/</t>
        </is>
      </c>
      <c r="D56" s="24" t="n">
        <v>0</v>
      </c>
      <c r="E56" s="24" t="n"/>
      <c r="F56" s="27" t="n"/>
      <c r="G56" s="24" t="b">
        <v>0</v>
      </c>
      <c r="H56" s="4" t="b">
        <v>0</v>
      </c>
      <c r="I56">
        <f>IFERROR(HYPERLINK("#Main!A"&amp;MATCH(A56,Main!A:A,0),"Open"),HYPERLINK("#Main!A1","Open"))</f>
        <v/>
      </c>
    </row>
    <row r="57" ht="30" customHeight="1">
      <c r="A57" s="33" t="inlineStr">
        <is>
          <t>https://africanmarketingconfederation.org/chartered-marketer-africa-programme-fee/</t>
        </is>
      </c>
      <c r="B57" s="4" t="n">
        <v>200</v>
      </c>
      <c r="C57" s="30" t="inlineStr">
        <is>
          <t>https://africanmarketingconfederation.org/chartered-marketer-africa-programme-fee/</t>
        </is>
      </c>
      <c r="D57" s="6" t="n">
        <v>0</v>
      </c>
      <c r="E57" s="6" t="n"/>
      <c r="F57" s="30" t="n"/>
      <c r="G57" s="6" t="b">
        <v>0</v>
      </c>
      <c r="H57" s="4" t="b">
        <v>0</v>
      </c>
      <c r="I57">
        <f>IFERROR(HYPERLINK("#Main!A"&amp;MATCH(A57,Main!A:A,0),"Open"),HYPERLINK("#Main!A1","Open"))</f>
        <v/>
      </c>
    </row>
    <row r="58" ht="30" customHeight="1">
      <c r="A58" s="33" t="inlineStr">
        <is>
          <t>https://africanmarketingconfederation.org/download-brochure/</t>
        </is>
      </c>
      <c r="B58" s="4" t="n">
        <v>200</v>
      </c>
      <c r="C58" s="27" t="inlineStr">
        <is>
          <t>https://africanmarketingconfederation.org/download-brochure/</t>
        </is>
      </c>
      <c r="D58" s="24" t="n">
        <v>0</v>
      </c>
      <c r="E58" s="24" t="n"/>
      <c r="F58" s="27" t="n"/>
      <c r="G58" s="24" t="b">
        <v>0</v>
      </c>
      <c r="H58" s="4" t="b">
        <v>0</v>
      </c>
      <c r="I58">
        <f>IFERROR(HYPERLINK("#Main!A"&amp;MATCH(A58,Main!A:A,0),"Open"),HYPERLINK("#Main!A1","Open"))</f>
        <v/>
      </c>
    </row>
    <row r="59" ht="30" customHeight="1">
      <c r="A59" s="33" t="inlineStr">
        <is>
          <t>https://africanmarketingconfederation.org/thank-you-for-the-nomination-2024/</t>
        </is>
      </c>
      <c r="B59" s="4" t="n">
        <v>200</v>
      </c>
      <c r="C59" s="30" t="inlineStr">
        <is>
          <t>https://africanmarketingconfederation.org/thank-you-for-the-nomination-2024/</t>
        </is>
      </c>
      <c r="D59" s="6" t="n">
        <v>0</v>
      </c>
      <c r="E59" s="6" t="n"/>
      <c r="F59" s="30" t="n"/>
      <c r="G59" s="6" t="b">
        <v>0</v>
      </c>
      <c r="H59" s="4" t="b">
        <v>0</v>
      </c>
      <c r="I59">
        <f>IFERROR(HYPERLINK("#Main!A"&amp;MATCH(A59,Main!A:A,0),"Open"),HYPERLINK("#Main!A1","Open"))</f>
        <v/>
      </c>
    </row>
    <row r="60" ht="30" customHeight="1">
      <c r="A60" s="33" t="inlineStr">
        <is>
          <t>https://africanmarketingconfederation.org/thank-you-for-the-submission-2024/</t>
        </is>
      </c>
      <c r="B60" s="4" t="n">
        <v>200</v>
      </c>
      <c r="C60" s="27" t="inlineStr">
        <is>
          <t>https://africanmarketingconfederation.org/thank-you-for-the-submission-2024/</t>
        </is>
      </c>
      <c r="D60" s="24" t="n">
        <v>0</v>
      </c>
      <c r="E60" s="24" t="n"/>
      <c r="F60" s="27" t="n"/>
      <c r="G60" s="24" t="b">
        <v>0</v>
      </c>
      <c r="H60" s="4" t="b">
        <v>0</v>
      </c>
      <c r="I60">
        <f>IFERROR(HYPERLINK("#Main!A"&amp;MATCH(A60,Main!A:A,0),"Open"),HYPERLINK("#Main!A1","Open"))</f>
        <v/>
      </c>
    </row>
    <row r="61" ht="30" customHeight="1">
      <c r="A61" s="33" t="inlineStr">
        <is>
          <t>https://africanmarketingconfederation.org/amc-conference-2024-sponsors-packages/</t>
        </is>
      </c>
      <c r="B61" s="4" t="n">
        <v>200</v>
      </c>
      <c r="C61" s="30" t="inlineStr">
        <is>
          <t>https://africanmarketingconfederation.org/amc-conference-2024-sponsors-packages/</t>
        </is>
      </c>
      <c r="D61" s="6" t="n">
        <v>0</v>
      </c>
      <c r="E61" s="6" t="n"/>
      <c r="F61" s="30" t="n"/>
      <c r="G61" s="6" t="b">
        <v>0</v>
      </c>
      <c r="H61" s="4" t="b">
        <v>0</v>
      </c>
      <c r="I61">
        <f>IFERROR(HYPERLINK("#Main!A"&amp;MATCH(A61,Main!A:A,0),"Open"),HYPERLINK("#Main!A1","Open"))</f>
        <v/>
      </c>
    </row>
    <row r="62" ht="30" customHeight="1">
      <c r="A62" s="33" t="inlineStr">
        <is>
          <t>https://africanmarketingconfederation.org/elementor-16548/</t>
        </is>
      </c>
      <c r="B62" s="4" t="n">
        <v>200</v>
      </c>
      <c r="C62" s="27" t="inlineStr">
        <is>
          <t>https://africanmarketingconfederation.org/elementor-16548/</t>
        </is>
      </c>
      <c r="D62" s="24" t="n">
        <v>0</v>
      </c>
      <c r="E62" s="24" t="n"/>
      <c r="F62" s="27" t="n"/>
      <c r="G62" s="24" t="b">
        <v>0</v>
      </c>
      <c r="H62" s="4" t="b">
        <v>0</v>
      </c>
      <c r="I62">
        <f>IFERROR(HYPERLINK("#Main!A"&amp;MATCH(A62,Main!A:A,0),"Open"),HYPERLINK("#Main!A1","Open"))</f>
        <v/>
      </c>
    </row>
    <row r="63" ht="30" customHeight="1">
      <c r="A63" s="33" t="inlineStr">
        <is>
          <t>https://africanmarketingconfederation.org/amc-marketing-conference-2024/programme-2024/</t>
        </is>
      </c>
      <c r="B63" s="4" t="n">
        <v>200</v>
      </c>
      <c r="C63" s="30" t="inlineStr">
        <is>
          <t>https://africanmarketingconfederation.org/amc-marketing-conference-2024/programme-2024/</t>
        </is>
      </c>
      <c r="D63" s="6" t="n">
        <v>0</v>
      </c>
      <c r="E63" s="6" t="n"/>
      <c r="F63" s="30" t="n"/>
      <c r="G63" s="6" t="b">
        <v>0</v>
      </c>
      <c r="H63" s="4" t="b">
        <v>0</v>
      </c>
      <c r="I63">
        <f>IFERROR(HYPERLINK("#Main!A"&amp;MATCH(A63,Main!A:A,0),"Open"),HYPERLINK("#Main!A1","Open"))</f>
        <v/>
      </c>
    </row>
    <row r="64" ht="30" customHeight="1">
      <c r="A64" s="33" t="inlineStr">
        <is>
          <t>https://africanmarketingconfederation.org/amc-conference-2023/programme/</t>
        </is>
      </c>
      <c r="B64" s="4" t="n">
        <v>200</v>
      </c>
      <c r="C64" s="27" t="inlineStr">
        <is>
          <t>https://africanmarketingconfederation.org/amc-conference-2023/programme/</t>
        </is>
      </c>
      <c r="D64" s="24" t="n">
        <v>0</v>
      </c>
      <c r="E64" s="24" t="n"/>
      <c r="F64" s="27" t="n"/>
      <c r="G64" s="24" t="b">
        <v>0</v>
      </c>
      <c r="H64" s="4" t="b">
        <v>0</v>
      </c>
      <c r="I64">
        <f>IFERROR(HYPERLINK("#Main!A"&amp;MATCH(A64,Main!A:A,0),"Open"),HYPERLINK("#Main!A1","Open"))</f>
        <v/>
      </c>
    </row>
    <row r="65" ht="30" customHeight="1">
      <c r="A65" s="33" t="inlineStr">
        <is>
          <t>https://africanmarketingconfederation.org/amc-conference-2023/amc-awards/</t>
        </is>
      </c>
      <c r="B65" s="4" t="n">
        <v>200</v>
      </c>
      <c r="C65" s="30" t="inlineStr">
        <is>
          <t>https://africanmarketingconfederation.org/amc-conference-2023/amc-awards/</t>
        </is>
      </c>
      <c r="D65" s="6" t="n">
        <v>0</v>
      </c>
      <c r="E65" s="6" t="n"/>
      <c r="F65" s="30" t="n"/>
      <c r="G65" s="6" t="b">
        <v>0</v>
      </c>
      <c r="H65" s="4" t="b">
        <v>0</v>
      </c>
      <c r="I65">
        <f>IFERROR(HYPERLINK("#Main!A"&amp;MATCH(A65,Main!A:A,0),"Open"),HYPERLINK("#Main!A1","Open"))</f>
        <v/>
      </c>
    </row>
    <row r="66" ht="30" customHeight="1">
      <c r="A66" s="33" t="inlineStr">
        <is>
          <t>https://africanmarketingconfederation.org/amc-conference-2023/partners/</t>
        </is>
      </c>
      <c r="B66" s="4" t="n">
        <v>200</v>
      </c>
      <c r="C66" s="27" t="inlineStr">
        <is>
          <t>https://africanmarketingconfederation.org/amc-conference-2023/partners/</t>
        </is>
      </c>
      <c r="D66" s="24" t="n">
        <v>0</v>
      </c>
      <c r="E66" s="24" t="n"/>
      <c r="F66" s="27" t="n"/>
      <c r="G66" s="24" t="b">
        <v>0</v>
      </c>
      <c r="H66" s="4" t="b">
        <v>0</v>
      </c>
      <c r="I66">
        <f>IFERROR(HYPERLINK("#Main!A"&amp;MATCH(A66,Main!A:A,0),"Open"),HYPERLINK("#Main!A1","Open"))</f>
        <v/>
      </c>
    </row>
    <row r="67" ht="30" customHeight="1">
      <c r="A67" s="33" t="inlineStr">
        <is>
          <t>https://africanmarketingconfederation.org/amc-conference-2023/speakers/</t>
        </is>
      </c>
      <c r="B67" s="4" t="n">
        <v>200</v>
      </c>
      <c r="C67" s="30" t="inlineStr">
        <is>
          <t>https://africanmarketingconfederation.org/amc-conference-2023/speakers/</t>
        </is>
      </c>
      <c r="D67" s="6" t="n">
        <v>0</v>
      </c>
      <c r="E67" s="6" t="n"/>
      <c r="F67" s="30" t="n"/>
      <c r="G67" s="6" t="b">
        <v>0</v>
      </c>
      <c r="H67" s="4" t="b">
        <v>0</v>
      </c>
      <c r="I67">
        <f>IFERROR(HYPERLINK("#Main!A"&amp;MATCH(A67,Main!A:A,0),"Open"),HYPERLINK("#Main!A1","Open"))</f>
        <v/>
      </c>
    </row>
    <row r="68" ht="30" customHeight="1">
      <c r="A68" s="33" t="inlineStr">
        <is>
          <t>https://africanmarketingconfederation.org/chartered-marketer-africa-thank-you/</t>
        </is>
      </c>
      <c r="B68" s="4" t="n">
        <v>200</v>
      </c>
      <c r="C68" s="27" t="inlineStr">
        <is>
          <t>https://africanmarketingconfederation.org/chartered-marketer-africa-thank-you/</t>
        </is>
      </c>
      <c r="D68" s="24" t="n">
        <v>0</v>
      </c>
      <c r="E68" s="24" t="n"/>
      <c r="F68" s="27" t="n"/>
      <c r="G68" s="24" t="b">
        <v>0</v>
      </c>
      <c r="H68" s="4" t="b">
        <v>0</v>
      </c>
      <c r="I68">
        <f>IFERROR(HYPERLINK("#Main!A"&amp;MATCH(A68,Main!A:A,0),"Open"),HYPERLINK("#Main!A1","Open"))</f>
        <v/>
      </c>
    </row>
    <row r="69" ht="30" customHeight="1">
      <c r="A69" s="33" t="inlineStr">
        <is>
          <t>https://africanmarketingconfederation.org/amc-conference-2023/amc-awards-book-now/</t>
        </is>
      </c>
      <c r="B69" s="4" t="n">
        <v>200</v>
      </c>
      <c r="C69" s="30" t="inlineStr">
        <is>
          <t>https://africanmarketingconfederation.org/amc-conference-2023/amc-awards-book-now/</t>
        </is>
      </c>
      <c r="D69" s="6" t="n">
        <v>0</v>
      </c>
      <c r="E69" s="6" t="n"/>
      <c r="F69" s="30" t="n"/>
      <c r="G69" s="6" t="b">
        <v>0</v>
      </c>
      <c r="H69" s="4" t="b">
        <v>0</v>
      </c>
      <c r="I69">
        <f>IFERROR(HYPERLINK("#Main!A"&amp;MATCH(A69,Main!A:A,0),"Open"),HYPERLINK("#Main!A1","Open"))</f>
        <v/>
      </c>
    </row>
    <row r="70" ht="30" customHeight="1">
      <c r="A70" s="33" t="inlineStr">
        <is>
          <t>https://africanmarketingconfederation.org/amc-conference-2023/book-now/</t>
        </is>
      </c>
      <c r="B70" s="4" t="n">
        <v>200</v>
      </c>
      <c r="C70" s="27" t="inlineStr">
        <is>
          <t>https://africanmarketingconfederation.org/amc-conference-2023/book-now/</t>
        </is>
      </c>
      <c r="D70" s="24" t="n">
        <v>0</v>
      </c>
      <c r="E70" s="24" t="n"/>
      <c r="F70" s="27" t="n"/>
      <c r="G70" s="24" t="b">
        <v>0</v>
      </c>
      <c r="H70" s="4" t="b">
        <v>0</v>
      </c>
      <c r="I70">
        <f>IFERROR(HYPERLINK("#Main!A"&amp;MATCH(A70,Main!A:A,0),"Open"),HYPERLINK("#Main!A1","Open"))</f>
        <v/>
      </c>
    </row>
    <row r="71" ht="30" customHeight="1">
      <c r="A71" s="33" t="inlineStr">
        <is>
          <t>https://africanmarketingconfederation.org/amc-conference-2023/download-prospectus/</t>
        </is>
      </c>
      <c r="B71" s="4" t="n">
        <v>200</v>
      </c>
      <c r="C71" s="30" t="inlineStr">
        <is>
          <t>https://africanmarketingconfederation.org/amc-conference-2023/download-prospectus/</t>
        </is>
      </c>
      <c r="D71" s="6" t="n">
        <v>0</v>
      </c>
      <c r="E71" s="6" t="n"/>
      <c r="F71" s="30" t="n"/>
      <c r="G71" s="6" t="b">
        <v>0</v>
      </c>
      <c r="H71" s="4" t="b">
        <v>0</v>
      </c>
      <c r="I71">
        <f>IFERROR(HYPERLINK("#Main!A"&amp;MATCH(A71,Main!A:A,0),"Open"),HYPERLINK("#Main!A1","Open"))</f>
        <v/>
      </c>
    </row>
    <row r="72" ht="30" customHeight="1">
      <c r="A72" s="33" t="inlineStr">
        <is>
          <t>https://africanmarketingconfederation.org/thank-you-for-subscribing/</t>
        </is>
      </c>
      <c r="B72" s="4" t="n">
        <v>200</v>
      </c>
      <c r="C72" s="27" t="inlineStr">
        <is>
          <t>https://africanmarketingconfederation.org/thank-you-for-subscribing/</t>
        </is>
      </c>
      <c r="D72" s="24" t="n">
        <v>0</v>
      </c>
      <c r="E72" s="24" t="n"/>
      <c r="F72" s="27" t="n"/>
      <c r="G72" s="24" t="b">
        <v>0</v>
      </c>
      <c r="H72" s="4" t="b">
        <v>0</v>
      </c>
      <c r="I72">
        <f>IFERROR(HYPERLINK("#Main!A"&amp;MATCH(A72,Main!A:A,0),"Open"),HYPERLINK("#Main!A1","Open"))</f>
        <v/>
      </c>
    </row>
    <row r="73" ht="30" customHeight="1">
      <c r="A73" s="33" t="inlineStr">
        <is>
          <t>https://africanmarketingconfederation.org/amc-conference-2023/book-now-thank-you/</t>
        </is>
      </c>
      <c r="B73" s="4" t="n">
        <v>200</v>
      </c>
      <c r="C73" s="30" t="inlineStr">
        <is>
          <t>https://africanmarketingconfederation.org/amc-conference-2023/book-now-thank-you/</t>
        </is>
      </c>
      <c r="D73" s="6" t="n">
        <v>0</v>
      </c>
      <c r="E73" s="6" t="n"/>
      <c r="F73" s="30" t="n"/>
      <c r="G73" s="6" t="b">
        <v>0</v>
      </c>
      <c r="H73" s="4" t="b">
        <v>0</v>
      </c>
      <c r="I73">
        <f>IFERROR(HYPERLINK("#Main!A"&amp;MATCH(A73,Main!A:A,0),"Open"),HYPERLINK("#Main!A1","Open"))</f>
        <v/>
      </c>
    </row>
    <row r="74" ht="30" customHeight="1">
      <c r="A74" s="33" t="inlineStr">
        <is>
          <t>https://africanmarketingconfederation.org/upcoming-events/</t>
        </is>
      </c>
      <c r="B74" s="4" t="n">
        <v>200</v>
      </c>
      <c r="C74" s="27" t="inlineStr">
        <is>
          <t>https://africanmarketingconfederation.org/upcoming-events/</t>
        </is>
      </c>
      <c r="D74" s="24" t="n">
        <v>0</v>
      </c>
      <c r="E74" s="24" t="n"/>
      <c r="F74" s="27" t="n"/>
      <c r="G74" s="24" t="b">
        <v>0</v>
      </c>
      <c r="H74" s="4" t="b">
        <v>0</v>
      </c>
      <c r="I74">
        <f>IFERROR(HYPERLINK("#Main!A"&amp;MATCH(A74,Main!A:A,0),"Open"),HYPERLINK("#Main!A1","Open"))</f>
        <v/>
      </c>
    </row>
    <row r="75" ht="30" customHeight="1">
      <c r="A75" s="33" t="inlineStr">
        <is>
          <t>https://africanmarketingconfederation.org/amc-conference-thank-you/</t>
        </is>
      </c>
      <c r="B75" s="4" t="n">
        <v>200</v>
      </c>
      <c r="C75" s="30" t="inlineStr">
        <is>
          <t>https://africanmarketingconfederation.org/amc-conference-thank-you/</t>
        </is>
      </c>
      <c r="D75" s="6" t="n">
        <v>0</v>
      </c>
      <c r="E75" s="6" t="n"/>
      <c r="F75" s="30" t="n"/>
      <c r="G75" s="6" t="b">
        <v>0</v>
      </c>
      <c r="H75" s="4" t="b">
        <v>0</v>
      </c>
      <c r="I75">
        <f>IFERROR(HYPERLINK("#Main!A"&amp;MATCH(A75,Main!A:A,0),"Open"),HYPERLINK("#Main!A1","Open"))</f>
        <v/>
      </c>
    </row>
    <row r="76" ht="30" customHeight="1">
      <c r="A76" s="33" t="inlineStr">
        <is>
          <t>https://africanmarketingconfederation.org/amc-masterclass/</t>
        </is>
      </c>
      <c r="B76" s="4" t="n">
        <v>200</v>
      </c>
      <c r="C76" s="27" t="inlineStr">
        <is>
          <t>https://africanmarketingconfederation.org/amc-masterclass/</t>
        </is>
      </c>
      <c r="D76" s="24" t="n">
        <v>0</v>
      </c>
      <c r="E76" s="24" t="n"/>
      <c r="F76" s="27" t="n"/>
      <c r="G76" s="24" t="b">
        <v>0</v>
      </c>
      <c r="H76" s="4" t="b">
        <v>0</v>
      </c>
      <c r="I76">
        <f>IFERROR(HYPERLINK("#Main!A"&amp;MATCH(A76,Main!A:A,0),"Open"),HYPERLINK("#Main!A1","Open"))</f>
        <v/>
      </c>
    </row>
    <row r="77" ht="30" customHeight="1">
      <c r="A77" s="33" t="inlineStr">
        <is>
          <t>https://africanmarketingconfederation.org/amc-relaunch-programme/</t>
        </is>
      </c>
      <c r="B77" s="4" t="n">
        <v>200</v>
      </c>
      <c r="C77" s="30" t="inlineStr">
        <is>
          <t>https://africanmarketingconfederation.org/amc-relaunch-programme/</t>
        </is>
      </c>
      <c r="D77" s="6" t="n">
        <v>0</v>
      </c>
      <c r="E77" s="6" t="n"/>
      <c r="F77" s="30" t="n"/>
      <c r="G77" s="6" t="b">
        <v>0</v>
      </c>
      <c r="H77" s="4" t="b">
        <v>0</v>
      </c>
      <c r="I77">
        <f>IFERROR(HYPERLINK("#Main!A"&amp;MATCH(A77,Main!A:A,0),"Open"),HYPERLINK("#Main!A1","Open"))</f>
        <v/>
      </c>
    </row>
    <row r="78" ht="30" customHeight="1">
      <c r="A78" s="33" t="inlineStr">
        <is>
          <t>https://africanmarketingconfederation.org/amc-masterclass-thank-you/</t>
        </is>
      </c>
      <c r="B78" s="4" t="n">
        <v>200</v>
      </c>
      <c r="C78" s="27" t="inlineStr">
        <is>
          <t>https://africanmarketingconfederation.org/amc-masterclass-thank-you/</t>
        </is>
      </c>
      <c r="D78" s="24" t="n">
        <v>0</v>
      </c>
      <c r="E78" s="24" t="n"/>
      <c r="F78" s="27" t="n"/>
      <c r="G78" s="24" t="b">
        <v>0</v>
      </c>
      <c r="H78" s="4" t="b">
        <v>0</v>
      </c>
      <c r="I78">
        <f>IFERROR(HYPERLINK("#Main!A"&amp;MATCH(A78,Main!A:A,0),"Open"),HYPERLINK("#Main!A1","Open"))</f>
        <v/>
      </c>
    </row>
    <row r="79" ht="30" customHeight="1">
      <c r="A79" s="33" t="inlineStr">
        <is>
          <t>https://africanmarketingconfederation.org/amc-masterclass-bookings/</t>
        </is>
      </c>
      <c r="B79" s="4" t="n">
        <v>200</v>
      </c>
      <c r="C79" s="30" t="inlineStr">
        <is>
          <t>https://africanmarketingconfederation.org/amc-masterclass-bookings/</t>
        </is>
      </c>
      <c r="D79" s="6" t="n">
        <v>0</v>
      </c>
      <c r="E79" s="6" t="n"/>
      <c r="F79" s="30" t="n"/>
      <c r="G79" s="6" t="b">
        <v>0</v>
      </c>
      <c r="H79" s="4" t="b">
        <v>0</v>
      </c>
      <c r="I79">
        <f>IFERROR(HYPERLINK("#Main!A"&amp;MATCH(A79,Main!A:A,0),"Open"),HYPERLINK("#Main!A1","Open"))</f>
        <v/>
      </c>
    </row>
    <row r="80" ht="30" customHeight="1">
      <c r="A80" s="33" t="inlineStr">
        <is>
          <t>https://africanmarketingconfederation.org/amc-conference-programme/</t>
        </is>
      </c>
      <c r="B80" s="4" t="n">
        <v>200</v>
      </c>
      <c r="C80" s="27" t="inlineStr">
        <is>
          <t>https://africanmarketingconfederation.org/amc-conference-programme/</t>
        </is>
      </c>
      <c r="D80" s="24" t="n">
        <v>0</v>
      </c>
      <c r="E80" s="24" t="n"/>
      <c r="F80" s="27" t="n"/>
      <c r="G80" s="24" t="b">
        <v>0</v>
      </c>
      <c r="H80" s="4" t="b">
        <v>0</v>
      </c>
      <c r="I80">
        <f>IFERROR(HYPERLINK("#Main!A"&amp;MATCH(A80,Main!A:A,0),"Open"),HYPERLINK("#Main!A1","Open"))</f>
        <v/>
      </c>
    </row>
    <row r="81" ht="30" customHeight="1">
      <c r="A81" s="33" t="inlineStr">
        <is>
          <t>https://africanmarketingconfederation.org/test-homeslider/</t>
        </is>
      </c>
      <c r="B81" s="4" t="n">
        <v>200</v>
      </c>
      <c r="C81" s="30" t="inlineStr">
        <is>
          <t>https://africanmarketingconfederation.org/test-homeslider/</t>
        </is>
      </c>
      <c r="D81" s="6" t="n">
        <v>0</v>
      </c>
      <c r="E81" s="6" t="n"/>
      <c r="F81" s="30" t="n"/>
      <c r="G81" s="6" t="b">
        <v>0</v>
      </c>
      <c r="H81" s="4" t="b">
        <v>0</v>
      </c>
      <c r="I81">
        <f>IFERROR(HYPERLINK("#Main!A"&amp;MATCH(A81,Main!A:A,0),"Open"),HYPERLINK("#Main!A1","Open"))</f>
        <v/>
      </c>
    </row>
    <row r="82" ht="30" customHeight="1">
      <c r="A82" s="33" t="inlineStr">
        <is>
          <t>https://africanmarketingconfederation.org/virtual-programme/</t>
        </is>
      </c>
      <c r="B82" s="4" t="n">
        <v>200</v>
      </c>
      <c r="C82" s="27" t="inlineStr">
        <is>
          <t>https://africanmarketingconfederation.org/virtual-programme/</t>
        </is>
      </c>
      <c r="D82" s="24" t="n">
        <v>0</v>
      </c>
      <c r="E82" s="24" t="n"/>
      <c r="F82" s="27" t="n"/>
      <c r="G82" s="24" t="b">
        <v>0</v>
      </c>
      <c r="H82" s="4" t="b">
        <v>0</v>
      </c>
      <c r="I82">
        <f>IFERROR(HYPERLINK("#Main!A"&amp;MATCH(A82,Main!A:A,0),"Open"),HYPERLINK("#Main!A1","Open"))</f>
        <v/>
      </c>
    </row>
    <row r="83" ht="30" customHeight="1">
      <c r="A83" s="33" t="inlineStr">
        <is>
          <t>https://africanmarketingconfederation.org/general-enquiry-form-thank-you/</t>
        </is>
      </c>
      <c r="B83" s="4" t="n">
        <v>200</v>
      </c>
      <c r="C83" s="30" t="inlineStr">
        <is>
          <t>https://africanmarketingconfederation.org/general-enquiry-form-thank-you/</t>
        </is>
      </c>
      <c r="D83" s="6" t="n">
        <v>0</v>
      </c>
      <c r="E83" s="6" t="n"/>
      <c r="F83" s="30" t="n"/>
      <c r="G83" s="6" t="b">
        <v>0</v>
      </c>
      <c r="H83" s="4" t="b">
        <v>0</v>
      </c>
      <c r="I83">
        <f>IFERROR(HYPERLINK("#Main!A"&amp;MATCH(A83,Main!A:A,0),"Open"),HYPERLINK("#Main!A1","Open"))</f>
        <v/>
      </c>
    </row>
    <row r="84" ht="30" customHeight="1">
      <c r="A84" s="33" t="inlineStr">
        <is>
          <t>https://africanmarketingconfederation.org/amc-conference-2022-thank-you/</t>
        </is>
      </c>
      <c r="B84" s="4" t="n">
        <v>200</v>
      </c>
      <c r="C84" s="27" t="inlineStr">
        <is>
          <t>https://africanmarketingconfederation.org/amc-conference-2022-thank-you/</t>
        </is>
      </c>
      <c r="D84" s="24" t="n">
        <v>0</v>
      </c>
      <c r="E84" s="24" t="n"/>
      <c r="F84" s="27" t="n"/>
      <c r="G84" s="24" t="b">
        <v>0</v>
      </c>
      <c r="H84" s="4" t="b">
        <v>0</v>
      </c>
      <c r="I84">
        <f>IFERROR(HYPERLINK("#Main!A"&amp;MATCH(A84,Main!A:A,0),"Open"),HYPERLINK("#Main!A1","Open"))</f>
        <v/>
      </c>
    </row>
    <row r="85" ht="30" customHeight="1">
      <c r="A85" s="33" t="inlineStr">
        <is>
          <t>https://africanmarketingconfederation.org/privacy-policy/</t>
        </is>
      </c>
      <c r="B85" s="4" t="n">
        <v>200</v>
      </c>
      <c r="C85" s="30" t="inlineStr">
        <is>
          <t>https://africanmarketingconfederation.org/privacy-policy/</t>
        </is>
      </c>
      <c r="D85" s="6" t="n">
        <v>0</v>
      </c>
      <c r="E85" s="6" t="n"/>
      <c r="F85" s="30" t="n"/>
      <c r="G85" s="6" t="b">
        <v>0</v>
      </c>
      <c r="H85" s="4" t="b">
        <v>0</v>
      </c>
      <c r="I85">
        <f>IFERROR(HYPERLINK("#Main!A"&amp;MATCH(A85,Main!A:A,0),"Open"),HYPERLINK("#Main!A1","Open"))</f>
        <v/>
      </c>
    </row>
    <row r="86" ht="30" customHeight="1">
      <c r="A86" s="33" t="inlineStr">
        <is>
          <t>https://africanmarketingconfederation.org/speakers/</t>
        </is>
      </c>
      <c r="B86" s="4" t="n">
        <v>200</v>
      </c>
      <c r="C86" s="27" t="inlineStr">
        <is>
          <t>https://africanmarketingconfederation.org/speakers/</t>
        </is>
      </c>
      <c r="D86" s="24" t="n">
        <v>0</v>
      </c>
      <c r="E86" s="24" t="n"/>
      <c r="F86" s="27" t="n"/>
      <c r="G86" s="24" t="b">
        <v>0</v>
      </c>
      <c r="H86" s="4" t="b">
        <v>0</v>
      </c>
      <c r="I86">
        <f>IFERROR(HYPERLINK("#Main!A"&amp;MATCH(A86,Main!A:A,0),"Open"),HYPERLINK("#Main!A1","Open"))</f>
        <v/>
      </c>
    </row>
  </sheetData>
  <autoFilter ref="A1:H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24" customWidth="1" min="10" max="10"/>
  </cols>
  <sheetData>
    <row r="1">
      <c r="A1" s="3" t="inlineStr">
        <is>
          <t>URL</t>
        </is>
      </c>
      <c r="B1" s="3" t="inlineStr">
        <is>
          <t>Internal Links Count</t>
        </is>
      </c>
      <c r="C1" s="3" t="inlineStr">
        <is>
          <t>Unique Internal Links Count</t>
        </is>
      </c>
      <c r="D1" s="3" t="inlineStr">
        <is>
          <t>Broken Internal Links Count</t>
        </is>
      </c>
      <c r="E1" s="3" t="inlineStr">
        <is>
          <t>Unresolved Internal Links Count</t>
        </is>
      </c>
      <c r="F1" s="3" t="inlineStr">
        <is>
          <t>Generic Anchor Text Count</t>
        </is>
      </c>
      <c r="G1" s="3" t="inlineStr">
        <is>
          <t>External Links Count</t>
        </is>
      </c>
      <c r="H1" s="3" t="inlineStr">
        <is>
          <t>Nofollow Internal Links Count</t>
        </is>
      </c>
      <c r="I1" s="3" t="inlineStr">
        <is>
          <t>Nofollow External Links Count</t>
        </is>
      </c>
      <c r="J1" s="3" t="inlineStr">
        <is>
          <t>Internal Link Statuses</t>
        </is>
      </c>
      <c r="K1" t="inlineStr">
        <is>
          <t>Open in Main</t>
        </is>
      </c>
      <c r="L1" s="23" t="inlineStr">
        <is>
          <t>BACK TO DASHBOARD</t>
        </is>
      </c>
    </row>
    <row r="2">
      <c r="A2" s="33" t="inlineStr">
        <is>
          <t>https://africanmarketingconfederation.org/</t>
        </is>
      </c>
      <c r="B2" s="24" t="n">
        <v>0</v>
      </c>
      <c r="C2" s="24" t="n">
        <v>0</v>
      </c>
      <c r="D2" s="4" t="n">
        <v>0</v>
      </c>
      <c r="E2" s="24" t="n">
        <v>0</v>
      </c>
      <c r="F2" s="4" t="n">
        <v>0</v>
      </c>
      <c r="G2" s="24" t="n">
        <v>0</v>
      </c>
      <c r="H2" s="24" t="n">
        <v>0</v>
      </c>
      <c r="I2" s="24" t="n">
        <v>0</v>
      </c>
      <c r="J2" s="24" t="n"/>
      <c r="K2">
        <f>IFERROR(HYPERLINK("#Main!A"&amp;MATCH(A2,Main!A:A,0),"Open"),HYPERLINK("#Main!A1","Open"))</f>
        <v/>
      </c>
    </row>
    <row r="3" ht="30" customHeight="1">
      <c r="A3" s="33" t="inlineStr">
        <is>
          <t>https://africanmarketingconfederation.org/publication-download-list/</t>
        </is>
      </c>
      <c r="B3" s="6" t="n">
        <v>0</v>
      </c>
      <c r="C3" s="6" t="n">
        <v>0</v>
      </c>
      <c r="D3" s="4" t="n">
        <v>0</v>
      </c>
      <c r="E3" s="6" t="n">
        <v>0</v>
      </c>
      <c r="F3" s="4" t="n">
        <v>0</v>
      </c>
      <c r="G3" s="6" t="n">
        <v>0</v>
      </c>
      <c r="H3" s="6" t="n">
        <v>0</v>
      </c>
      <c r="I3" s="6" t="n">
        <v>0</v>
      </c>
      <c r="J3" s="6" t="n"/>
      <c r="K3">
        <f>IFERROR(HYPERLINK("#Main!A"&amp;MATCH(A3,Main!A:A,0),"Open"),HYPERLINK("#Main!A1","Open"))</f>
        <v/>
      </c>
    </row>
    <row r="4" ht="30" customHeight="1">
      <c r="A4" s="33" t="inlineStr">
        <is>
          <t>https://africanmarketingconfederation.org/launch-event-2026-amc-conference/</t>
        </is>
      </c>
      <c r="B4" s="24" t="n">
        <v>0</v>
      </c>
      <c r="C4" s="24" t="n">
        <v>0</v>
      </c>
      <c r="D4" s="4" t="n">
        <v>0</v>
      </c>
      <c r="E4" s="24" t="n">
        <v>0</v>
      </c>
      <c r="F4" s="4" t="n">
        <v>0</v>
      </c>
      <c r="G4" s="24" t="n">
        <v>0</v>
      </c>
      <c r="H4" s="24" t="n">
        <v>0</v>
      </c>
      <c r="I4" s="24" t="n">
        <v>0</v>
      </c>
      <c r="J4" s="24" t="n"/>
      <c r="K4">
        <f>IFERROR(HYPERLINK("#Main!A"&amp;MATCH(A4,Main!A:A,0),"Open"),HYPERLINK("#Main!A1","Open"))</f>
        <v/>
      </c>
    </row>
    <row r="5" ht="30" customHeight="1">
      <c r="A5" s="33" t="inlineStr">
        <is>
          <t>https://africanmarketingconfederation.org/publications-2/</t>
        </is>
      </c>
      <c r="B5" s="6" t="n">
        <v>0</v>
      </c>
      <c r="C5" s="6" t="n">
        <v>0</v>
      </c>
      <c r="D5" s="4" t="n">
        <v>0</v>
      </c>
      <c r="E5" s="6" t="n">
        <v>0</v>
      </c>
      <c r="F5" s="4" t="n">
        <v>0</v>
      </c>
      <c r="G5" s="6" t="n">
        <v>0</v>
      </c>
      <c r="H5" s="6" t="n">
        <v>0</v>
      </c>
      <c r="I5" s="6" t="n">
        <v>0</v>
      </c>
      <c r="J5" s="6" t="n"/>
      <c r="K5">
        <f>IFERROR(HYPERLINK("#Main!A"&amp;MATCH(A5,Main!A:A,0),"Open"),HYPERLINK("#Main!A1","Open"))</f>
        <v/>
      </c>
    </row>
    <row r="6" ht="30" customHeight="1">
      <c r="A6" s="33" t="inlineStr">
        <is>
          <t>https://africanmarketingconfederation.org/certified-professional-marketer-africa/</t>
        </is>
      </c>
      <c r="B6" s="24" t="n">
        <v>0</v>
      </c>
      <c r="C6" s="24" t="n">
        <v>0</v>
      </c>
      <c r="D6" s="4" t="n">
        <v>0</v>
      </c>
      <c r="E6" s="24" t="n">
        <v>0</v>
      </c>
      <c r="F6" s="4" t="n">
        <v>0</v>
      </c>
      <c r="G6" s="24" t="n">
        <v>0</v>
      </c>
      <c r="H6" s="24" t="n">
        <v>0</v>
      </c>
      <c r="I6" s="24" t="n">
        <v>0</v>
      </c>
      <c r="J6" s="24" t="n"/>
      <c r="K6">
        <f>IFERROR(HYPERLINK("#Main!A"&amp;MATCH(A6,Main!A:A,0),"Open"),HYPERLINK("#Main!A1","Open"))</f>
        <v/>
      </c>
    </row>
    <row r="7" ht="30" customHeight="1">
      <c r="A7" s="33" t="inlineStr">
        <is>
          <t>https://africanmarketingconfederation.org/chartered-marketer-africa/</t>
        </is>
      </c>
      <c r="B7" s="6" t="n">
        <v>0</v>
      </c>
      <c r="C7" s="6" t="n">
        <v>0</v>
      </c>
      <c r="D7" s="4" t="n">
        <v>0</v>
      </c>
      <c r="E7" s="6" t="n">
        <v>0</v>
      </c>
      <c r="F7" s="4" t="n">
        <v>0</v>
      </c>
      <c r="G7" s="6" t="n">
        <v>0</v>
      </c>
      <c r="H7" s="6" t="n">
        <v>0</v>
      </c>
      <c r="I7" s="6" t="n">
        <v>0</v>
      </c>
      <c r="J7" s="6" t="n"/>
      <c r="K7">
        <f>IFERROR(HYPERLINK("#Main!A"&amp;MATCH(A7,Main!A:A,0),"Open"),HYPERLINK("#Main!A1","Open"))</f>
        <v/>
      </c>
    </row>
    <row r="8" ht="30" customHeight="1">
      <c r="A8" s="33" t="inlineStr">
        <is>
          <t>https://africanmarketingconfederation.org/amc-conference-2026/</t>
        </is>
      </c>
      <c r="B8" s="24" t="n">
        <v>0</v>
      </c>
      <c r="C8" s="24" t="n">
        <v>0</v>
      </c>
      <c r="D8" s="4" t="n">
        <v>0</v>
      </c>
      <c r="E8" s="24" t="n">
        <v>0</v>
      </c>
      <c r="F8" s="4" t="n">
        <v>0</v>
      </c>
      <c r="G8" s="24" t="n">
        <v>0</v>
      </c>
      <c r="H8" s="24" t="n">
        <v>0</v>
      </c>
      <c r="I8" s="24" t="n">
        <v>0</v>
      </c>
      <c r="J8" s="24" t="n"/>
      <c r="K8">
        <f>IFERROR(HYPERLINK("#Main!A"&amp;MATCH(A8,Main!A:A,0),"Open"),HYPERLINK("#Main!A1","Open"))</f>
        <v/>
      </c>
    </row>
    <row r="9" ht="30" customHeight="1">
      <c r="A9" s="33" t="inlineStr">
        <is>
          <t>https://africanmarketingconfederation.org/education/</t>
        </is>
      </c>
      <c r="B9" s="6" t="n">
        <v>0</v>
      </c>
      <c r="C9" s="6" t="n">
        <v>0</v>
      </c>
      <c r="D9" s="4" t="n">
        <v>0</v>
      </c>
      <c r="E9" s="6" t="n">
        <v>0</v>
      </c>
      <c r="F9" s="4" t="n">
        <v>0</v>
      </c>
      <c r="G9" s="6" t="n">
        <v>0</v>
      </c>
      <c r="H9" s="6" t="n">
        <v>0</v>
      </c>
      <c r="I9" s="6" t="n">
        <v>0</v>
      </c>
      <c r="J9" s="6" t="n"/>
      <c r="K9">
        <f>IFERROR(HYPERLINK("#Main!A"&amp;MATCH(A9,Main!A:A,0),"Open"),HYPERLINK("#Main!A1","Open"))</f>
        <v/>
      </c>
    </row>
    <row r="10" ht="30" customHeight="1">
      <c r="A10" s="33" t="inlineStr">
        <is>
          <t>https://africanmarketingconfederation.org/awards-2026/</t>
        </is>
      </c>
      <c r="B10" s="24" t="n">
        <v>0</v>
      </c>
      <c r="C10" s="24" t="n">
        <v>0</v>
      </c>
      <c r="D10" s="4" t="n">
        <v>0</v>
      </c>
      <c r="E10" s="24" t="n">
        <v>0</v>
      </c>
      <c r="F10" s="4" t="n">
        <v>0</v>
      </c>
      <c r="G10" s="24" t="n">
        <v>0</v>
      </c>
      <c r="H10" s="24" t="n">
        <v>0</v>
      </c>
      <c r="I10" s="24" t="n">
        <v>0</v>
      </c>
      <c r="J10" s="24" t="n"/>
      <c r="K10">
        <f>IFERROR(HYPERLINK("#Main!A"&amp;MATCH(A10,Main!A:A,0),"Open"),HYPERLINK("#Main!A1","Open"))</f>
        <v/>
      </c>
    </row>
    <row r="11" ht="30" customHeight="1">
      <c r="A11" s="33" t="inlineStr">
        <is>
          <t>https://africanmarketingconfederation.org/contact-us/</t>
        </is>
      </c>
      <c r="B11" s="6" t="n">
        <v>0</v>
      </c>
      <c r="C11" s="6" t="n">
        <v>0</v>
      </c>
      <c r="D11" s="4" t="n">
        <v>0</v>
      </c>
      <c r="E11" s="6" t="n">
        <v>0</v>
      </c>
      <c r="F11" s="4" t="n">
        <v>0</v>
      </c>
      <c r="G11" s="6" t="n">
        <v>0</v>
      </c>
      <c r="H11" s="6" t="n">
        <v>0</v>
      </c>
      <c r="I11" s="6" t="n">
        <v>0</v>
      </c>
      <c r="J11" s="6" t="n"/>
      <c r="K11">
        <f>IFERROR(HYPERLINK("#Main!A"&amp;MATCH(A11,Main!A:A,0),"Open"),HYPERLINK("#Main!A1","Open"))</f>
        <v/>
      </c>
    </row>
    <row r="12" ht="30" customHeight="1">
      <c r="A12" s="33" t="inlineStr">
        <is>
          <t>https://africanmarketingconfederation.org/news-articles/</t>
        </is>
      </c>
      <c r="B12" s="24" t="n">
        <v>0</v>
      </c>
      <c r="C12" s="24" t="n">
        <v>0</v>
      </c>
      <c r="D12" s="4" t="n">
        <v>0</v>
      </c>
      <c r="E12" s="24" t="n">
        <v>0</v>
      </c>
      <c r="F12" s="4" t="n">
        <v>0</v>
      </c>
      <c r="G12" s="24" t="n">
        <v>0</v>
      </c>
      <c r="H12" s="24" t="n">
        <v>0</v>
      </c>
      <c r="I12" s="24" t="n">
        <v>0</v>
      </c>
      <c r="J12" s="24" t="n"/>
      <c r="K12">
        <f>IFERROR(HYPERLINK("#Main!A"&amp;MATCH(A12,Main!A:A,0),"Open"),HYPERLINK("#Main!A1","Open"))</f>
        <v/>
      </c>
    </row>
    <row r="13" ht="30" customHeight="1">
      <c r="A13" s="33" t="inlineStr">
        <is>
          <t>https://africanmarketingconfederation.org/african-marketing-confederation-tourism-chapter/</t>
        </is>
      </c>
      <c r="B13" s="6" t="n">
        <v>0</v>
      </c>
      <c r="C13" s="6" t="n">
        <v>0</v>
      </c>
      <c r="D13" s="4" t="n">
        <v>0</v>
      </c>
      <c r="E13" s="6" t="n">
        <v>0</v>
      </c>
      <c r="F13" s="4" t="n">
        <v>0</v>
      </c>
      <c r="G13" s="6" t="n">
        <v>0</v>
      </c>
      <c r="H13" s="6" t="n">
        <v>0</v>
      </c>
      <c r="I13" s="6" t="n">
        <v>0</v>
      </c>
      <c r="J13" s="6" t="n"/>
      <c r="K13">
        <f>IFERROR(HYPERLINK("#Main!A"&amp;MATCH(A13,Main!A:A,0),"Open"),HYPERLINK("#Main!A1","Open"))</f>
        <v/>
      </c>
    </row>
    <row r="14" ht="30" customHeight="1">
      <c r="A14" s="33" t="inlineStr">
        <is>
          <t>https://africanmarketingconfederation.org/sub-committees/</t>
        </is>
      </c>
      <c r="B14" s="24" t="n">
        <v>0</v>
      </c>
      <c r="C14" s="24" t="n">
        <v>0</v>
      </c>
      <c r="D14" s="4" t="n">
        <v>0</v>
      </c>
      <c r="E14" s="24" t="n">
        <v>0</v>
      </c>
      <c r="F14" s="4" t="n">
        <v>0</v>
      </c>
      <c r="G14" s="24" t="n">
        <v>0</v>
      </c>
      <c r="H14" s="24" t="n">
        <v>0</v>
      </c>
      <c r="I14" s="24" t="n">
        <v>0</v>
      </c>
      <c r="J14" s="24" t="n"/>
      <c r="K14">
        <f>IFERROR(HYPERLINK("#Main!A"&amp;MATCH(A14,Main!A:A,0),"Open"),HYPERLINK("#Main!A1","Open"))</f>
        <v/>
      </c>
    </row>
    <row r="15" ht="30" customHeight="1">
      <c r="A15" s="33" t="inlineStr">
        <is>
          <t>https://africanmarketingconfederation.org/members/</t>
        </is>
      </c>
      <c r="B15" s="6" t="n">
        <v>0</v>
      </c>
      <c r="C15" s="6" t="n">
        <v>0</v>
      </c>
      <c r="D15" s="4" t="n">
        <v>0</v>
      </c>
      <c r="E15" s="6" t="n">
        <v>0</v>
      </c>
      <c r="F15" s="4" t="n">
        <v>0</v>
      </c>
      <c r="G15" s="6" t="n">
        <v>0</v>
      </c>
      <c r="H15" s="6" t="n">
        <v>0</v>
      </c>
      <c r="I15" s="6" t="n">
        <v>0</v>
      </c>
      <c r="J15" s="6" t="n"/>
      <c r="K15">
        <f>IFERROR(HYPERLINK("#Main!A"&amp;MATCH(A15,Main!A:A,0),"Open"),HYPERLINK("#Main!A1","Open"))</f>
        <v/>
      </c>
    </row>
    <row r="16" ht="30" customHeight="1">
      <c r="A16" s="33" t="inlineStr">
        <is>
          <t>https://africanmarketingconfederation.org/about-us/</t>
        </is>
      </c>
      <c r="B16" s="24" t="n">
        <v>0</v>
      </c>
      <c r="C16" s="24" t="n">
        <v>0</v>
      </c>
      <c r="D16" s="4" t="n">
        <v>0</v>
      </c>
      <c r="E16" s="24" t="n">
        <v>0</v>
      </c>
      <c r="F16" s="4" t="n">
        <v>0</v>
      </c>
      <c r="G16" s="24" t="n">
        <v>0</v>
      </c>
      <c r="H16" s="24" t="n">
        <v>0</v>
      </c>
      <c r="I16" s="24" t="n">
        <v>0</v>
      </c>
      <c r="J16" s="24" t="n"/>
      <c r="K16">
        <f>IFERROR(HYPERLINK("#Main!A"&amp;MATCH(A16,Main!A:A,0),"Open"),HYPERLINK("#Main!A1","Open"))</f>
        <v/>
      </c>
    </row>
    <row r="17" ht="30" customHeight="1">
      <c r="A17" s="33" t="inlineStr">
        <is>
          <t>https://africanmarketingconfederation.org/awards-2026-1/</t>
        </is>
      </c>
      <c r="B17" s="6" t="n">
        <v>0</v>
      </c>
      <c r="C17" s="6" t="n">
        <v>0</v>
      </c>
      <c r="D17" s="4" t="n">
        <v>0</v>
      </c>
      <c r="E17" s="6" t="n">
        <v>0</v>
      </c>
      <c r="F17" s="4" t="n">
        <v>0</v>
      </c>
      <c r="G17" s="6" t="n">
        <v>0</v>
      </c>
      <c r="H17" s="6" t="n">
        <v>0</v>
      </c>
      <c r="I17" s="6" t="n">
        <v>0</v>
      </c>
      <c r="J17" s="6" t="n"/>
      <c r="K17">
        <f>IFERROR(HYPERLINK("#Main!A"&amp;MATCH(A17,Main!A:A,0),"Open"),HYPERLINK("#Main!A1","Open"))</f>
        <v/>
      </c>
    </row>
    <row r="18" ht="30" customHeight="1">
      <c r="A18" s="33" t="inlineStr">
        <is>
          <t>https://africanmarketingconfederation.org/awards-2026-test/</t>
        </is>
      </c>
      <c r="B18" s="24" t="n">
        <v>0</v>
      </c>
      <c r="C18" s="24" t="n">
        <v>0</v>
      </c>
      <c r="D18" s="4" t="n">
        <v>0</v>
      </c>
      <c r="E18" s="24" t="n">
        <v>0</v>
      </c>
      <c r="F18" s="4" t="n">
        <v>0</v>
      </c>
      <c r="G18" s="24" t="n">
        <v>0</v>
      </c>
      <c r="H18" s="24" t="n">
        <v>0</v>
      </c>
      <c r="I18" s="24" t="n">
        <v>0</v>
      </c>
      <c r="J18" s="24" t="n"/>
      <c r="K18">
        <f>IFERROR(HYPERLINK("#Main!A"&amp;MATCH(A18,Main!A:A,0),"Open"),HYPERLINK("#Main!A1","Open"))</f>
        <v/>
      </c>
    </row>
    <row r="19" ht="30" customHeight="1">
      <c r="A19" s="33" t="inlineStr">
        <is>
          <t>https://africanmarketingconfederation.org/amc-conference-2026-awards-nominations-thank-you/</t>
        </is>
      </c>
      <c r="B19" s="6" t="n">
        <v>0</v>
      </c>
      <c r="C19" s="6" t="n">
        <v>0</v>
      </c>
      <c r="D19" s="4" t="n">
        <v>0</v>
      </c>
      <c r="E19" s="6" t="n">
        <v>0</v>
      </c>
      <c r="F19" s="4" t="n">
        <v>0</v>
      </c>
      <c r="G19" s="6" t="n">
        <v>0</v>
      </c>
      <c r="H19" s="6" t="n">
        <v>0</v>
      </c>
      <c r="I19" s="6" t="n">
        <v>0</v>
      </c>
      <c r="J19" s="6" t="n"/>
      <c r="K19">
        <f>IFERROR(HYPERLINK("#Main!A"&amp;MATCH(A19,Main!A:A,0),"Open"),HYPERLINK("#Main!A1","Open"))</f>
        <v/>
      </c>
    </row>
    <row r="20" ht="30" customHeight="1">
      <c r="A20" s="33" t="inlineStr">
        <is>
          <t>https://africanmarketingconfederation.org/speakers-2025/</t>
        </is>
      </c>
      <c r="B20" s="24" t="n">
        <v>0</v>
      </c>
      <c r="C20" s="24" t="n">
        <v>0</v>
      </c>
      <c r="D20" s="4" t="n">
        <v>0</v>
      </c>
      <c r="E20" s="24" t="n">
        <v>0</v>
      </c>
      <c r="F20" s="4" t="n">
        <v>0</v>
      </c>
      <c r="G20" s="24" t="n">
        <v>0</v>
      </c>
      <c r="H20" s="24" t="n">
        <v>0</v>
      </c>
      <c r="I20" s="24" t="n">
        <v>0</v>
      </c>
      <c r="J20" s="24" t="n"/>
      <c r="K20">
        <f>IFERROR(HYPERLINK("#Main!A"&amp;MATCH(A20,Main!A:A,0),"Open"),HYPERLINK("#Main!A1","Open"))</f>
        <v/>
      </c>
    </row>
    <row r="21" ht="30" customHeight="1">
      <c r="A21" s="33" t="inlineStr">
        <is>
          <t>https://africanmarketingconfederation.org/amc-conference-2026-zambia-thank-you/</t>
        </is>
      </c>
      <c r="B21" s="6" t="n">
        <v>0</v>
      </c>
      <c r="C21" s="6" t="n">
        <v>0</v>
      </c>
      <c r="D21" s="4" t="n">
        <v>0</v>
      </c>
      <c r="E21" s="6" t="n">
        <v>0</v>
      </c>
      <c r="F21" s="4" t="n">
        <v>0</v>
      </c>
      <c r="G21" s="6" t="n">
        <v>0</v>
      </c>
      <c r="H21" s="6" t="n">
        <v>0</v>
      </c>
      <c r="I21" s="6" t="n">
        <v>0</v>
      </c>
      <c r="J21" s="6" t="n"/>
      <c r="K21">
        <f>IFERROR(HYPERLINK("#Main!A"&amp;MATCH(A21,Main!A:A,0),"Open"),HYPERLINK("#Main!A1","Open"))</f>
        <v/>
      </c>
    </row>
    <row r="22" ht="30" customHeight="1">
      <c r="A22" s="33" t="inlineStr">
        <is>
          <t>https://africanmarketingconfederation.org/amc-launch-event-zambia-thank-you-2026/</t>
        </is>
      </c>
      <c r="B22" s="24" t="n">
        <v>0</v>
      </c>
      <c r="C22" s="24" t="n">
        <v>0</v>
      </c>
      <c r="D22" s="4" t="n">
        <v>0</v>
      </c>
      <c r="E22" s="24" t="n">
        <v>0</v>
      </c>
      <c r="F22" s="4" t="n">
        <v>0</v>
      </c>
      <c r="G22" s="24" t="n">
        <v>0</v>
      </c>
      <c r="H22" s="24" t="n">
        <v>0</v>
      </c>
      <c r="I22" s="24" t="n">
        <v>0</v>
      </c>
      <c r="J22" s="24" t="n"/>
      <c r="K22">
        <f>IFERROR(HYPERLINK("#Main!A"&amp;MATCH(A22,Main!A:A,0),"Open"),HYPERLINK("#Main!A1","Open"))</f>
        <v/>
      </c>
    </row>
    <row r="23" ht="30" customHeight="1">
      <c r="A23" s="33" t="inlineStr">
        <is>
          <t>https://africanmarketingconfederation.org/amc-marketing-conference-2024/awards-2025/</t>
        </is>
      </c>
      <c r="B23" s="6" t="n">
        <v>0</v>
      </c>
      <c r="C23" s="6" t="n">
        <v>0</v>
      </c>
      <c r="D23" s="4" t="n">
        <v>0</v>
      </c>
      <c r="E23" s="6" t="n">
        <v>0</v>
      </c>
      <c r="F23" s="4" t="n">
        <v>0</v>
      </c>
      <c r="G23" s="6" t="n">
        <v>0</v>
      </c>
      <c r="H23" s="6" t="n">
        <v>0</v>
      </c>
      <c r="I23" s="6" t="n">
        <v>0</v>
      </c>
      <c r="J23" s="6" t="n"/>
      <c r="K23">
        <f>IFERROR(HYPERLINK("#Main!A"&amp;MATCH(A23,Main!A:A,0),"Open"),HYPERLINK("#Main!A1","Open"))</f>
        <v/>
      </c>
    </row>
    <row r="24" ht="30" customHeight="1">
      <c r="A24" s="33" t="inlineStr">
        <is>
          <t>https://africanmarketingconfederation.org/amc-conference-2025-highlights/</t>
        </is>
      </c>
      <c r="B24" s="24" t="n">
        <v>0</v>
      </c>
      <c r="C24" s="24" t="n">
        <v>0</v>
      </c>
      <c r="D24" s="4" t="n">
        <v>0</v>
      </c>
      <c r="E24" s="24" t="n">
        <v>0</v>
      </c>
      <c r="F24" s="4" t="n">
        <v>0</v>
      </c>
      <c r="G24" s="24" t="n">
        <v>0</v>
      </c>
      <c r="H24" s="24" t="n">
        <v>0</v>
      </c>
      <c r="I24" s="24" t="n">
        <v>0</v>
      </c>
      <c r="J24" s="24" t="n"/>
      <c r="K24">
        <f>IFERROR(HYPERLINK("#Main!A"&amp;MATCH(A24,Main!A:A,0),"Open"),HYPERLINK("#Main!A1","Open"))</f>
        <v/>
      </c>
    </row>
    <row r="25" ht="30" customHeight="1">
      <c r="A25" s="33" t="inlineStr">
        <is>
          <t>https://africanmarketingconfederation.org/amc-conference-2022/</t>
        </is>
      </c>
      <c r="B25" s="6" t="n">
        <v>0</v>
      </c>
      <c r="C25" s="6" t="n">
        <v>0</v>
      </c>
      <c r="D25" s="4" t="n">
        <v>0</v>
      </c>
      <c r="E25" s="6" t="n">
        <v>0</v>
      </c>
      <c r="F25" s="4" t="n">
        <v>0</v>
      </c>
      <c r="G25" s="6" t="n">
        <v>0</v>
      </c>
      <c r="H25" s="6" t="n">
        <v>0</v>
      </c>
      <c r="I25" s="6" t="n">
        <v>0</v>
      </c>
      <c r="J25" s="6" t="n"/>
      <c r="K25">
        <f>IFERROR(HYPERLINK("#Main!A"&amp;MATCH(A25,Main!A:A,0),"Open"),HYPERLINK("#Main!A1","Open"))</f>
        <v/>
      </c>
    </row>
    <row r="26" ht="30" customHeight="1">
      <c r="A26" s="33" t="inlineStr">
        <is>
          <t>https://africanmarketingconfederation.org/amc-conference-2023/gallery/</t>
        </is>
      </c>
      <c r="B26" s="24" t="n">
        <v>0</v>
      </c>
      <c r="C26" s="24" t="n">
        <v>0</v>
      </c>
      <c r="D26" s="4" t="n">
        <v>0</v>
      </c>
      <c r="E26" s="24" t="n">
        <v>0</v>
      </c>
      <c r="F26" s="4" t="n">
        <v>0</v>
      </c>
      <c r="G26" s="24" t="n">
        <v>0</v>
      </c>
      <c r="H26" s="24" t="n">
        <v>0</v>
      </c>
      <c r="I26" s="24" t="n">
        <v>0</v>
      </c>
      <c r="J26" s="24" t="n"/>
      <c r="K26">
        <f>IFERROR(HYPERLINK("#Main!A"&amp;MATCH(A26,Main!A:A,0),"Open"),HYPERLINK("#Main!A1","Open"))</f>
        <v/>
      </c>
    </row>
    <row r="27" ht="30" customHeight="1">
      <c r="A27" s="33" t="inlineStr">
        <is>
          <t>https://africanmarketingconfederation.org/conference-registrations-2024/</t>
        </is>
      </c>
      <c r="B27" s="6" t="n">
        <v>0</v>
      </c>
      <c r="C27" s="6" t="n">
        <v>0</v>
      </c>
      <c r="D27" s="4" t="n">
        <v>0</v>
      </c>
      <c r="E27" s="6" t="n">
        <v>0</v>
      </c>
      <c r="F27" s="4" t="n">
        <v>0</v>
      </c>
      <c r="G27" s="6" t="n">
        <v>0</v>
      </c>
      <c r="H27" s="6" t="n">
        <v>0</v>
      </c>
      <c r="I27" s="6" t="n">
        <v>0</v>
      </c>
      <c r="J27" s="6" t="n"/>
      <c r="K27">
        <f>IFERROR(HYPERLINK("#Main!A"&amp;MATCH(A27,Main!A:A,0),"Open"),HYPERLINK("#Main!A1","Open"))</f>
        <v/>
      </c>
    </row>
    <row r="28" ht="30" customHeight="1">
      <c r="A28" s="33" t="inlineStr">
        <is>
          <t>https://africanmarketingconfederation.org/elementor-31820/</t>
        </is>
      </c>
      <c r="B28" s="24" t="n">
        <v>0</v>
      </c>
      <c r="C28" s="24" t="n">
        <v>0</v>
      </c>
      <c r="D28" s="4" t="n">
        <v>0</v>
      </c>
      <c r="E28" s="24" t="n">
        <v>0</v>
      </c>
      <c r="F28" s="4" t="n">
        <v>0</v>
      </c>
      <c r="G28" s="24" t="n">
        <v>0</v>
      </c>
      <c r="H28" s="24" t="n">
        <v>0</v>
      </c>
      <c r="I28" s="24" t="n">
        <v>0</v>
      </c>
      <c r="J28" s="24" t="n"/>
      <c r="K28">
        <f>IFERROR(HYPERLINK("#Main!A"&amp;MATCH(A28,Main!A:A,0),"Open"),HYPERLINK("#Main!A1","Open"))</f>
        <v/>
      </c>
    </row>
    <row r="29" ht="30" customHeight="1">
      <c r="A29" s="33" t="inlineStr">
        <is>
          <t>https://africanmarketingconfederation.org/amc-conference-2024-recap/</t>
        </is>
      </c>
      <c r="B29" s="6" t="n">
        <v>0</v>
      </c>
      <c r="C29" s="6" t="n">
        <v>0</v>
      </c>
      <c r="D29" s="4" t="n">
        <v>0</v>
      </c>
      <c r="E29" s="6" t="n">
        <v>0</v>
      </c>
      <c r="F29" s="4" t="n">
        <v>0</v>
      </c>
      <c r="G29" s="6" t="n">
        <v>0</v>
      </c>
      <c r="H29" s="6" t="n">
        <v>0</v>
      </c>
      <c r="I29" s="6" t="n">
        <v>0</v>
      </c>
      <c r="J29" s="6" t="n"/>
      <c r="K29">
        <f>IFERROR(HYPERLINK("#Main!A"&amp;MATCH(A29,Main!A:A,0),"Open"),HYPERLINK("#Main!A1","Open"))</f>
        <v/>
      </c>
    </row>
    <row r="30" ht="30" customHeight="1">
      <c r="A30" s="33" t="inlineStr">
        <is>
          <t>https://africanmarketingconfederation.org/amc-marketing-conference-2024/amc-programme-2025/</t>
        </is>
      </c>
      <c r="B30" s="24" t="n">
        <v>0</v>
      </c>
      <c r="C30" s="24" t="n">
        <v>0</v>
      </c>
      <c r="D30" s="4" t="n">
        <v>0</v>
      </c>
      <c r="E30" s="24" t="n">
        <v>0</v>
      </c>
      <c r="F30" s="4" t="n">
        <v>0</v>
      </c>
      <c r="G30" s="24" t="n">
        <v>0</v>
      </c>
      <c r="H30" s="24" t="n">
        <v>0</v>
      </c>
      <c r="I30" s="24" t="n">
        <v>0</v>
      </c>
      <c r="J30" s="24" t="n"/>
      <c r="K30">
        <f>IFERROR(HYPERLINK("#Main!A"&amp;MATCH(A30,Main!A:A,0),"Open"),HYPERLINK("#Main!A1","Open"))</f>
        <v/>
      </c>
    </row>
    <row r="31" ht="30" customHeight="1">
      <c r="A31" s="33" t="inlineStr">
        <is>
          <t>https://africanmarketingconfederation.org/amc-conference-2025/</t>
        </is>
      </c>
      <c r="B31" s="6" t="n">
        <v>0</v>
      </c>
      <c r="C31" s="6" t="n">
        <v>0</v>
      </c>
      <c r="D31" s="4" t="n">
        <v>0</v>
      </c>
      <c r="E31" s="6" t="n">
        <v>0</v>
      </c>
      <c r="F31" s="4" t="n">
        <v>0</v>
      </c>
      <c r="G31" s="6" t="n">
        <v>0</v>
      </c>
      <c r="H31" s="6" t="n">
        <v>0</v>
      </c>
      <c r="I31" s="6" t="n">
        <v>0</v>
      </c>
      <c r="J31" s="6" t="n"/>
      <c r="K31">
        <f>IFERROR(HYPERLINK("#Main!A"&amp;MATCH(A31,Main!A:A,0),"Open"),HYPERLINK("#Main!A1","Open"))</f>
        <v/>
      </c>
    </row>
    <row r="32" ht="30" customHeight="1">
      <c r="A32" s="33" t="inlineStr">
        <is>
          <t>https://africanmarketingconfederation.org/amc-sponsors-2025/</t>
        </is>
      </c>
      <c r="B32" s="24" t="n">
        <v>0</v>
      </c>
      <c r="C32" s="24" t="n">
        <v>0</v>
      </c>
      <c r="D32" s="4" t="n">
        <v>0</v>
      </c>
      <c r="E32" s="24" t="n">
        <v>0</v>
      </c>
      <c r="F32" s="4" t="n">
        <v>0</v>
      </c>
      <c r="G32" s="24" t="n">
        <v>0</v>
      </c>
      <c r="H32" s="24" t="n">
        <v>0</v>
      </c>
      <c r="I32" s="24" t="n">
        <v>0</v>
      </c>
      <c r="J32" s="24" t="n"/>
      <c r="K32">
        <f>IFERROR(HYPERLINK("#Main!A"&amp;MATCH(A32,Main!A:A,0),"Open"),HYPERLINK("#Main!A1","Open"))</f>
        <v/>
      </c>
    </row>
    <row r="33" ht="30" customHeight="1">
      <c r="A33" s="33" t="inlineStr">
        <is>
          <t>https://africanmarketingconfederation.org/amc-conference-2022-prospectus/</t>
        </is>
      </c>
      <c r="B33" s="6" t="n">
        <v>0</v>
      </c>
      <c r="C33" s="6" t="n">
        <v>0</v>
      </c>
      <c r="D33" s="4" t="n">
        <v>0</v>
      </c>
      <c r="E33" s="6" t="n">
        <v>0</v>
      </c>
      <c r="F33" s="4" t="n">
        <v>0</v>
      </c>
      <c r="G33" s="6" t="n">
        <v>0</v>
      </c>
      <c r="H33" s="6" t="n">
        <v>0</v>
      </c>
      <c r="I33" s="6" t="n">
        <v>0</v>
      </c>
      <c r="J33" s="6" t="n"/>
      <c r="K33">
        <f>IFERROR(HYPERLINK("#Main!A"&amp;MATCH(A33,Main!A:A,0),"Open"),HYPERLINK("#Main!A1","Open"))</f>
        <v/>
      </c>
    </row>
    <row r="34" ht="30" customHeight="1">
      <c r="A34" s="33" t="inlineStr">
        <is>
          <t>https://africanmarketingconfederation.org/test-payment-gate/</t>
        </is>
      </c>
      <c r="B34" s="24" t="n">
        <v>0</v>
      </c>
      <c r="C34" s="24" t="n">
        <v>0</v>
      </c>
      <c r="D34" s="4" t="n">
        <v>0</v>
      </c>
      <c r="E34" s="24" t="n">
        <v>0</v>
      </c>
      <c r="F34" s="4" t="n">
        <v>0</v>
      </c>
      <c r="G34" s="24" t="n">
        <v>0</v>
      </c>
      <c r="H34" s="24" t="n">
        <v>0</v>
      </c>
      <c r="I34" s="24" t="n">
        <v>0</v>
      </c>
      <c r="J34" s="24" t="n"/>
      <c r="K34">
        <f>IFERROR(HYPERLINK("#Main!A"&amp;MATCH(A34,Main!A:A,0),"Open"),HYPERLINK("#Main!A1","Open"))</f>
        <v/>
      </c>
    </row>
    <row r="35" ht="30" customHeight="1">
      <c r="A35" s="33" t="inlineStr">
        <is>
          <t>https://africanmarketingconfederation.org/amc-marketing-conference-2024/amc-preregister-2025/</t>
        </is>
      </c>
      <c r="B35" s="6" t="n">
        <v>0</v>
      </c>
      <c r="C35" s="6" t="n">
        <v>0</v>
      </c>
      <c r="D35" s="4" t="n">
        <v>0</v>
      </c>
      <c r="E35" s="6" t="n">
        <v>0</v>
      </c>
      <c r="F35" s="4" t="n">
        <v>0</v>
      </c>
      <c r="G35" s="6" t="n">
        <v>0</v>
      </c>
      <c r="H35" s="6" t="n">
        <v>0</v>
      </c>
      <c r="I35" s="6" t="n">
        <v>0</v>
      </c>
      <c r="J35" s="6" t="n"/>
      <c r="K35">
        <f>IFERROR(HYPERLINK("#Main!A"&amp;MATCH(A35,Main!A:A,0),"Open"),HYPERLINK("#Main!A1","Open"))</f>
        <v/>
      </c>
    </row>
    <row r="36" ht="30" customHeight="1">
      <c r="A36" s="33" t="inlineStr">
        <is>
          <t>https://africanmarketingconfederation.org/conference-faq-2025/</t>
        </is>
      </c>
      <c r="B36" s="24" t="n">
        <v>0</v>
      </c>
      <c r="C36" s="24" t="n">
        <v>0</v>
      </c>
      <c r="D36" s="4" t="n">
        <v>0</v>
      </c>
      <c r="E36" s="24" t="n">
        <v>0</v>
      </c>
      <c r="F36" s="4" t="n">
        <v>0</v>
      </c>
      <c r="G36" s="24" t="n">
        <v>0</v>
      </c>
      <c r="H36" s="24" t="n">
        <v>0</v>
      </c>
      <c r="I36" s="24" t="n">
        <v>0</v>
      </c>
      <c r="J36" s="24" t="n"/>
      <c r="K36">
        <f>IFERROR(HYPERLINK("#Main!A"&amp;MATCH(A36,Main!A:A,0),"Open"),HYPERLINK("#Main!A1","Open"))</f>
        <v/>
      </c>
    </row>
    <row r="37" ht="45" customHeight="1">
      <c r="A37" s="33" t="inlineStr">
        <is>
          <t>https://africanmarketingconfederation.org/amc-marketing-conference-2024/amc-conference-2025-ghana-sponsors/</t>
        </is>
      </c>
      <c r="B37" s="6" t="n">
        <v>0</v>
      </c>
      <c r="C37" s="6" t="n">
        <v>0</v>
      </c>
      <c r="D37" s="4" t="n">
        <v>0</v>
      </c>
      <c r="E37" s="6" t="n">
        <v>0</v>
      </c>
      <c r="F37" s="4" t="n">
        <v>0</v>
      </c>
      <c r="G37" s="6" t="n">
        <v>0</v>
      </c>
      <c r="H37" s="6" t="n">
        <v>0</v>
      </c>
      <c r="I37" s="6" t="n">
        <v>0</v>
      </c>
      <c r="J37" s="6" t="n"/>
      <c r="K37">
        <f>IFERROR(HYPERLINK("#Main!A"&amp;MATCH(A37,Main!A:A,0),"Open"),HYPERLINK("#Main!A1","Open"))</f>
        <v/>
      </c>
    </row>
    <row r="38" ht="30" customHeight="1">
      <c r="A38" s="33" t="inlineStr">
        <is>
          <t>https://africanmarketingconfederation.org/amc-forum-payments/</t>
        </is>
      </c>
      <c r="B38" s="24" t="n">
        <v>0</v>
      </c>
      <c r="C38" s="24" t="n">
        <v>0</v>
      </c>
      <c r="D38" s="4" t="n">
        <v>0</v>
      </c>
      <c r="E38" s="24" t="n">
        <v>0</v>
      </c>
      <c r="F38" s="4" t="n">
        <v>0</v>
      </c>
      <c r="G38" s="24" t="n">
        <v>0</v>
      </c>
      <c r="H38" s="24" t="n">
        <v>0</v>
      </c>
      <c r="I38" s="24" t="n">
        <v>0</v>
      </c>
      <c r="J38" s="24" t="n"/>
      <c r="K38">
        <f>IFERROR(HYPERLINK("#Main!A"&amp;MATCH(A38,Main!A:A,0),"Open"),HYPERLINK("#Main!A1","Open"))</f>
        <v/>
      </c>
    </row>
    <row r="39" ht="30" customHeight="1">
      <c r="A39" s="33" t="inlineStr">
        <is>
          <t>https://africanmarketingconfederation.org/amc-marketing-conference-2024/amc-launch-event-2025/</t>
        </is>
      </c>
      <c r="B39" s="6" t="n">
        <v>0</v>
      </c>
      <c r="C39" s="6" t="n">
        <v>0</v>
      </c>
      <c r="D39" s="4" t="n">
        <v>0</v>
      </c>
      <c r="E39" s="6" t="n">
        <v>0</v>
      </c>
      <c r="F39" s="4" t="n">
        <v>0</v>
      </c>
      <c r="G39" s="6" t="n">
        <v>0</v>
      </c>
      <c r="H39" s="6" t="n">
        <v>0</v>
      </c>
      <c r="I39" s="6" t="n">
        <v>0</v>
      </c>
      <c r="J39" s="6" t="n"/>
      <c r="K39">
        <f>IFERROR(HYPERLINK("#Main!A"&amp;MATCH(A39,Main!A:A,0),"Open"),HYPERLINK("#Main!A1","Open"))</f>
        <v/>
      </c>
    </row>
    <row r="40" ht="30" customHeight="1">
      <c r="A40" s="33" t="inlineStr">
        <is>
          <t>https://africanmarketingconfederation.org/checkout/</t>
        </is>
      </c>
      <c r="B40" s="24" t="n">
        <v>0</v>
      </c>
      <c r="C40" s="24" t="n">
        <v>0</v>
      </c>
      <c r="D40" s="4" t="n">
        <v>0</v>
      </c>
      <c r="E40" s="24" t="n">
        <v>0</v>
      </c>
      <c r="F40" s="4" t="n">
        <v>0</v>
      </c>
      <c r="G40" s="24" t="n">
        <v>0</v>
      </c>
      <c r="H40" s="24" t="n">
        <v>0</v>
      </c>
      <c r="I40" s="24" t="n">
        <v>0</v>
      </c>
      <c r="J40" s="24" t="n"/>
      <c r="K40">
        <f>IFERROR(HYPERLINK("#Main!A"&amp;MATCH(A40,Main!A:A,0),"Open"),HYPERLINK("#Main!A1","Open"))</f>
        <v/>
      </c>
    </row>
    <row r="41" ht="30" customHeight="1">
      <c r="A41" s="33" t="inlineStr">
        <is>
          <t>https://africanmarketingconfederation.org/amc-awards-2024/</t>
        </is>
      </c>
      <c r="B41" s="6" t="n">
        <v>0</v>
      </c>
      <c r="C41" s="6" t="n">
        <v>0</v>
      </c>
      <c r="D41" s="4" t="n">
        <v>0</v>
      </c>
      <c r="E41" s="6" t="n">
        <v>0</v>
      </c>
      <c r="F41" s="4" t="n">
        <v>0</v>
      </c>
      <c r="G41" s="6" t="n">
        <v>0</v>
      </c>
      <c r="H41" s="6" t="n">
        <v>0</v>
      </c>
      <c r="I41" s="6" t="n">
        <v>0</v>
      </c>
      <c r="J41" s="6" t="n"/>
      <c r="K41">
        <f>IFERROR(HYPERLINK("#Main!A"&amp;MATCH(A41,Main!A:A,0),"Open"),HYPERLINK("#Main!A1","Open"))</f>
        <v/>
      </c>
    </row>
    <row r="42" ht="30" customHeight="1">
      <c r="A42" s="33" t="inlineStr">
        <is>
          <t>https://africanmarketingconfederation.org/amc-conference-2023/</t>
        </is>
      </c>
      <c r="B42" s="24" t="n">
        <v>0</v>
      </c>
      <c r="C42" s="24" t="n">
        <v>0</v>
      </c>
      <c r="D42" s="4" t="n">
        <v>0</v>
      </c>
      <c r="E42" s="24" t="n">
        <v>0</v>
      </c>
      <c r="F42" s="4" t="n">
        <v>0</v>
      </c>
      <c r="G42" s="24" t="n">
        <v>0</v>
      </c>
      <c r="H42" s="24" t="n">
        <v>0</v>
      </c>
      <c r="I42" s="24" t="n">
        <v>0</v>
      </c>
      <c r="J42" s="24" t="n"/>
      <c r="K42">
        <f>IFERROR(HYPERLINK("#Main!A"&amp;MATCH(A42,Main!A:A,0),"Open"),HYPERLINK("#Main!A1","Open"))</f>
        <v/>
      </c>
    </row>
    <row r="43" ht="30" customHeight="1">
      <c r="A43" s="33" t="inlineStr">
        <is>
          <t>https://africanmarketingconfederation.org/amc-forum-mombasa/</t>
        </is>
      </c>
      <c r="B43" s="6" t="n">
        <v>0</v>
      </c>
      <c r="C43" s="6" t="n">
        <v>0</v>
      </c>
      <c r="D43" s="4" t="n">
        <v>0</v>
      </c>
      <c r="E43" s="6" t="n">
        <v>0</v>
      </c>
      <c r="F43" s="4" t="n">
        <v>0</v>
      </c>
      <c r="G43" s="6" t="n">
        <v>0</v>
      </c>
      <c r="H43" s="6" t="n">
        <v>0</v>
      </c>
      <c r="I43" s="6" t="n">
        <v>0</v>
      </c>
      <c r="J43" s="6" t="n"/>
      <c r="K43">
        <f>IFERROR(HYPERLINK("#Main!A"&amp;MATCH(A43,Main!A:A,0),"Open"),HYPERLINK("#Main!A1","Open"))</f>
        <v/>
      </c>
    </row>
    <row r="44" ht="45" customHeight="1">
      <c r="A44" s="33" t="inlineStr">
        <is>
          <t>https://africanmarketingconfederation.org/amc-marketing-conference-2024/amc-speakers-presentations-2024/</t>
        </is>
      </c>
      <c r="B44" s="24" t="n">
        <v>0</v>
      </c>
      <c r="C44" s="24" t="n">
        <v>0</v>
      </c>
      <c r="D44" s="4" t="n">
        <v>0</v>
      </c>
      <c r="E44" s="24" t="n">
        <v>0</v>
      </c>
      <c r="F44" s="4" t="n">
        <v>0</v>
      </c>
      <c r="G44" s="24" t="n">
        <v>0</v>
      </c>
      <c r="H44" s="24" t="n">
        <v>0</v>
      </c>
      <c r="I44" s="24" t="n">
        <v>0</v>
      </c>
      <c r="J44" s="24" t="n"/>
      <c r="K44">
        <f>IFERROR(HYPERLINK("#Main!A"&amp;MATCH(A44,Main!A:A,0),"Open"),HYPERLINK("#Main!A1","Open"))</f>
        <v/>
      </c>
    </row>
    <row r="45" ht="30" customHeight="1">
      <c r="A45" s="33" t="inlineStr">
        <is>
          <t>https://africanmarketingconfederation.org/amc-marketing-conference-2024/testimony-thank-you-page/</t>
        </is>
      </c>
      <c r="B45" s="6" t="n">
        <v>0</v>
      </c>
      <c r="C45" s="6" t="n">
        <v>0</v>
      </c>
      <c r="D45" s="4" t="n">
        <v>0</v>
      </c>
      <c r="E45" s="6" t="n">
        <v>0</v>
      </c>
      <c r="F45" s="4" t="n">
        <v>0</v>
      </c>
      <c r="G45" s="6" t="n">
        <v>0</v>
      </c>
      <c r="H45" s="6" t="n">
        <v>0</v>
      </c>
      <c r="I45" s="6" t="n">
        <v>0</v>
      </c>
      <c r="J45" s="6" t="n"/>
      <c r="K45">
        <f>IFERROR(HYPERLINK("#Main!A"&amp;MATCH(A45,Main!A:A,0),"Open"),HYPERLINK("#Main!A1","Open"))</f>
        <v/>
      </c>
    </row>
    <row r="46" ht="30" customHeight="1">
      <c r="A46" s="33" t="inlineStr">
        <is>
          <t>https://africanmarketingconfederation.org/amc-sign-up-now-form-2025/</t>
        </is>
      </c>
      <c r="B46" s="24" t="n">
        <v>0</v>
      </c>
      <c r="C46" s="24" t="n">
        <v>0</v>
      </c>
      <c r="D46" s="4" t="n">
        <v>0</v>
      </c>
      <c r="E46" s="24" t="n">
        <v>0</v>
      </c>
      <c r="F46" s="4" t="n">
        <v>0</v>
      </c>
      <c r="G46" s="24" t="n">
        <v>0</v>
      </c>
      <c r="H46" s="24" t="n">
        <v>0</v>
      </c>
      <c r="I46" s="24" t="n">
        <v>0</v>
      </c>
      <c r="J46" s="24" t="n"/>
      <c r="K46">
        <f>IFERROR(HYPERLINK("#Main!A"&amp;MATCH(A46,Main!A:A,0),"Open"),HYPERLINK("#Main!A1","Open"))</f>
        <v/>
      </c>
    </row>
    <row r="47" ht="30" customHeight="1">
      <c r="A47" s="33" t="inlineStr">
        <is>
          <t>https://africanmarketingconfederation.org/amc-marketing-conference-2024/</t>
        </is>
      </c>
      <c r="B47" s="6" t="n">
        <v>0</v>
      </c>
      <c r="C47" s="6" t="n">
        <v>0</v>
      </c>
      <c r="D47" s="4" t="n">
        <v>0</v>
      </c>
      <c r="E47" s="6" t="n">
        <v>0</v>
      </c>
      <c r="F47" s="4" t="n">
        <v>0</v>
      </c>
      <c r="G47" s="6" t="n">
        <v>0</v>
      </c>
      <c r="H47" s="6" t="n">
        <v>0</v>
      </c>
      <c r="I47" s="6" t="n">
        <v>0</v>
      </c>
      <c r="J47" s="6" t="n"/>
      <c r="K47">
        <f>IFERROR(HYPERLINK("#Main!A"&amp;MATCH(A47,Main!A:A,0),"Open"),HYPERLINK("#Main!A1","Open"))</f>
        <v/>
      </c>
    </row>
    <row r="48" ht="30" customHeight="1">
      <c r="A48" s="33" t="inlineStr">
        <is>
          <t>https://africanmarketingconfederation.org/amc-testimony-page-2024/</t>
        </is>
      </c>
      <c r="B48" s="24" t="n">
        <v>0</v>
      </c>
      <c r="C48" s="24" t="n">
        <v>0</v>
      </c>
      <c r="D48" s="4" t="n">
        <v>0</v>
      </c>
      <c r="E48" s="24" t="n">
        <v>0</v>
      </c>
      <c r="F48" s="4" t="n">
        <v>0</v>
      </c>
      <c r="G48" s="24" t="n">
        <v>0</v>
      </c>
      <c r="H48" s="24" t="n">
        <v>0</v>
      </c>
      <c r="I48" s="24" t="n">
        <v>0</v>
      </c>
      <c r="J48" s="24" t="n"/>
      <c r="K48">
        <f>IFERROR(HYPERLINK("#Main!A"&amp;MATCH(A48,Main!A:A,0),"Open"),HYPERLINK("#Main!A1","Open"))</f>
        <v/>
      </c>
    </row>
    <row r="49" ht="30" customHeight="1">
      <c r="A49" s="33" t="inlineStr">
        <is>
          <t>https://africanmarketingconfederation.org/thank-you-for-registering-2024-registrations/</t>
        </is>
      </c>
      <c r="B49" s="6" t="n">
        <v>0</v>
      </c>
      <c r="C49" s="6" t="n">
        <v>0</v>
      </c>
      <c r="D49" s="4" t="n">
        <v>0</v>
      </c>
      <c r="E49" s="6" t="n">
        <v>0</v>
      </c>
      <c r="F49" s="4" t="n">
        <v>0</v>
      </c>
      <c r="G49" s="6" t="n">
        <v>0</v>
      </c>
      <c r="H49" s="6" t="n">
        <v>0</v>
      </c>
      <c r="I49" s="6" t="n">
        <v>0</v>
      </c>
      <c r="J49" s="6" t="n"/>
      <c r="K49">
        <f>IFERROR(HYPERLINK("#Main!A"&amp;MATCH(A49,Main!A:A,0),"Open"),HYPERLINK("#Main!A1","Open"))</f>
        <v/>
      </c>
    </row>
    <row r="50" ht="30" customHeight="1">
      <c r="A50" s="33" t="inlineStr">
        <is>
          <t>https://africanmarketingconfederation.org/download-prospectus-2024/</t>
        </is>
      </c>
      <c r="B50" s="24" t="n">
        <v>0</v>
      </c>
      <c r="C50" s="24" t="n">
        <v>0</v>
      </c>
      <c r="D50" s="4" t="n">
        <v>0</v>
      </c>
      <c r="E50" s="24" t="n">
        <v>0</v>
      </c>
      <c r="F50" s="4" t="n">
        <v>0</v>
      </c>
      <c r="G50" s="24" t="n">
        <v>0</v>
      </c>
      <c r="H50" s="24" t="n">
        <v>0</v>
      </c>
      <c r="I50" s="24" t="n">
        <v>0</v>
      </c>
      <c r="J50" s="24" t="n"/>
      <c r="K50">
        <f>IFERROR(HYPERLINK("#Main!A"&amp;MATCH(A50,Main!A:A,0),"Open"),HYPERLINK("#Main!A1","Open"))</f>
        <v/>
      </c>
    </row>
    <row r="51" ht="30" customHeight="1">
      <c r="A51" s="33" t="inlineStr">
        <is>
          <t>https://africanmarketingconfederation.org/thank-you-for-registering-2024-registrations-kenya/</t>
        </is>
      </c>
      <c r="B51" s="6" t="n">
        <v>0</v>
      </c>
      <c r="C51" s="6" t="n">
        <v>0</v>
      </c>
      <c r="D51" s="4" t="n">
        <v>0</v>
      </c>
      <c r="E51" s="6" t="n">
        <v>0</v>
      </c>
      <c r="F51" s="4" t="n">
        <v>0</v>
      </c>
      <c r="G51" s="6" t="n">
        <v>0</v>
      </c>
      <c r="H51" s="6" t="n">
        <v>0</v>
      </c>
      <c r="I51" s="6" t="n">
        <v>0</v>
      </c>
      <c r="J51" s="6" t="n"/>
      <c r="K51">
        <f>IFERROR(HYPERLINK("#Main!A"&amp;MATCH(A51,Main!A:A,0),"Open"),HYPERLINK("#Main!A1","Open"))</f>
        <v/>
      </c>
    </row>
    <row r="52" ht="30" customHeight="1">
      <c r="A52" s="33" t="inlineStr">
        <is>
          <t>https://africanmarketingconfederation.org/subscribe/</t>
        </is>
      </c>
      <c r="B52" s="24" t="n">
        <v>0</v>
      </c>
      <c r="C52" s="24" t="n">
        <v>0</v>
      </c>
      <c r="D52" s="4" t="n">
        <v>0</v>
      </c>
      <c r="E52" s="24" t="n">
        <v>0</v>
      </c>
      <c r="F52" s="4" t="n">
        <v>0</v>
      </c>
      <c r="G52" s="24" t="n">
        <v>0</v>
      </c>
      <c r="H52" s="24" t="n">
        <v>0</v>
      </c>
      <c r="I52" s="24" t="n">
        <v>0</v>
      </c>
      <c r="J52" s="24" t="n"/>
      <c r="K52">
        <f>IFERROR(HYPERLINK("#Main!A"&amp;MATCH(A52,Main!A:A,0),"Open"),HYPERLINK("#Main!A1","Open"))</f>
        <v/>
      </c>
    </row>
    <row r="53" ht="30" customHeight="1">
      <c r="A53" s="33" t="inlineStr">
        <is>
          <t>https://africanmarketingconfederation.org/amc-marketing-conference-2024/speakers-2024/</t>
        </is>
      </c>
      <c r="B53" s="6" t="n">
        <v>0</v>
      </c>
      <c r="C53" s="6" t="n">
        <v>0</v>
      </c>
      <c r="D53" s="4" t="n">
        <v>0</v>
      </c>
      <c r="E53" s="6" t="n">
        <v>0</v>
      </c>
      <c r="F53" s="4" t="n">
        <v>0</v>
      </c>
      <c r="G53" s="6" t="n">
        <v>0</v>
      </c>
      <c r="H53" s="6" t="n">
        <v>0</v>
      </c>
      <c r="I53" s="6" t="n">
        <v>0</v>
      </c>
      <c r="J53" s="6" t="n"/>
      <c r="K53">
        <f>IFERROR(HYPERLINK("#Main!A"&amp;MATCH(A53,Main!A:A,0),"Open"),HYPERLINK("#Main!A1","Open"))</f>
        <v/>
      </c>
    </row>
    <row r="54" ht="30" customHeight="1">
      <c r="A54" s="33" t="inlineStr">
        <is>
          <t>https://africanmarketingconfederation.org/amc-conference-sponsors/</t>
        </is>
      </c>
      <c r="B54" s="24" t="n">
        <v>0</v>
      </c>
      <c r="C54" s="24" t="n">
        <v>0</v>
      </c>
      <c r="D54" s="4" t="n">
        <v>0</v>
      </c>
      <c r="E54" s="24" t="n">
        <v>0</v>
      </c>
      <c r="F54" s="4" t="n">
        <v>0</v>
      </c>
      <c r="G54" s="24" t="n">
        <v>0</v>
      </c>
      <c r="H54" s="24" t="n">
        <v>0</v>
      </c>
      <c r="I54" s="24" t="n">
        <v>0</v>
      </c>
      <c r="J54" s="24" t="n"/>
      <c r="K54">
        <f>IFERROR(HYPERLINK("#Main!A"&amp;MATCH(A54,Main!A:A,0),"Open"),HYPERLINK("#Main!A1","Open"))</f>
        <v/>
      </c>
    </row>
    <row r="55" ht="30" customHeight="1">
      <c r="A55" s="33" t="inlineStr">
        <is>
          <t>https://africanmarketingconfederation.org/elementor-20341/</t>
        </is>
      </c>
      <c r="B55" s="6" t="n">
        <v>0</v>
      </c>
      <c r="C55" s="6" t="n">
        <v>0</v>
      </c>
      <c r="D55" s="4" t="n">
        <v>0</v>
      </c>
      <c r="E55" s="6" t="n">
        <v>0</v>
      </c>
      <c r="F55" s="4" t="n">
        <v>0</v>
      </c>
      <c r="G55" s="6" t="n">
        <v>0</v>
      </c>
      <c r="H55" s="6" t="n">
        <v>0</v>
      </c>
      <c r="I55" s="6" t="n">
        <v>0</v>
      </c>
      <c r="J55" s="6" t="n"/>
      <c r="K55">
        <f>IFERROR(HYPERLINK("#Main!A"&amp;MATCH(A55,Main!A:A,0),"Open"),HYPERLINK("#Main!A1","Open"))</f>
        <v/>
      </c>
    </row>
    <row r="56" ht="30" customHeight="1">
      <c r="A56" s="33" t="inlineStr">
        <is>
          <t>https://africanmarketingconfederation.org/chartered-marketer-africa-final-submission-fee/</t>
        </is>
      </c>
      <c r="B56" s="24" t="n">
        <v>0</v>
      </c>
      <c r="C56" s="24" t="n">
        <v>0</v>
      </c>
      <c r="D56" s="4" t="n">
        <v>0</v>
      </c>
      <c r="E56" s="24" t="n">
        <v>0</v>
      </c>
      <c r="F56" s="4" t="n">
        <v>0</v>
      </c>
      <c r="G56" s="24" t="n">
        <v>0</v>
      </c>
      <c r="H56" s="24" t="n">
        <v>0</v>
      </c>
      <c r="I56" s="24" t="n">
        <v>0</v>
      </c>
      <c r="J56" s="24" t="n"/>
      <c r="K56">
        <f>IFERROR(HYPERLINK("#Main!A"&amp;MATCH(A56,Main!A:A,0),"Open"),HYPERLINK("#Main!A1","Open"))</f>
        <v/>
      </c>
    </row>
    <row r="57" ht="30" customHeight="1">
      <c r="A57" s="33" t="inlineStr">
        <is>
          <t>https://africanmarketingconfederation.org/chartered-marketer-africa-programme-fee/</t>
        </is>
      </c>
      <c r="B57" s="6" t="n">
        <v>0</v>
      </c>
      <c r="C57" s="6" t="n">
        <v>0</v>
      </c>
      <c r="D57" s="4" t="n">
        <v>0</v>
      </c>
      <c r="E57" s="6" t="n">
        <v>0</v>
      </c>
      <c r="F57" s="4" t="n">
        <v>0</v>
      </c>
      <c r="G57" s="6" t="n">
        <v>0</v>
      </c>
      <c r="H57" s="6" t="n">
        <v>0</v>
      </c>
      <c r="I57" s="6" t="n">
        <v>0</v>
      </c>
      <c r="J57" s="6" t="n"/>
      <c r="K57">
        <f>IFERROR(HYPERLINK("#Main!A"&amp;MATCH(A57,Main!A:A,0),"Open"),HYPERLINK("#Main!A1","Open"))</f>
        <v/>
      </c>
    </row>
    <row r="58" ht="30" customHeight="1">
      <c r="A58" s="33" t="inlineStr">
        <is>
          <t>https://africanmarketingconfederation.org/download-brochure/</t>
        </is>
      </c>
      <c r="B58" s="24" t="n">
        <v>0</v>
      </c>
      <c r="C58" s="24" t="n">
        <v>0</v>
      </c>
      <c r="D58" s="4" t="n">
        <v>0</v>
      </c>
      <c r="E58" s="24" t="n">
        <v>0</v>
      </c>
      <c r="F58" s="4" t="n">
        <v>0</v>
      </c>
      <c r="G58" s="24" t="n">
        <v>0</v>
      </c>
      <c r="H58" s="24" t="n">
        <v>0</v>
      </c>
      <c r="I58" s="24" t="n">
        <v>0</v>
      </c>
      <c r="J58" s="24" t="n"/>
      <c r="K58">
        <f>IFERROR(HYPERLINK("#Main!A"&amp;MATCH(A58,Main!A:A,0),"Open"),HYPERLINK("#Main!A1","Open"))</f>
        <v/>
      </c>
    </row>
    <row r="59" ht="30" customHeight="1">
      <c r="A59" s="33" t="inlineStr">
        <is>
          <t>https://africanmarketingconfederation.org/thank-you-for-the-nomination-2024/</t>
        </is>
      </c>
      <c r="B59" s="6" t="n">
        <v>0</v>
      </c>
      <c r="C59" s="6" t="n">
        <v>0</v>
      </c>
      <c r="D59" s="4" t="n">
        <v>0</v>
      </c>
      <c r="E59" s="6" t="n">
        <v>0</v>
      </c>
      <c r="F59" s="4" t="n">
        <v>0</v>
      </c>
      <c r="G59" s="6" t="n">
        <v>0</v>
      </c>
      <c r="H59" s="6" t="n">
        <v>0</v>
      </c>
      <c r="I59" s="6" t="n">
        <v>0</v>
      </c>
      <c r="J59" s="6" t="n"/>
      <c r="K59">
        <f>IFERROR(HYPERLINK("#Main!A"&amp;MATCH(A59,Main!A:A,0),"Open"),HYPERLINK("#Main!A1","Open"))</f>
        <v/>
      </c>
    </row>
    <row r="60" ht="30" customHeight="1">
      <c r="A60" s="33" t="inlineStr">
        <is>
          <t>https://africanmarketingconfederation.org/thank-you-for-the-submission-2024/</t>
        </is>
      </c>
      <c r="B60" s="24" t="n">
        <v>0</v>
      </c>
      <c r="C60" s="24" t="n">
        <v>0</v>
      </c>
      <c r="D60" s="4" t="n">
        <v>0</v>
      </c>
      <c r="E60" s="24" t="n">
        <v>0</v>
      </c>
      <c r="F60" s="4" t="n">
        <v>0</v>
      </c>
      <c r="G60" s="24" t="n">
        <v>0</v>
      </c>
      <c r="H60" s="24" t="n">
        <v>0</v>
      </c>
      <c r="I60" s="24" t="n">
        <v>0</v>
      </c>
      <c r="J60" s="24" t="n"/>
      <c r="K60">
        <f>IFERROR(HYPERLINK("#Main!A"&amp;MATCH(A60,Main!A:A,0),"Open"),HYPERLINK("#Main!A1","Open"))</f>
        <v/>
      </c>
    </row>
    <row r="61" ht="30" customHeight="1">
      <c r="A61" s="33" t="inlineStr">
        <is>
          <t>https://africanmarketingconfederation.org/amc-conference-2024-sponsors-packages/</t>
        </is>
      </c>
      <c r="B61" s="6" t="n">
        <v>0</v>
      </c>
      <c r="C61" s="6" t="n">
        <v>0</v>
      </c>
      <c r="D61" s="4" t="n">
        <v>0</v>
      </c>
      <c r="E61" s="6" t="n">
        <v>0</v>
      </c>
      <c r="F61" s="4" t="n">
        <v>0</v>
      </c>
      <c r="G61" s="6" t="n">
        <v>0</v>
      </c>
      <c r="H61" s="6" t="n">
        <v>0</v>
      </c>
      <c r="I61" s="6" t="n">
        <v>0</v>
      </c>
      <c r="J61" s="6" t="n"/>
      <c r="K61">
        <f>IFERROR(HYPERLINK("#Main!A"&amp;MATCH(A61,Main!A:A,0),"Open"),HYPERLINK("#Main!A1","Open"))</f>
        <v/>
      </c>
    </row>
    <row r="62" ht="30" customHeight="1">
      <c r="A62" s="33" t="inlineStr">
        <is>
          <t>https://africanmarketingconfederation.org/elementor-16548/</t>
        </is>
      </c>
      <c r="B62" s="24" t="n">
        <v>0</v>
      </c>
      <c r="C62" s="24" t="n">
        <v>0</v>
      </c>
      <c r="D62" s="4" t="n">
        <v>0</v>
      </c>
      <c r="E62" s="24" t="n">
        <v>0</v>
      </c>
      <c r="F62" s="4" t="n">
        <v>0</v>
      </c>
      <c r="G62" s="24" t="n">
        <v>0</v>
      </c>
      <c r="H62" s="24" t="n">
        <v>0</v>
      </c>
      <c r="I62" s="24" t="n">
        <v>0</v>
      </c>
      <c r="J62" s="24" t="n"/>
      <c r="K62">
        <f>IFERROR(HYPERLINK("#Main!A"&amp;MATCH(A62,Main!A:A,0),"Open"),HYPERLINK("#Main!A1","Open"))</f>
        <v/>
      </c>
    </row>
    <row r="63" ht="30" customHeight="1">
      <c r="A63" s="33" t="inlineStr">
        <is>
          <t>https://africanmarketingconfederation.org/amc-marketing-conference-2024/programme-2024/</t>
        </is>
      </c>
      <c r="B63" s="6" t="n">
        <v>0</v>
      </c>
      <c r="C63" s="6" t="n">
        <v>0</v>
      </c>
      <c r="D63" s="4" t="n">
        <v>0</v>
      </c>
      <c r="E63" s="6" t="n">
        <v>0</v>
      </c>
      <c r="F63" s="4" t="n">
        <v>0</v>
      </c>
      <c r="G63" s="6" t="n">
        <v>0</v>
      </c>
      <c r="H63" s="6" t="n">
        <v>0</v>
      </c>
      <c r="I63" s="6" t="n">
        <v>0</v>
      </c>
      <c r="J63" s="6" t="n"/>
      <c r="K63">
        <f>IFERROR(HYPERLINK("#Main!A"&amp;MATCH(A63,Main!A:A,0),"Open"),HYPERLINK("#Main!A1","Open"))</f>
        <v/>
      </c>
    </row>
    <row r="64" ht="30" customHeight="1">
      <c r="A64" s="33" t="inlineStr">
        <is>
          <t>https://africanmarketingconfederation.org/amc-conference-2023/programme/</t>
        </is>
      </c>
      <c r="B64" s="24" t="n">
        <v>0</v>
      </c>
      <c r="C64" s="24" t="n">
        <v>0</v>
      </c>
      <c r="D64" s="4" t="n">
        <v>0</v>
      </c>
      <c r="E64" s="24" t="n">
        <v>0</v>
      </c>
      <c r="F64" s="4" t="n">
        <v>0</v>
      </c>
      <c r="G64" s="24" t="n">
        <v>0</v>
      </c>
      <c r="H64" s="24" t="n">
        <v>0</v>
      </c>
      <c r="I64" s="24" t="n">
        <v>0</v>
      </c>
      <c r="J64" s="24" t="n"/>
      <c r="K64">
        <f>IFERROR(HYPERLINK("#Main!A"&amp;MATCH(A64,Main!A:A,0),"Open"),HYPERLINK("#Main!A1","Open"))</f>
        <v/>
      </c>
    </row>
    <row r="65" ht="30" customHeight="1">
      <c r="A65" s="33" t="inlineStr">
        <is>
          <t>https://africanmarketingconfederation.org/amc-conference-2023/amc-awards/</t>
        </is>
      </c>
      <c r="B65" s="6" t="n">
        <v>0</v>
      </c>
      <c r="C65" s="6" t="n">
        <v>0</v>
      </c>
      <c r="D65" s="4" t="n">
        <v>0</v>
      </c>
      <c r="E65" s="6" t="n">
        <v>0</v>
      </c>
      <c r="F65" s="4" t="n">
        <v>0</v>
      </c>
      <c r="G65" s="6" t="n">
        <v>0</v>
      </c>
      <c r="H65" s="6" t="n">
        <v>0</v>
      </c>
      <c r="I65" s="6" t="n">
        <v>0</v>
      </c>
      <c r="J65" s="6" t="n"/>
      <c r="K65">
        <f>IFERROR(HYPERLINK("#Main!A"&amp;MATCH(A65,Main!A:A,0),"Open"),HYPERLINK("#Main!A1","Open"))</f>
        <v/>
      </c>
    </row>
    <row r="66" ht="30" customHeight="1">
      <c r="A66" s="33" t="inlineStr">
        <is>
          <t>https://africanmarketingconfederation.org/amc-conference-2023/partners/</t>
        </is>
      </c>
      <c r="B66" s="24" t="n">
        <v>0</v>
      </c>
      <c r="C66" s="24" t="n">
        <v>0</v>
      </c>
      <c r="D66" s="4" t="n">
        <v>0</v>
      </c>
      <c r="E66" s="24" t="n">
        <v>0</v>
      </c>
      <c r="F66" s="4" t="n">
        <v>0</v>
      </c>
      <c r="G66" s="24" t="n">
        <v>0</v>
      </c>
      <c r="H66" s="24" t="n">
        <v>0</v>
      </c>
      <c r="I66" s="24" t="n">
        <v>0</v>
      </c>
      <c r="J66" s="24" t="n"/>
      <c r="K66">
        <f>IFERROR(HYPERLINK("#Main!A"&amp;MATCH(A66,Main!A:A,0),"Open"),HYPERLINK("#Main!A1","Open"))</f>
        <v/>
      </c>
    </row>
    <row r="67" ht="30" customHeight="1">
      <c r="A67" s="33" t="inlineStr">
        <is>
          <t>https://africanmarketingconfederation.org/amc-conference-2023/speakers/</t>
        </is>
      </c>
      <c r="B67" s="6" t="n">
        <v>0</v>
      </c>
      <c r="C67" s="6" t="n">
        <v>0</v>
      </c>
      <c r="D67" s="4" t="n">
        <v>0</v>
      </c>
      <c r="E67" s="6" t="n">
        <v>0</v>
      </c>
      <c r="F67" s="4" t="n">
        <v>0</v>
      </c>
      <c r="G67" s="6" t="n">
        <v>0</v>
      </c>
      <c r="H67" s="6" t="n">
        <v>0</v>
      </c>
      <c r="I67" s="6" t="n">
        <v>0</v>
      </c>
      <c r="J67" s="6" t="n"/>
      <c r="K67">
        <f>IFERROR(HYPERLINK("#Main!A"&amp;MATCH(A67,Main!A:A,0),"Open"),HYPERLINK("#Main!A1","Open"))</f>
        <v/>
      </c>
    </row>
    <row r="68" ht="30" customHeight="1">
      <c r="A68" s="33" t="inlineStr">
        <is>
          <t>https://africanmarketingconfederation.org/chartered-marketer-africa-thank-you/</t>
        </is>
      </c>
      <c r="B68" s="24" t="n">
        <v>0</v>
      </c>
      <c r="C68" s="24" t="n">
        <v>0</v>
      </c>
      <c r="D68" s="4" t="n">
        <v>0</v>
      </c>
      <c r="E68" s="24" t="n">
        <v>0</v>
      </c>
      <c r="F68" s="4" t="n">
        <v>0</v>
      </c>
      <c r="G68" s="24" t="n">
        <v>0</v>
      </c>
      <c r="H68" s="24" t="n">
        <v>0</v>
      </c>
      <c r="I68" s="24" t="n">
        <v>0</v>
      </c>
      <c r="J68" s="24" t="n"/>
      <c r="K68">
        <f>IFERROR(HYPERLINK("#Main!A"&amp;MATCH(A68,Main!A:A,0),"Open"),HYPERLINK("#Main!A1","Open"))</f>
        <v/>
      </c>
    </row>
    <row r="69" ht="30" customHeight="1">
      <c r="A69" s="33" t="inlineStr">
        <is>
          <t>https://africanmarketingconfederation.org/amc-conference-2023/amc-awards-book-now/</t>
        </is>
      </c>
      <c r="B69" s="6" t="n">
        <v>0</v>
      </c>
      <c r="C69" s="6" t="n">
        <v>0</v>
      </c>
      <c r="D69" s="4" t="n">
        <v>0</v>
      </c>
      <c r="E69" s="6" t="n">
        <v>0</v>
      </c>
      <c r="F69" s="4" t="n">
        <v>0</v>
      </c>
      <c r="G69" s="6" t="n">
        <v>0</v>
      </c>
      <c r="H69" s="6" t="n">
        <v>0</v>
      </c>
      <c r="I69" s="6" t="n">
        <v>0</v>
      </c>
      <c r="J69" s="6" t="n"/>
      <c r="K69">
        <f>IFERROR(HYPERLINK("#Main!A"&amp;MATCH(A69,Main!A:A,0),"Open"),HYPERLINK("#Main!A1","Open"))</f>
        <v/>
      </c>
    </row>
    <row r="70" ht="30" customHeight="1">
      <c r="A70" s="33" t="inlineStr">
        <is>
          <t>https://africanmarketingconfederation.org/amc-conference-2023/book-now/</t>
        </is>
      </c>
      <c r="B70" s="24" t="n">
        <v>0</v>
      </c>
      <c r="C70" s="24" t="n">
        <v>0</v>
      </c>
      <c r="D70" s="4" t="n">
        <v>0</v>
      </c>
      <c r="E70" s="24" t="n">
        <v>0</v>
      </c>
      <c r="F70" s="4" t="n">
        <v>0</v>
      </c>
      <c r="G70" s="24" t="n">
        <v>0</v>
      </c>
      <c r="H70" s="24" t="n">
        <v>0</v>
      </c>
      <c r="I70" s="24" t="n">
        <v>0</v>
      </c>
      <c r="J70" s="24" t="n"/>
      <c r="K70">
        <f>IFERROR(HYPERLINK("#Main!A"&amp;MATCH(A70,Main!A:A,0),"Open"),HYPERLINK("#Main!A1","Open"))</f>
        <v/>
      </c>
    </row>
    <row r="71" ht="30" customHeight="1">
      <c r="A71" s="33" t="inlineStr">
        <is>
          <t>https://africanmarketingconfederation.org/amc-conference-2023/download-prospectus/</t>
        </is>
      </c>
      <c r="B71" s="6" t="n">
        <v>0</v>
      </c>
      <c r="C71" s="6" t="n">
        <v>0</v>
      </c>
      <c r="D71" s="4" t="n">
        <v>0</v>
      </c>
      <c r="E71" s="6" t="n">
        <v>0</v>
      </c>
      <c r="F71" s="4" t="n">
        <v>0</v>
      </c>
      <c r="G71" s="6" t="n">
        <v>0</v>
      </c>
      <c r="H71" s="6" t="n">
        <v>0</v>
      </c>
      <c r="I71" s="6" t="n">
        <v>0</v>
      </c>
      <c r="J71" s="6" t="n"/>
      <c r="K71">
        <f>IFERROR(HYPERLINK("#Main!A"&amp;MATCH(A71,Main!A:A,0),"Open"),HYPERLINK("#Main!A1","Open"))</f>
        <v/>
      </c>
    </row>
    <row r="72" ht="30" customHeight="1">
      <c r="A72" s="33" t="inlineStr">
        <is>
          <t>https://africanmarketingconfederation.org/thank-you-for-subscribing/</t>
        </is>
      </c>
      <c r="B72" s="24" t="n">
        <v>0</v>
      </c>
      <c r="C72" s="24" t="n">
        <v>0</v>
      </c>
      <c r="D72" s="4" t="n">
        <v>0</v>
      </c>
      <c r="E72" s="24" t="n">
        <v>0</v>
      </c>
      <c r="F72" s="4" t="n">
        <v>0</v>
      </c>
      <c r="G72" s="24" t="n">
        <v>0</v>
      </c>
      <c r="H72" s="24" t="n">
        <v>0</v>
      </c>
      <c r="I72" s="24" t="n">
        <v>0</v>
      </c>
      <c r="J72" s="24" t="n"/>
      <c r="K72">
        <f>IFERROR(HYPERLINK("#Main!A"&amp;MATCH(A72,Main!A:A,0),"Open"),HYPERLINK("#Main!A1","Open"))</f>
        <v/>
      </c>
    </row>
    <row r="73" ht="30" customHeight="1">
      <c r="A73" s="33" t="inlineStr">
        <is>
          <t>https://africanmarketingconfederation.org/amc-conference-2023/book-now-thank-you/</t>
        </is>
      </c>
      <c r="B73" s="6" t="n">
        <v>0</v>
      </c>
      <c r="C73" s="6" t="n">
        <v>0</v>
      </c>
      <c r="D73" s="4" t="n">
        <v>0</v>
      </c>
      <c r="E73" s="6" t="n">
        <v>0</v>
      </c>
      <c r="F73" s="4" t="n">
        <v>0</v>
      </c>
      <c r="G73" s="6" t="n">
        <v>0</v>
      </c>
      <c r="H73" s="6" t="n">
        <v>0</v>
      </c>
      <c r="I73" s="6" t="n">
        <v>0</v>
      </c>
      <c r="J73" s="6" t="n"/>
      <c r="K73">
        <f>IFERROR(HYPERLINK("#Main!A"&amp;MATCH(A73,Main!A:A,0),"Open"),HYPERLINK("#Main!A1","Open"))</f>
        <v/>
      </c>
    </row>
    <row r="74" ht="30" customHeight="1">
      <c r="A74" s="33" t="inlineStr">
        <is>
          <t>https://africanmarketingconfederation.org/upcoming-events/</t>
        </is>
      </c>
      <c r="B74" s="24" t="n">
        <v>0</v>
      </c>
      <c r="C74" s="24" t="n">
        <v>0</v>
      </c>
      <c r="D74" s="4" t="n">
        <v>0</v>
      </c>
      <c r="E74" s="24" t="n">
        <v>0</v>
      </c>
      <c r="F74" s="4" t="n">
        <v>0</v>
      </c>
      <c r="G74" s="24" t="n">
        <v>0</v>
      </c>
      <c r="H74" s="24" t="n">
        <v>0</v>
      </c>
      <c r="I74" s="24" t="n">
        <v>0</v>
      </c>
      <c r="J74" s="24" t="n"/>
      <c r="K74">
        <f>IFERROR(HYPERLINK("#Main!A"&amp;MATCH(A74,Main!A:A,0),"Open"),HYPERLINK("#Main!A1","Open"))</f>
        <v/>
      </c>
    </row>
    <row r="75" ht="30" customHeight="1">
      <c r="A75" s="33" t="inlineStr">
        <is>
          <t>https://africanmarketingconfederation.org/amc-conference-thank-you/</t>
        </is>
      </c>
      <c r="B75" s="6" t="n">
        <v>0</v>
      </c>
      <c r="C75" s="6" t="n">
        <v>0</v>
      </c>
      <c r="D75" s="4" t="n">
        <v>0</v>
      </c>
      <c r="E75" s="6" t="n">
        <v>0</v>
      </c>
      <c r="F75" s="4" t="n">
        <v>0</v>
      </c>
      <c r="G75" s="6" t="n">
        <v>0</v>
      </c>
      <c r="H75" s="6" t="n">
        <v>0</v>
      </c>
      <c r="I75" s="6" t="n">
        <v>0</v>
      </c>
      <c r="J75" s="6" t="n"/>
      <c r="K75">
        <f>IFERROR(HYPERLINK("#Main!A"&amp;MATCH(A75,Main!A:A,0),"Open"),HYPERLINK("#Main!A1","Open"))</f>
        <v/>
      </c>
    </row>
    <row r="76" ht="30" customHeight="1">
      <c r="A76" s="33" t="inlineStr">
        <is>
          <t>https://africanmarketingconfederation.org/amc-masterclass/</t>
        </is>
      </c>
      <c r="B76" s="24" t="n">
        <v>0</v>
      </c>
      <c r="C76" s="24" t="n">
        <v>0</v>
      </c>
      <c r="D76" s="4" t="n">
        <v>0</v>
      </c>
      <c r="E76" s="24" t="n">
        <v>0</v>
      </c>
      <c r="F76" s="4" t="n">
        <v>0</v>
      </c>
      <c r="G76" s="24" t="n">
        <v>0</v>
      </c>
      <c r="H76" s="24" t="n">
        <v>0</v>
      </c>
      <c r="I76" s="24" t="n">
        <v>0</v>
      </c>
      <c r="J76" s="24" t="n"/>
      <c r="K76">
        <f>IFERROR(HYPERLINK("#Main!A"&amp;MATCH(A76,Main!A:A,0),"Open"),HYPERLINK("#Main!A1","Open"))</f>
        <v/>
      </c>
    </row>
    <row r="77" ht="30" customHeight="1">
      <c r="A77" s="33" t="inlineStr">
        <is>
          <t>https://africanmarketingconfederation.org/amc-relaunch-programme/</t>
        </is>
      </c>
      <c r="B77" s="6" t="n">
        <v>0</v>
      </c>
      <c r="C77" s="6" t="n">
        <v>0</v>
      </c>
      <c r="D77" s="4" t="n">
        <v>0</v>
      </c>
      <c r="E77" s="6" t="n">
        <v>0</v>
      </c>
      <c r="F77" s="4" t="n">
        <v>0</v>
      </c>
      <c r="G77" s="6" t="n">
        <v>0</v>
      </c>
      <c r="H77" s="6" t="n">
        <v>0</v>
      </c>
      <c r="I77" s="6" t="n">
        <v>0</v>
      </c>
      <c r="J77" s="6" t="n"/>
      <c r="K77">
        <f>IFERROR(HYPERLINK("#Main!A"&amp;MATCH(A77,Main!A:A,0),"Open"),HYPERLINK("#Main!A1","Open"))</f>
        <v/>
      </c>
    </row>
    <row r="78" ht="30" customHeight="1">
      <c r="A78" s="33" t="inlineStr">
        <is>
          <t>https://africanmarketingconfederation.org/amc-masterclass-thank-you/</t>
        </is>
      </c>
      <c r="B78" s="24" t="n">
        <v>0</v>
      </c>
      <c r="C78" s="24" t="n">
        <v>0</v>
      </c>
      <c r="D78" s="4" t="n">
        <v>0</v>
      </c>
      <c r="E78" s="24" t="n">
        <v>0</v>
      </c>
      <c r="F78" s="4" t="n">
        <v>0</v>
      </c>
      <c r="G78" s="24" t="n">
        <v>0</v>
      </c>
      <c r="H78" s="24" t="n">
        <v>0</v>
      </c>
      <c r="I78" s="24" t="n">
        <v>0</v>
      </c>
      <c r="J78" s="24" t="n"/>
      <c r="K78">
        <f>IFERROR(HYPERLINK("#Main!A"&amp;MATCH(A78,Main!A:A,0),"Open"),HYPERLINK("#Main!A1","Open"))</f>
        <v/>
      </c>
    </row>
    <row r="79" ht="30" customHeight="1">
      <c r="A79" s="33" t="inlineStr">
        <is>
          <t>https://africanmarketingconfederation.org/amc-masterclass-bookings/</t>
        </is>
      </c>
      <c r="B79" s="6" t="n">
        <v>0</v>
      </c>
      <c r="C79" s="6" t="n">
        <v>0</v>
      </c>
      <c r="D79" s="4" t="n">
        <v>0</v>
      </c>
      <c r="E79" s="6" t="n">
        <v>0</v>
      </c>
      <c r="F79" s="4" t="n">
        <v>0</v>
      </c>
      <c r="G79" s="6" t="n">
        <v>0</v>
      </c>
      <c r="H79" s="6" t="n">
        <v>0</v>
      </c>
      <c r="I79" s="6" t="n">
        <v>0</v>
      </c>
      <c r="J79" s="6" t="n"/>
      <c r="K79">
        <f>IFERROR(HYPERLINK("#Main!A"&amp;MATCH(A79,Main!A:A,0),"Open"),HYPERLINK("#Main!A1","Open"))</f>
        <v/>
      </c>
    </row>
    <row r="80" ht="30" customHeight="1">
      <c r="A80" s="33" t="inlineStr">
        <is>
          <t>https://africanmarketingconfederation.org/amc-conference-programme/</t>
        </is>
      </c>
      <c r="B80" s="24" t="n">
        <v>0</v>
      </c>
      <c r="C80" s="24" t="n">
        <v>0</v>
      </c>
      <c r="D80" s="4" t="n">
        <v>0</v>
      </c>
      <c r="E80" s="24" t="n">
        <v>0</v>
      </c>
      <c r="F80" s="4" t="n">
        <v>0</v>
      </c>
      <c r="G80" s="24" t="n">
        <v>0</v>
      </c>
      <c r="H80" s="24" t="n">
        <v>0</v>
      </c>
      <c r="I80" s="24" t="n">
        <v>0</v>
      </c>
      <c r="J80" s="24" t="n"/>
      <c r="K80">
        <f>IFERROR(HYPERLINK("#Main!A"&amp;MATCH(A80,Main!A:A,0),"Open"),HYPERLINK("#Main!A1","Open"))</f>
        <v/>
      </c>
    </row>
    <row r="81" ht="30" customHeight="1">
      <c r="A81" s="33" t="inlineStr">
        <is>
          <t>https://africanmarketingconfederation.org/test-homeslider/</t>
        </is>
      </c>
      <c r="B81" s="6" t="n">
        <v>0</v>
      </c>
      <c r="C81" s="6" t="n">
        <v>0</v>
      </c>
      <c r="D81" s="4" t="n">
        <v>0</v>
      </c>
      <c r="E81" s="6" t="n">
        <v>0</v>
      </c>
      <c r="F81" s="4" t="n">
        <v>0</v>
      </c>
      <c r="G81" s="6" t="n">
        <v>0</v>
      </c>
      <c r="H81" s="6" t="n">
        <v>0</v>
      </c>
      <c r="I81" s="6" t="n">
        <v>0</v>
      </c>
      <c r="J81" s="6" t="n"/>
      <c r="K81">
        <f>IFERROR(HYPERLINK("#Main!A"&amp;MATCH(A81,Main!A:A,0),"Open"),HYPERLINK("#Main!A1","Open"))</f>
        <v/>
      </c>
    </row>
    <row r="82" ht="30" customHeight="1">
      <c r="A82" s="33" t="inlineStr">
        <is>
          <t>https://africanmarketingconfederation.org/virtual-programme/</t>
        </is>
      </c>
      <c r="B82" s="24" t="n">
        <v>0</v>
      </c>
      <c r="C82" s="24" t="n">
        <v>0</v>
      </c>
      <c r="D82" s="4" t="n">
        <v>0</v>
      </c>
      <c r="E82" s="24" t="n">
        <v>0</v>
      </c>
      <c r="F82" s="4" t="n">
        <v>0</v>
      </c>
      <c r="G82" s="24" t="n">
        <v>0</v>
      </c>
      <c r="H82" s="24" t="n">
        <v>0</v>
      </c>
      <c r="I82" s="24" t="n">
        <v>0</v>
      </c>
      <c r="J82" s="24" t="n"/>
      <c r="K82">
        <f>IFERROR(HYPERLINK("#Main!A"&amp;MATCH(A82,Main!A:A,0),"Open"),HYPERLINK("#Main!A1","Open"))</f>
        <v/>
      </c>
    </row>
    <row r="83" ht="30" customHeight="1">
      <c r="A83" s="33" t="inlineStr">
        <is>
          <t>https://africanmarketingconfederation.org/general-enquiry-form-thank-you/</t>
        </is>
      </c>
      <c r="B83" s="6" t="n">
        <v>0</v>
      </c>
      <c r="C83" s="6" t="n">
        <v>0</v>
      </c>
      <c r="D83" s="4" t="n">
        <v>0</v>
      </c>
      <c r="E83" s="6" t="n">
        <v>0</v>
      </c>
      <c r="F83" s="4" t="n">
        <v>0</v>
      </c>
      <c r="G83" s="6" t="n">
        <v>0</v>
      </c>
      <c r="H83" s="6" t="n">
        <v>0</v>
      </c>
      <c r="I83" s="6" t="n">
        <v>0</v>
      </c>
      <c r="J83" s="6" t="n"/>
      <c r="K83">
        <f>IFERROR(HYPERLINK("#Main!A"&amp;MATCH(A83,Main!A:A,0),"Open"),HYPERLINK("#Main!A1","Open"))</f>
        <v/>
      </c>
    </row>
    <row r="84" ht="30" customHeight="1">
      <c r="A84" s="33" t="inlineStr">
        <is>
          <t>https://africanmarketingconfederation.org/amc-conference-2022-thank-you/</t>
        </is>
      </c>
      <c r="B84" s="24" t="n">
        <v>0</v>
      </c>
      <c r="C84" s="24" t="n">
        <v>0</v>
      </c>
      <c r="D84" s="4" t="n">
        <v>0</v>
      </c>
      <c r="E84" s="24" t="n">
        <v>0</v>
      </c>
      <c r="F84" s="4" t="n">
        <v>0</v>
      </c>
      <c r="G84" s="24" t="n">
        <v>0</v>
      </c>
      <c r="H84" s="24" t="n">
        <v>0</v>
      </c>
      <c r="I84" s="24" t="n">
        <v>0</v>
      </c>
      <c r="J84" s="24" t="n"/>
      <c r="K84">
        <f>IFERROR(HYPERLINK("#Main!A"&amp;MATCH(A84,Main!A:A,0),"Open"),HYPERLINK("#Main!A1","Open"))</f>
        <v/>
      </c>
    </row>
    <row r="85" ht="30" customHeight="1">
      <c r="A85" s="33" t="inlineStr">
        <is>
          <t>https://africanmarketingconfederation.org/privacy-policy/</t>
        </is>
      </c>
      <c r="B85" s="6" t="n">
        <v>0</v>
      </c>
      <c r="C85" s="6" t="n">
        <v>0</v>
      </c>
      <c r="D85" s="4" t="n">
        <v>0</v>
      </c>
      <c r="E85" s="6" t="n">
        <v>0</v>
      </c>
      <c r="F85" s="4" t="n">
        <v>0</v>
      </c>
      <c r="G85" s="6" t="n">
        <v>0</v>
      </c>
      <c r="H85" s="6" t="n">
        <v>0</v>
      </c>
      <c r="I85" s="6" t="n">
        <v>0</v>
      </c>
      <c r="J85" s="6" t="n"/>
      <c r="K85">
        <f>IFERROR(HYPERLINK("#Main!A"&amp;MATCH(A85,Main!A:A,0),"Open"),HYPERLINK("#Main!A1","Open"))</f>
        <v/>
      </c>
    </row>
    <row r="86" ht="30" customHeight="1">
      <c r="A86" s="33" t="inlineStr">
        <is>
          <t>https://africanmarketingconfederation.org/speakers/</t>
        </is>
      </c>
      <c r="B86" s="24" t="n">
        <v>0</v>
      </c>
      <c r="C86" s="24" t="n">
        <v>0</v>
      </c>
      <c r="D86" s="4" t="n">
        <v>0</v>
      </c>
      <c r="E86" s="24" t="n">
        <v>0</v>
      </c>
      <c r="F86" s="4" t="n">
        <v>0</v>
      </c>
      <c r="G86" s="24" t="n">
        <v>0</v>
      </c>
      <c r="H86" s="24" t="n">
        <v>0</v>
      </c>
      <c r="I86" s="24" t="n">
        <v>0</v>
      </c>
      <c r="J86" s="24" t="n"/>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 customWidth="1" min="1" max="1"/>
  </cols>
  <sheetData>
    <row r="1">
      <c r="A1" s="3" t="n"/>
      <c r="B1" s="23" t="inlineStr">
        <is>
          <t>BACK TO DASHBOARD</t>
        </is>
      </c>
    </row>
  </sheetData>
  <autoFilter ref="A1:A1"/>
  <dataValidations count="1">
    <dataValidation sqref="B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B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2" customWidth="1" min="3" max="3"/>
    <col width="19" customWidth="1" min="4" max="4"/>
    <col width="24" customWidth="1" min="5" max="5"/>
    <col width="30" customWidth="1" min="6" max="6"/>
    <col width="27" customWidth="1" min="7" max="7"/>
    <col width="26" customWidth="1" min="8" max="8"/>
    <col width="14" customWidth="1" min="9" max="9"/>
    <col width="19" customWidth="1" min="10" max="10"/>
    <col width="26" customWidth="1" min="11" max="11"/>
    <col width="15" customWidth="1" min="12" max="12"/>
    <col width="26" customWidth="1" min="13" max="13"/>
  </cols>
  <sheetData>
    <row r="1">
      <c r="A1" s="3" t="inlineStr">
        <is>
          <t>URL</t>
        </is>
      </c>
      <c r="B1" s="3" t="inlineStr">
        <is>
          <t>AEO Readiness Score</t>
        </is>
      </c>
      <c r="C1" s="3" t="inlineStr">
        <is>
          <t>AEO Badge</t>
        </is>
      </c>
      <c r="D1" s="3" t="inlineStr">
        <is>
          <t>FAQ Section Count</t>
        </is>
      </c>
      <c r="E1" s="3" t="inlineStr">
        <is>
          <t>Question Heading Count</t>
        </is>
      </c>
      <c r="F1" s="3" t="inlineStr">
        <is>
          <t>Paragraphs 40-60 Words Count</t>
        </is>
      </c>
      <c r="G1" s="3" t="inlineStr">
        <is>
          <t>QAPage/FAQ Schema Present</t>
        </is>
      </c>
      <c r="H1" s="3" t="inlineStr">
        <is>
          <t>Speakable Schema Present</t>
        </is>
      </c>
      <c r="I1" s="3" t="inlineStr">
        <is>
          <t>HowTo Signal</t>
        </is>
      </c>
      <c r="J1" s="3" t="inlineStr">
        <is>
          <t>Definition Signal</t>
        </is>
      </c>
      <c r="K1" s="3" t="inlineStr">
        <is>
          <t>List/Table Answer Signal</t>
        </is>
      </c>
      <c r="L1" s="3" t="inlineStr">
        <is>
          <t>Title Missing</t>
        </is>
      </c>
      <c r="M1" s="3" t="inlineStr">
        <is>
          <t>Meta Description Missing</t>
        </is>
      </c>
      <c r="N1" t="inlineStr">
        <is>
          <t>Open in Main</t>
        </is>
      </c>
      <c r="O1" s="23" t="inlineStr">
        <is>
          <t>BACK TO DASHBOARD</t>
        </is>
      </c>
    </row>
    <row r="2">
      <c r="A2" s="33" t="inlineStr">
        <is>
          <t>https://africanmarketingconfederation.org/</t>
        </is>
      </c>
      <c r="B2" s="24" t="n">
        <v>0</v>
      </c>
      <c r="C2" s="24" t="inlineStr">
        <is>
          <t>Needs Work</t>
        </is>
      </c>
      <c r="D2" s="24" t="n">
        <v>0</v>
      </c>
      <c r="E2" s="24" t="n">
        <v>0</v>
      </c>
      <c r="F2" s="24" t="n">
        <v>0</v>
      </c>
      <c r="G2" s="25" t="b">
        <v>0</v>
      </c>
      <c r="H2" s="25" t="b">
        <v>0</v>
      </c>
      <c r="I2" s="24" t="b">
        <v>0</v>
      </c>
      <c r="J2" s="24" t="b">
        <v>0</v>
      </c>
      <c r="K2" s="24" t="b">
        <v>0</v>
      </c>
      <c r="L2" s="4" t="b">
        <v>0</v>
      </c>
      <c r="M2" s="4" t="b">
        <v>0</v>
      </c>
      <c r="N2">
        <f>IFERROR(HYPERLINK("#Main!A"&amp;MATCH(A2,Main!A:A,0),"Open"),HYPERLINK("#Main!A1","Open"))</f>
        <v/>
      </c>
    </row>
    <row r="3" ht="30" customHeight="1">
      <c r="A3" s="33" t="inlineStr">
        <is>
          <t>https://africanmarketingconfederation.org/publication-download-list/</t>
        </is>
      </c>
      <c r="B3" s="6" t="n">
        <v>0</v>
      </c>
      <c r="C3" s="6" t="inlineStr">
        <is>
          <t>Needs Work</t>
        </is>
      </c>
      <c r="D3" s="6" t="n">
        <v>0</v>
      </c>
      <c r="E3" s="6" t="n">
        <v>0</v>
      </c>
      <c r="F3" s="6" t="n">
        <v>0</v>
      </c>
      <c r="G3" s="25" t="b">
        <v>0</v>
      </c>
      <c r="H3" s="25" t="b">
        <v>0</v>
      </c>
      <c r="I3" s="6" t="b">
        <v>0</v>
      </c>
      <c r="J3" s="6" t="b">
        <v>0</v>
      </c>
      <c r="K3" s="6" t="b">
        <v>0</v>
      </c>
      <c r="L3" s="4" t="b">
        <v>0</v>
      </c>
      <c r="M3" s="4" t="b">
        <v>0</v>
      </c>
      <c r="N3">
        <f>IFERROR(HYPERLINK("#Main!A"&amp;MATCH(A3,Main!A:A,0),"Open"),HYPERLINK("#Main!A1","Open"))</f>
        <v/>
      </c>
    </row>
    <row r="4" ht="30" customHeight="1">
      <c r="A4" s="33" t="inlineStr">
        <is>
          <t>https://africanmarketingconfederation.org/launch-event-2026-amc-conference/</t>
        </is>
      </c>
      <c r="B4" s="24" t="n">
        <v>0</v>
      </c>
      <c r="C4" s="24" t="inlineStr">
        <is>
          <t>Needs Work</t>
        </is>
      </c>
      <c r="D4" s="24" t="n">
        <v>0</v>
      </c>
      <c r="E4" s="24" t="n">
        <v>0</v>
      </c>
      <c r="F4" s="24" t="n">
        <v>0</v>
      </c>
      <c r="G4" s="25" t="b">
        <v>0</v>
      </c>
      <c r="H4" s="25" t="b">
        <v>0</v>
      </c>
      <c r="I4" s="24" t="b">
        <v>0</v>
      </c>
      <c r="J4" s="24" t="b">
        <v>0</v>
      </c>
      <c r="K4" s="24" t="b">
        <v>0</v>
      </c>
      <c r="L4" s="4" t="b">
        <v>0</v>
      </c>
      <c r="M4" s="4" t="b">
        <v>0</v>
      </c>
      <c r="N4">
        <f>IFERROR(HYPERLINK("#Main!A"&amp;MATCH(A4,Main!A:A,0),"Open"),HYPERLINK("#Main!A1","Open"))</f>
        <v/>
      </c>
    </row>
    <row r="5" ht="30" customHeight="1">
      <c r="A5" s="33" t="inlineStr">
        <is>
          <t>https://africanmarketingconfederation.org/publications-2/</t>
        </is>
      </c>
      <c r="B5" s="6" t="n">
        <v>0</v>
      </c>
      <c r="C5" s="6" t="inlineStr">
        <is>
          <t>Needs Work</t>
        </is>
      </c>
      <c r="D5" s="6" t="n">
        <v>0</v>
      </c>
      <c r="E5" s="6" t="n">
        <v>0</v>
      </c>
      <c r="F5" s="6" t="n">
        <v>0</v>
      </c>
      <c r="G5" s="25" t="b">
        <v>0</v>
      </c>
      <c r="H5" s="25" t="b">
        <v>0</v>
      </c>
      <c r="I5" s="6" t="b">
        <v>0</v>
      </c>
      <c r="J5" s="6" t="b">
        <v>0</v>
      </c>
      <c r="K5" s="6" t="b">
        <v>0</v>
      </c>
      <c r="L5" s="4" t="b">
        <v>0</v>
      </c>
      <c r="M5" s="4" t="b">
        <v>0</v>
      </c>
      <c r="N5">
        <f>IFERROR(HYPERLINK("#Main!A"&amp;MATCH(A5,Main!A:A,0),"Open"),HYPERLINK("#Main!A1","Open"))</f>
        <v/>
      </c>
    </row>
    <row r="6" ht="30" customHeight="1">
      <c r="A6" s="33" t="inlineStr">
        <is>
          <t>https://africanmarketingconfederation.org/certified-professional-marketer-africa/</t>
        </is>
      </c>
      <c r="B6" s="24" t="n">
        <v>0</v>
      </c>
      <c r="C6" s="24" t="inlineStr">
        <is>
          <t>Needs Work</t>
        </is>
      </c>
      <c r="D6" s="24" t="n">
        <v>0</v>
      </c>
      <c r="E6" s="24" t="n">
        <v>0</v>
      </c>
      <c r="F6" s="24" t="n">
        <v>0</v>
      </c>
      <c r="G6" s="25" t="b">
        <v>0</v>
      </c>
      <c r="H6" s="25" t="b">
        <v>0</v>
      </c>
      <c r="I6" s="24" t="b">
        <v>0</v>
      </c>
      <c r="J6" s="24" t="b">
        <v>0</v>
      </c>
      <c r="K6" s="24" t="b">
        <v>0</v>
      </c>
      <c r="L6" s="4" t="b">
        <v>0</v>
      </c>
      <c r="M6" s="4" t="b">
        <v>0</v>
      </c>
      <c r="N6">
        <f>IFERROR(HYPERLINK("#Main!A"&amp;MATCH(A6,Main!A:A,0),"Open"),HYPERLINK("#Main!A1","Open"))</f>
        <v/>
      </c>
    </row>
    <row r="7" ht="30" customHeight="1">
      <c r="A7" s="33" t="inlineStr">
        <is>
          <t>https://africanmarketingconfederation.org/chartered-marketer-africa/</t>
        </is>
      </c>
      <c r="B7" s="6" t="n">
        <v>0</v>
      </c>
      <c r="C7" s="6" t="inlineStr">
        <is>
          <t>Needs Work</t>
        </is>
      </c>
      <c r="D7" s="6" t="n">
        <v>0</v>
      </c>
      <c r="E7" s="6" t="n">
        <v>0</v>
      </c>
      <c r="F7" s="6" t="n">
        <v>0</v>
      </c>
      <c r="G7" s="25" t="b">
        <v>0</v>
      </c>
      <c r="H7" s="25" t="b">
        <v>0</v>
      </c>
      <c r="I7" s="6" t="b">
        <v>0</v>
      </c>
      <c r="J7" s="6" t="b">
        <v>0</v>
      </c>
      <c r="K7" s="6" t="b">
        <v>0</v>
      </c>
      <c r="L7" s="4" t="b">
        <v>0</v>
      </c>
      <c r="M7" s="4" t="b">
        <v>0</v>
      </c>
      <c r="N7">
        <f>IFERROR(HYPERLINK("#Main!A"&amp;MATCH(A7,Main!A:A,0),"Open"),HYPERLINK("#Main!A1","Open"))</f>
        <v/>
      </c>
    </row>
    <row r="8" ht="30" customHeight="1">
      <c r="A8" s="33" t="inlineStr">
        <is>
          <t>https://africanmarketingconfederation.org/amc-conference-2026/</t>
        </is>
      </c>
      <c r="B8" s="24" t="n">
        <v>0</v>
      </c>
      <c r="C8" s="24" t="inlineStr">
        <is>
          <t>Needs Work</t>
        </is>
      </c>
      <c r="D8" s="24" t="n">
        <v>0</v>
      </c>
      <c r="E8" s="24" t="n">
        <v>0</v>
      </c>
      <c r="F8" s="24" t="n">
        <v>0</v>
      </c>
      <c r="G8" s="25" t="b">
        <v>0</v>
      </c>
      <c r="H8" s="25" t="b">
        <v>0</v>
      </c>
      <c r="I8" s="24" t="b">
        <v>0</v>
      </c>
      <c r="J8" s="24" t="b">
        <v>0</v>
      </c>
      <c r="K8" s="24" t="b">
        <v>0</v>
      </c>
      <c r="L8" s="4" t="b">
        <v>0</v>
      </c>
      <c r="M8" s="4" t="b">
        <v>0</v>
      </c>
      <c r="N8">
        <f>IFERROR(HYPERLINK("#Main!A"&amp;MATCH(A8,Main!A:A,0),"Open"),HYPERLINK("#Main!A1","Open"))</f>
        <v/>
      </c>
    </row>
    <row r="9" ht="30" customHeight="1">
      <c r="A9" s="33" t="inlineStr">
        <is>
          <t>https://africanmarketingconfederation.org/education/</t>
        </is>
      </c>
      <c r="B9" s="6" t="n">
        <v>0</v>
      </c>
      <c r="C9" s="6" t="inlineStr">
        <is>
          <t>Needs Work</t>
        </is>
      </c>
      <c r="D9" s="6" t="n">
        <v>0</v>
      </c>
      <c r="E9" s="6" t="n">
        <v>0</v>
      </c>
      <c r="F9" s="6" t="n">
        <v>0</v>
      </c>
      <c r="G9" s="25" t="b">
        <v>0</v>
      </c>
      <c r="H9" s="25" t="b">
        <v>0</v>
      </c>
      <c r="I9" s="6" t="b">
        <v>0</v>
      </c>
      <c r="J9" s="6" t="b">
        <v>0</v>
      </c>
      <c r="K9" s="6" t="b">
        <v>0</v>
      </c>
      <c r="L9" s="4" t="b">
        <v>0</v>
      </c>
      <c r="M9" s="4" t="b">
        <v>0</v>
      </c>
      <c r="N9">
        <f>IFERROR(HYPERLINK("#Main!A"&amp;MATCH(A9,Main!A:A,0),"Open"),HYPERLINK("#Main!A1","Open"))</f>
        <v/>
      </c>
    </row>
    <row r="10" ht="30" customHeight="1">
      <c r="A10" s="33" t="inlineStr">
        <is>
          <t>https://africanmarketingconfederation.org/awards-2026/</t>
        </is>
      </c>
      <c r="B10" s="24" t="n">
        <v>0</v>
      </c>
      <c r="C10" s="24" t="inlineStr">
        <is>
          <t>Needs Work</t>
        </is>
      </c>
      <c r="D10" s="24" t="n">
        <v>0</v>
      </c>
      <c r="E10" s="24" t="n">
        <v>0</v>
      </c>
      <c r="F10" s="24" t="n">
        <v>0</v>
      </c>
      <c r="G10" s="25" t="b">
        <v>0</v>
      </c>
      <c r="H10" s="25" t="b">
        <v>0</v>
      </c>
      <c r="I10" s="24" t="b">
        <v>0</v>
      </c>
      <c r="J10" s="24" t="b">
        <v>0</v>
      </c>
      <c r="K10" s="24" t="b">
        <v>0</v>
      </c>
      <c r="L10" s="4" t="b">
        <v>0</v>
      </c>
      <c r="M10" s="4" t="b">
        <v>0</v>
      </c>
      <c r="N10">
        <f>IFERROR(HYPERLINK("#Main!A"&amp;MATCH(A10,Main!A:A,0),"Open"),HYPERLINK("#Main!A1","Open"))</f>
        <v/>
      </c>
    </row>
    <row r="11" ht="30" customHeight="1">
      <c r="A11" s="33" t="inlineStr">
        <is>
          <t>https://africanmarketingconfederation.org/contact-us/</t>
        </is>
      </c>
      <c r="B11" s="6" t="n">
        <v>0</v>
      </c>
      <c r="C11" s="6" t="inlineStr">
        <is>
          <t>Needs Work</t>
        </is>
      </c>
      <c r="D11" s="6" t="n">
        <v>0</v>
      </c>
      <c r="E11" s="6" t="n">
        <v>0</v>
      </c>
      <c r="F11" s="6" t="n">
        <v>0</v>
      </c>
      <c r="G11" s="25" t="b">
        <v>0</v>
      </c>
      <c r="H11" s="25" t="b">
        <v>0</v>
      </c>
      <c r="I11" s="6" t="b">
        <v>0</v>
      </c>
      <c r="J11" s="6" t="b">
        <v>0</v>
      </c>
      <c r="K11" s="6" t="b">
        <v>0</v>
      </c>
      <c r="L11" s="4" t="b">
        <v>0</v>
      </c>
      <c r="M11" s="4" t="b">
        <v>0</v>
      </c>
      <c r="N11">
        <f>IFERROR(HYPERLINK("#Main!A"&amp;MATCH(A11,Main!A:A,0),"Open"),HYPERLINK("#Main!A1","Open"))</f>
        <v/>
      </c>
    </row>
    <row r="12" ht="30" customHeight="1">
      <c r="A12" s="33" t="inlineStr">
        <is>
          <t>https://africanmarketingconfederation.org/news-articles/</t>
        </is>
      </c>
      <c r="B12" s="24" t="n">
        <v>0</v>
      </c>
      <c r="C12" s="24" t="inlineStr">
        <is>
          <t>Needs Work</t>
        </is>
      </c>
      <c r="D12" s="24" t="n">
        <v>0</v>
      </c>
      <c r="E12" s="24" t="n">
        <v>0</v>
      </c>
      <c r="F12" s="24" t="n">
        <v>0</v>
      </c>
      <c r="G12" s="25" t="b">
        <v>0</v>
      </c>
      <c r="H12" s="25" t="b">
        <v>0</v>
      </c>
      <c r="I12" s="24" t="b">
        <v>0</v>
      </c>
      <c r="J12" s="24" t="b">
        <v>0</v>
      </c>
      <c r="K12" s="24" t="b">
        <v>0</v>
      </c>
      <c r="L12" s="4" t="b">
        <v>0</v>
      </c>
      <c r="M12" s="4" t="b">
        <v>0</v>
      </c>
      <c r="N12">
        <f>IFERROR(HYPERLINK("#Main!A"&amp;MATCH(A12,Main!A:A,0),"Open"),HYPERLINK("#Main!A1","Open"))</f>
        <v/>
      </c>
    </row>
    <row r="13" ht="30" customHeight="1">
      <c r="A13" s="33" t="inlineStr">
        <is>
          <t>https://africanmarketingconfederation.org/african-marketing-confederation-tourism-chapter/</t>
        </is>
      </c>
      <c r="B13" s="6" t="n">
        <v>0</v>
      </c>
      <c r="C13" s="6" t="inlineStr">
        <is>
          <t>Needs Work</t>
        </is>
      </c>
      <c r="D13" s="6" t="n">
        <v>0</v>
      </c>
      <c r="E13" s="6" t="n">
        <v>0</v>
      </c>
      <c r="F13" s="6" t="n">
        <v>0</v>
      </c>
      <c r="G13" s="25" t="b">
        <v>0</v>
      </c>
      <c r="H13" s="25" t="b">
        <v>0</v>
      </c>
      <c r="I13" s="6" t="b">
        <v>0</v>
      </c>
      <c r="J13" s="6" t="b">
        <v>0</v>
      </c>
      <c r="K13" s="6" t="b">
        <v>0</v>
      </c>
      <c r="L13" s="4" t="b">
        <v>0</v>
      </c>
      <c r="M13" s="4" t="b">
        <v>0</v>
      </c>
      <c r="N13">
        <f>IFERROR(HYPERLINK("#Main!A"&amp;MATCH(A13,Main!A:A,0),"Open"),HYPERLINK("#Main!A1","Open"))</f>
        <v/>
      </c>
    </row>
    <row r="14" ht="30" customHeight="1">
      <c r="A14" s="33" t="inlineStr">
        <is>
          <t>https://africanmarketingconfederation.org/sub-committees/</t>
        </is>
      </c>
      <c r="B14" s="24" t="n">
        <v>0</v>
      </c>
      <c r="C14" s="24" t="inlineStr">
        <is>
          <t>Needs Work</t>
        </is>
      </c>
      <c r="D14" s="24" t="n">
        <v>0</v>
      </c>
      <c r="E14" s="24" t="n">
        <v>0</v>
      </c>
      <c r="F14" s="24" t="n">
        <v>0</v>
      </c>
      <c r="G14" s="25" t="b">
        <v>0</v>
      </c>
      <c r="H14" s="25" t="b">
        <v>0</v>
      </c>
      <c r="I14" s="24" t="b">
        <v>0</v>
      </c>
      <c r="J14" s="24" t="b">
        <v>0</v>
      </c>
      <c r="K14" s="24" t="b">
        <v>0</v>
      </c>
      <c r="L14" s="4" t="b">
        <v>0</v>
      </c>
      <c r="M14" s="4" t="b">
        <v>0</v>
      </c>
      <c r="N14">
        <f>IFERROR(HYPERLINK("#Main!A"&amp;MATCH(A14,Main!A:A,0),"Open"),HYPERLINK("#Main!A1","Open"))</f>
        <v/>
      </c>
    </row>
    <row r="15" ht="30" customHeight="1">
      <c r="A15" s="33" t="inlineStr">
        <is>
          <t>https://africanmarketingconfederation.org/members/</t>
        </is>
      </c>
      <c r="B15" s="6" t="n">
        <v>0</v>
      </c>
      <c r="C15" s="6" t="inlineStr">
        <is>
          <t>Needs Work</t>
        </is>
      </c>
      <c r="D15" s="6" t="n">
        <v>0</v>
      </c>
      <c r="E15" s="6" t="n">
        <v>0</v>
      </c>
      <c r="F15" s="6" t="n">
        <v>0</v>
      </c>
      <c r="G15" s="25" t="b">
        <v>0</v>
      </c>
      <c r="H15" s="25" t="b">
        <v>0</v>
      </c>
      <c r="I15" s="6" t="b">
        <v>0</v>
      </c>
      <c r="J15" s="6" t="b">
        <v>0</v>
      </c>
      <c r="K15" s="6" t="b">
        <v>0</v>
      </c>
      <c r="L15" s="4" t="b">
        <v>0</v>
      </c>
      <c r="M15" s="4" t="b">
        <v>0</v>
      </c>
      <c r="N15">
        <f>IFERROR(HYPERLINK("#Main!A"&amp;MATCH(A15,Main!A:A,0),"Open"),HYPERLINK("#Main!A1","Open"))</f>
        <v/>
      </c>
    </row>
    <row r="16" ht="30" customHeight="1">
      <c r="A16" s="33" t="inlineStr">
        <is>
          <t>https://africanmarketingconfederation.org/about-us/</t>
        </is>
      </c>
      <c r="B16" s="24" t="n">
        <v>0</v>
      </c>
      <c r="C16" s="24" t="inlineStr">
        <is>
          <t>Needs Work</t>
        </is>
      </c>
      <c r="D16" s="24" t="n">
        <v>0</v>
      </c>
      <c r="E16" s="24" t="n">
        <v>0</v>
      </c>
      <c r="F16" s="24" t="n">
        <v>0</v>
      </c>
      <c r="G16" s="25" t="b">
        <v>0</v>
      </c>
      <c r="H16" s="25" t="b">
        <v>0</v>
      </c>
      <c r="I16" s="24" t="b">
        <v>0</v>
      </c>
      <c r="J16" s="24" t="b">
        <v>0</v>
      </c>
      <c r="K16" s="24" t="b">
        <v>0</v>
      </c>
      <c r="L16" s="4" t="b">
        <v>0</v>
      </c>
      <c r="M16" s="4" t="b">
        <v>0</v>
      </c>
      <c r="N16">
        <f>IFERROR(HYPERLINK("#Main!A"&amp;MATCH(A16,Main!A:A,0),"Open"),HYPERLINK("#Main!A1","Open"))</f>
        <v/>
      </c>
    </row>
    <row r="17" ht="30" customHeight="1">
      <c r="A17" s="33" t="inlineStr">
        <is>
          <t>https://africanmarketingconfederation.org/awards-2026-1/</t>
        </is>
      </c>
      <c r="B17" s="6" t="n">
        <v>0</v>
      </c>
      <c r="C17" s="6" t="inlineStr">
        <is>
          <t>Needs Work</t>
        </is>
      </c>
      <c r="D17" s="6" t="n">
        <v>0</v>
      </c>
      <c r="E17" s="6" t="n">
        <v>0</v>
      </c>
      <c r="F17" s="6" t="n">
        <v>0</v>
      </c>
      <c r="G17" s="25" t="b">
        <v>0</v>
      </c>
      <c r="H17" s="25" t="b">
        <v>0</v>
      </c>
      <c r="I17" s="6" t="b">
        <v>0</v>
      </c>
      <c r="J17" s="6" t="b">
        <v>0</v>
      </c>
      <c r="K17" s="6" t="b">
        <v>0</v>
      </c>
      <c r="L17" s="4" t="b">
        <v>0</v>
      </c>
      <c r="M17" s="4" t="b">
        <v>0</v>
      </c>
      <c r="N17">
        <f>IFERROR(HYPERLINK("#Main!A"&amp;MATCH(A17,Main!A:A,0),"Open"),HYPERLINK("#Main!A1","Open"))</f>
        <v/>
      </c>
    </row>
    <row r="18" ht="30" customHeight="1">
      <c r="A18" s="33" t="inlineStr">
        <is>
          <t>https://africanmarketingconfederation.org/awards-2026-test/</t>
        </is>
      </c>
      <c r="B18" s="24" t="n">
        <v>0</v>
      </c>
      <c r="C18" s="24" t="inlineStr">
        <is>
          <t>Needs Work</t>
        </is>
      </c>
      <c r="D18" s="24" t="n">
        <v>0</v>
      </c>
      <c r="E18" s="24" t="n">
        <v>0</v>
      </c>
      <c r="F18" s="24" t="n">
        <v>0</v>
      </c>
      <c r="G18" s="25" t="b">
        <v>0</v>
      </c>
      <c r="H18" s="25" t="b">
        <v>0</v>
      </c>
      <c r="I18" s="24" t="b">
        <v>0</v>
      </c>
      <c r="J18" s="24" t="b">
        <v>0</v>
      </c>
      <c r="K18" s="24" t="b">
        <v>0</v>
      </c>
      <c r="L18" s="4" t="b">
        <v>0</v>
      </c>
      <c r="M18" s="4" t="b">
        <v>0</v>
      </c>
      <c r="N18">
        <f>IFERROR(HYPERLINK("#Main!A"&amp;MATCH(A18,Main!A:A,0),"Open"),HYPERLINK("#Main!A1","Open"))</f>
        <v/>
      </c>
    </row>
    <row r="19" ht="30" customHeight="1">
      <c r="A19" s="33" t="inlineStr">
        <is>
          <t>https://africanmarketingconfederation.org/amc-conference-2026-awards-nominations-thank-you/</t>
        </is>
      </c>
      <c r="B19" s="6" t="n">
        <v>0</v>
      </c>
      <c r="C19" s="6" t="inlineStr">
        <is>
          <t>Needs Work</t>
        </is>
      </c>
      <c r="D19" s="6" t="n">
        <v>0</v>
      </c>
      <c r="E19" s="6" t="n">
        <v>0</v>
      </c>
      <c r="F19" s="6" t="n">
        <v>0</v>
      </c>
      <c r="G19" s="25" t="b">
        <v>0</v>
      </c>
      <c r="H19" s="25" t="b">
        <v>0</v>
      </c>
      <c r="I19" s="6" t="b">
        <v>0</v>
      </c>
      <c r="J19" s="6" t="b">
        <v>0</v>
      </c>
      <c r="K19" s="6" t="b">
        <v>0</v>
      </c>
      <c r="L19" s="4" t="b">
        <v>0</v>
      </c>
      <c r="M19" s="4" t="b">
        <v>0</v>
      </c>
      <c r="N19">
        <f>IFERROR(HYPERLINK("#Main!A"&amp;MATCH(A19,Main!A:A,0),"Open"),HYPERLINK("#Main!A1","Open"))</f>
        <v/>
      </c>
    </row>
    <row r="20" ht="30" customHeight="1">
      <c r="A20" s="33" t="inlineStr">
        <is>
          <t>https://africanmarketingconfederation.org/speakers-2025/</t>
        </is>
      </c>
      <c r="B20" s="24" t="n">
        <v>0</v>
      </c>
      <c r="C20" s="24" t="inlineStr">
        <is>
          <t>Needs Work</t>
        </is>
      </c>
      <c r="D20" s="24" t="n">
        <v>0</v>
      </c>
      <c r="E20" s="24" t="n">
        <v>0</v>
      </c>
      <c r="F20" s="24" t="n">
        <v>0</v>
      </c>
      <c r="G20" s="25" t="b">
        <v>0</v>
      </c>
      <c r="H20" s="25" t="b">
        <v>0</v>
      </c>
      <c r="I20" s="24" t="b">
        <v>0</v>
      </c>
      <c r="J20" s="24" t="b">
        <v>0</v>
      </c>
      <c r="K20" s="24" t="b">
        <v>0</v>
      </c>
      <c r="L20" s="4" t="b">
        <v>0</v>
      </c>
      <c r="M20" s="4" t="b">
        <v>0</v>
      </c>
      <c r="N20">
        <f>IFERROR(HYPERLINK("#Main!A"&amp;MATCH(A20,Main!A:A,0),"Open"),HYPERLINK("#Main!A1","Open"))</f>
        <v/>
      </c>
    </row>
    <row r="21" ht="30" customHeight="1">
      <c r="A21" s="33" t="inlineStr">
        <is>
          <t>https://africanmarketingconfederation.org/amc-conference-2026-zambia-thank-you/</t>
        </is>
      </c>
      <c r="B21" s="6" t="n">
        <v>0</v>
      </c>
      <c r="C21" s="6" t="inlineStr">
        <is>
          <t>Needs Work</t>
        </is>
      </c>
      <c r="D21" s="6" t="n">
        <v>0</v>
      </c>
      <c r="E21" s="6" t="n">
        <v>0</v>
      </c>
      <c r="F21" s="6" t="n">
        <v>0</v>
      </c>
      <c r="G21" s="25" t="b">
        <v>0</v>
      </c>
      <c r="H21" s="25" t="b">
        <v>0</v>
      </c>
      <c r="I21" s="6" t="b">
        <v>0</v>
      </c>
      <c r="J21" s="6" t="b">
        <v>0</v>
      </c>
      <c r="K21" s="6" t="b">
        <v>0</v>
      </c>
      <c r="L21" s="4" t="b">
        <v>0</v>
      </c>
      <c r="M21" s="4" t="b">
        <v>0</v>
      </c>
      <c r="N21">
        <f>IFERROR(HYPERLINK("#Main!A"&amp;MATCH(A21,Main!A:A,0),"Open"),HYPERLINK("#Main!A1","Open"))</f>
        <v/>
      </c>
    </row>
    <row r="22" ht="30" customHeight="1">
      <c r="A22" s="33" t="inlineStr">
        <is>
          <t>https://africanmarketingconfederation.org/amc-launch-event-zambia-thank-you-2026/</t>
        </is>
      </c>
      <c r="B22" s="24" t="n">
        <v>0</v>
      </c>
      <c r="C22" s="24" t="inlineStr">
        <is>
          <t>Needs Work</t>
        </is>
      </c>
      <c r="D22" s="24" t="n">
        <v>0</v>
      </c>
      <c r="E22" s="24" t="n">
        <v>0</v>
      </c>
      <c r="F22" s="24" t="n">
        <v>0</v>
      </c>
      <c r="G22" s="25" t="b">
        <v>0</v>
      </c>
      <c r="H22" s="25" t="b">
        <v>0</v>
      </c>
      <c r="I22" s="24" t="b">
        <v>0</v>
      </c>
      <c r="J22" s="24" t="b">
        <v>0</v>
      </c>
      <c r="K22" s="24" t="b">
        <v>0</v>
      </c>
      <c r="L22" s="4" t="b">
        <v>0</v>
      </c>
      <c r="M22" s="4" t="b">
        <v>0</v>
      </c>
      <c r="N22">
        <f>IFERROR(HYPERLINK("#Main!A"&amp;MATCH(A22,Main!A:A,0),"Open"),HYPERLINK("#Main!A1","Open"))</f>
        <v/>
      </c>
    </row>
    <row r="23" ht="30" customHeight="1">
      <c r="A23" s="33" t="inlineStr">
        <is>
          <t>https://africanmarketingconfederation.org/amc-marketing-conference-2024/awards-2025/</t>
        </is>
      </c>
      <c r="B23" s="6" t="n">
        <v>0</v>
      </c>
      <c r="C23" s="6" t="inlineStr">
        <is>
          <t>Needs Work</t>
        </is>
      </c>
      <c r="D23" s="6" t="n">
        <v>0</v>
      </c>
      <c r="E23" s="6" t="n">
        <v>0</v>
      </c>
      <c r="F23" s="6" t="n">
        <v>0</v>
      </c>
      <c r="G23" s="25" t="b">
        <v>0</v>
      </c>
      <c r="H23" s="25" t="b">
        <v>0</v>
      </c>
      <c r="I23" s="6" t="b">
        <v>0</v>
      </c>
      <c r="J23" s="6" t="b">
        <v>0</v>
      </c>
      <c r="K23" s="6" t="b">
        <v>0</v>
      </c>
      <c r="L23" s="4" t="b">
        <v>0</v>
      </c>
      <c r="M23" s="4" t="b">
        <v>0</v>
      </c>
      <c r="N23">
        <f>IFERROR(HYPERLINK("#Main!A"&amp;MATCH(A23,Main!A:A,0),"Open"),HYPERLINK("#Main!A1","Open"))</f>
        <v/>
      </c>
    </row>
    <row r="24" ht="30" customHeight="1">
      <c r="A24" s="33" t="inlineStr">
        <is>
          <t>https://africanmarketingconfederation.org/amc-conference-2025-highlights/</t>
        </is>
      </c>
      <c r="B24" s="24" t="n">
        <v>0</v>
      </c>
      <c r="C24" s="24" t="inlineStr">
        <is>
          <t>Needs Work</t>
        </is>
      </c>
      <c r="D24" s="24" t="n">
        <v>0</v>
      </c>
      <c r="E24" s="24" t="n">
        <v>0</v>
      </c>
      <c r="F24" s="24" t="n">
        <v>0</v>
      </c>
      <c r="G24" s="25" t="b">
        <v>0</v>
      </c>
      <c r="H24" s="25" t="b">
        <v>0</v>
      </c>
      <c r="I24" s="24" t="b">
        <v>0</v>
      </c>
      <c r="J24" s="24" t="b">
        <v>0</v>
      </c>
      <c r="K24" s="24" t="b">
        <v>0</v>
      </c>
      <c r="L24" s="4" t="b">
        <v>0</v>
      </c>
      <c r="M24" s="4" t="b">
        <v>0</v>
      </c>
      <c r="N24">
        <f>IFERROR(HYPERLINK("#Main!A"&amp;MATCH(A24,Main!A:A,0),"Open"),HYPERLINK("#Main!A1","Open"))</f>
        <v/>
      </c>
    </row>
    <row r="25" ht="30" customHeight="1">
      <c r="A25" s="33" t="inlineStr">
        <is>
          <t>https://africanmarketingconfederation.org/amc-conference-2022/</t>
        </is>
      </c>
      <c r="B25" s="6" t="n">
        <v>0</v>
      </c>
      <c r="C25" s="6" t="inlineStr">
        <is>
          <t>Needs Work</t>
        </is>
      </c>
      <c r="D25" s="6" t="n">
        <v>0</v>
      </c>
      <c r="E25" s="6" t="n">
        <v>0</v>
      </c>
      <c r="F25" s="6" t="n">
        <v>0</v>
      </c>
      <c r="G25" s="25" t="b">
        <v>0</v>
      </c>
      <c r="H25" s="25" t="b">
        <v>0</v>
      </c>
      <c r="I25" s="6" t="b">
        <v>0</v>
      </c>
      <c r="J25" s="6" t="b">
        <v>0</v>
      </c>
      <c r="K25" s="6" t="b">
        <v>0</v>
      </c>
      <c r="L25" s="4" t="b">
        <v>0</v>
      </c>
      <c r="M25" s="4" t="b">
        <v>0</v>
      </c>
      <c r="N25">
        <f>IFERROR(HYPERLINK("#Main!A"&amp;MATCH(A25,Main!A:A,0),"Open"),HYPERLINK("#Main!A1","Open"))</f>
        <v/>
      </c>
    </row>
    <row r="26" ht="30" customHeight="1">
      <c r="A26" s="33" t="inlineStr">
        <is>
          <t>https://africanmarketingconfederation.org/amc-conference-2023/gallery/</t>
        </is>
      </c>
      <c r="B26" s="24" t="n">
        <v>0</v>
      </c>
      <c r="C26" s="24" t="inlineStr">
        <is>
          <t>Needs Work</t>
        </is>
      </c>
      <c r="D26" s="24" t="n">
        <v>0</v>
      </c>
      <c r="E26" s="24" t="n">
        <v>0</v>
      </c>
      <c r="F26" s="24" t="n">
        <v>0</v>
      </c>
      <c r="G26" s="25" t="b">
        <v>0</v>
      </c>
      <c r="H26" s="25" t="b">
        <v>0</v>
      </c>
      <c r="I26" s="24" t="b">
        <v>0</v>
      </c>
      <c r="J26" s="24" t="b">
        <v>0</v>
      </c>
      <c r="K26" s="24" t="b">
        <v>0</v>
      </c>
      <c r="L26" s="4" t="b">
        <v>0</v>
      </c>
      <c r="M26" s="4" t="b">
        <v>0</v>
      </c>
      <c r="N26">
        <f>IFERROR(HYPERLINK("#Main!A"&amp;MATCH(A26,Main!A:A,0),"Open"),HYPERLINK("#Main!A1","Open"))</f>
        <v/>
      </c>
    </row>
    <row r="27" ht="30" customHeight="1">
      <c r="A27" s="33" t="inlineStr">
        <is>
          <t>https://africanmarketingconfederation.org/conference-registrations-2024/</t>
        </is>
      </c>
      <c r="B27" s="6" t="n">
        <v>0</v>
      </c>
      <c r="C27" s="6" t="inlineStr">
        <is>
          <t>Needs Work</t>
        </is>
      </c>
      <c r="D27" s="6" t="n">
        <v>0</v>
      </c>
      <c r="E27" s="6" t="n">
        <v>0</v>
      </c>
      <c r="F27" s="6" t="n">
        <v>0</v>
      </c>
      <c r="G27" s="25" t="b">
        <v>0</v>
      </c>
      <c r="H27" s="25" t="b">
        <v>0</v>
      </c>
      <c r="I27" s="6" t="b">
        <v>0</v>
      </c>
      <c r="J27" s="6" t="b">
        <v>0</v>
      </c>
      <c r="K27" s="6" t="b">
        <v>0</v>
      </c>
      <c r="L27" s="4" t="b">
        <v>0</v>
      </c>
      <c r="M27" s="4" t="b">
        <v>0</v>
      </c>
      <c r="N27">
        <f>IFERROR(HYPERLINK("#Main!A"&amp;MATCH(A27,Main!A:A,0),"Open"),HYPERLINK("#Main!A1","Open"))</f>
        <v/>
      </c>
    </row>
    <row r="28" ht="30" customHeight="1">
      <c r="A28" s="33" t="inlineStr">
        <is>
          <t>https://africanmarketingconfederation.org/elementor-31820/</t>
        </is>
      </c>
      <c r="B28" s="24" t="n">
        <v>0</v>
      </c>
      <c r="C28" s="24" t="inlineStr">
        <is>
          <t>Needs Work</t>
        </is>
      </c>
      <c r="D28" s="24" t="n">
        <v>0</v>
      </c>
      <c r="E28" s="24" t="n">
        <v>0</v>
      </c>
      <c r="F28" s="24" t="n">
        <v>0</v>
      </c>
      <c r="G28" s="25" t="b">
        <v>0</v>
      </c>
      <c r="H28" s="25" t="b">
        <v>0</v>
      </c>
      <c r="I28" s="24" t="b">
        <v>0</v>
      </c>
      <c r="J28" s="24" t="b">
        <v>0</v>
      </c>
      <c r="K28" s="24" t="b">
        <v>0</v>
      </c>
      <c r="L28" s="4" t="b">
        <v>0</v>
      </c>
      <c r="M28" s="4" t="b">
        <v>0</v>
      </c>
      <c r="N28">
        <f>IFERROR(HYPERLINK("#Main!A"&amp;MATCH(A28,Main!A:A,0),"Open"),HYPERLINK("#Main!A1","Open"))</f>
        <v/>
      </c>
    </row>
    <row r="29" ht="30" customHeight="1">
      <c r="A29" s="33" t="inlineStr">
        <is>
          <t>https://africanmarketingconfederation.org/amc-conference-2024-recap/</t>
        </is>
      </c>
      <c r="B29" s="6" t="n">
        <v>0</v>
      </c>
      <c r="C29" s="6" t="inlineStr">
        <is>
          <t>Needs Work</t>
        </is>
      </c>
      <c r="D29" s="6" t="n">
        <v>0</v>
      </c>
      <c r="E29" s="6" t="n">
        <v>0</v>
      </c>
      <c r="F29" s="6" t="n">
        <v>0</v>
      </c>
      <c r="G29" s="25" t="b">
        <v>0</v>
      </c>
      <c r="H29" s="25" t="b">
        <v>0</v>
      </c>
      <c r="I29" s="6" t="b">
        <v>0</v>
      </c>
      <c r="J29" s="6" t="b">
        <v>0</v>
      </c>
      <c r="K29" s="6" t="b">
        <v>0</v>
      </c>
      <c r="L29" s="4" t="b">
        <v>0</v>
      </c>
      <c r="M29" s="4" t="b">
        <v>0</v>
      </c>
      <c r="N29">
        <f>IFERROR(HYPERLINK("#Main!A"&amp;MATCH(A29,Main!A:A,0),"Open"),HYPERLINK("#Main!A1","Open"))</f>
        <v/>
      </c>
    </row>
    <row r="30" ht="30" customHeight="1">
      <c r="A30" s="33" t="inlineStr">
        <is>
          <t>https://africanmarketingconfederation.org/amc-marketing-conference-2024/amc-programme-2025/</t>
        </is>
      </c>
      <c r="B30" s="24" t="n">
        <v>0</v>
      </c>
      <c r="C30" s="24" t="inlineStr">
        <is>
          <t>Needs Work</t>
        </is>
      </c>
      <c r="D30" s="24" t="n">
        <v>0</v>
      </c>
      <c r="E30" s="24" t="n">
        <v>0</v>
      </c>
      <c r="F30" s="24" t="n">
        <v>0</v>
      </c>
      <c r="G30" s="25" t="b">
        <v>0</v>
      </c>
      <c r="H30" s="25" t="b">
        <v>0</v>
      </c>
      <c r="I30" s="24" t="b">
        <v>0</v>
      </c>
      <c r="J30" s="24" t="b">
        <v>0</v>
      </c>
      <c r="K30" s="24" t="b">
        <v>0</v>
      </c>
      <c r="L30" s="4" t="b">
        <v>0</v>
      </c>
      <c r="M30" s="4" t="b">
        <v>0</v>
      </c>
      <c r="N30">
        <f>IFERROR(HYPERLINK("#Main!A"&amp;MATCH(A30,Main!A:A,0),"Open"),HYPERLINK("#Main!A1","Open"))</f>
        <v/>
      </c>
    </row>
    <row r="31" ht="30" customHeight="1">
      <c r="A31" s="33" t="inlineStr">
        <is>
          <t>https://africanmarketingconfederation.org/amc-conference-2025/</t>
        </is>
      </c>
      <c r="B31" s="6" t="n">
        <v>0</v>
      </c>
      <c r="C31" s="6" t="inlineStr">
        <is>
          <t>Needs Work</t>
        </is>
      </c>
      <c r="D31" s="6" t="n">
        <v>0</v>
      </c>
      <c r="E31" s="6" t="n">
        <v>0</v>
      </c>
      <c r="F31" s="6" t="n">
        <v>0</v>
      </c>
      <c r="G31" s="25" t="b">
        <v>0</v>
      </c>
      <c r="H31" s="25" t="b">
        <v>0</v>
      </c>
      <c r="I31" s="6" t="b">
        <v>0</v>
      </c>
      <c r="J31" s="6" t="b">
        <v>0</v>
      </c>
      <c r="K31" s="6" t="b">
        <v>0</v>
      </c>
      <c r="L31" s="4" t="b">
        <v>0</v>
      </c>
      <c r="M31" s="4" t="b">
        <v>0</v>
      </c>
      <c r="N31">
        <f>IFERROR(HYPERLINK("#Main!A"&amp;MATCH(A31,Main!A:A,0),"Open"),HYPERLINK("#Main!A1","Open"))</f>
        <v/>
      </c>
    </row>
    <row r="32" ht="30" customHeight="1">
      <c r="A32" s="33" t="inlineStr">
        <is>
          <t>https://africanmarketingconfederation.org/amc-sponsors-2025/</t>
        </is>
      </c>
      <c r="B32" s="24" t="n">
        <v>0</v>
      </c>
      <c r="C32" s="24" t="inlineStr">
        <is>
          <t>Needs Work</t>
        </is>
      </c>
      <c r="D32" s="24" t="n">
        <v>0</v>
      </c>
      <c r="E32" s="24" t="n">
        <v>0</v>
      </c>
      <c r="F32" s="24" t="n">
        <v>0</v>
      </c>
      <c r="G32" s="25" t="b">
        <v>0</v>
      </c>
      <c r="H32" s="25" t="b">
        <v>0</v>
      </c>
      <c r="I32" s="24" t="b">
        <v>0</v>
      </c>
      <c r="J32" s="24" t="b">
        <v>0</v>
      </c>
      <c r="K32" s="24" t="b">
        <v>0</v>
      </c>
      <c r="L32" s="4" t="b">
        <v>0</v>
      </c>
      <c r="M32" s="4" t="b">
        <v>0</v>
      </c>
      <c r="N32">
        <f>IFERROR(HYPERLINK("#Main!A"&amp;MATCH(A32,Main!A:A,0),"Open"),HYPERLINK("#Main!A1","Open"))</f>
        <v/>
      </c>
    </row>
    <row r="33" ht="30" customHeight="1">
      <c r="A33" s="33" t="inlineStr">
        <is>
          <t>https://africanmarketingconfederation.org/amc-conference-2022-prospectus/</t>
        </is>
      </c>
      <c r="B33" s="6" t="n">
        <v>0</v>
      </c>
      <c r="C33" s="6" t="inlineStr">
        <is>
          <t>Needs Work</t>
        </is>
      </c>
      <c r="D33" s="6" t="n">
        <v>0</v>
      </c>
      <c r="E33" s="6" t="n">
        <v>0</v>
      </c>
      <c r="F33" s="6" t="n">
        <v>0</v>
      </c>
      <c r="G33" s="25" t="b">
        <v>0</v>
      </c>
      <c r="H33" s="25" t="b">
        <v>0</v>
      </c>
      <c r="I33" s="6" t="b">
        <v>0</v>
      </c>
      <c r="J33" s="6" t="b">
        <v>0</v>
      </c>
      <c r="K33" s="6" t="b">
        <v>0</v>
      </c>
      <c r="L33" s="4" t="b">
        <v>0</v>
      </c>
      <c r="M33" s="4" t="b">
        <v>0</v>
      </c>
      <c r="N33">
        <f>IFERROR(HYPERLINK("#Main!A"&amp;MATCH(A33,Main!A:A,0),"Open"),HYPERLINK("#Main!A1","Open"))</f>
        <v/>
      </c>
    </row>
    <row r="34" ht="30" customHeight="1">
      <c r="A34" s="33" t="inlineStr">
        <is>
          <t>https://africanmarketingconfederation.org/test-payment-gate/</t>
        </is>
      </c>
      <c r="B34" s="24" t="n">
        <v>0</v>
      </c>
      <c r="C34" s="24" t="inlineStr">
        <is>
          <t>Needs Work</t>
        </is>
      </c>
      <c r="D34" s="24" t="n">
        <v>0</v>
      </c>
      <c r="E34" s="24" t="n">
        <v>0</v>
      </c>
      <c r="F34" s="24" t="n">
        <v>0</v>
      </c>
      <c r="G34" s="25" t="b">
        <v>0</v>
      </c>
      <c r="H34" s="25" t="b">
        <v>0</v>
      </c>
      <c r="I34" s="24" t="b">
        <v>0</v>
      </c>
      <c r="J34" s="24" t="b">
        <v>0</v>
      </c>
      <c r="K34" s="24" t="b">
        <v>0</v>
      </c>
      <c r="L34" s="4" t="b">
        <v>0</v>
      </c>
      <c r="M34" s="4" t="b">
        <v>0</v>
      </c>
      <c r="N34">
        <f>IFERROR(HYPERLINK("#Main!A"&amp;MATCH(A34,Main!A:A,0),"Open"),HYPERLINK("#Main!A1","Open"))</f>
        <v/>
      </c>
    </row>
    <row r="35" ht="30" customHeight="1">
      <c r="A35" s="33" t="inlineStr">
        <is>
          <t>https://africanmarketingconfederation.org/amc-marketing-conference-2024/amc-preregister-2025/</t>
        </is>
      </c>
      <c r="B35" s="6" t="n">
        <v>0</v>
      </c>
      <c r="C35" s="6" t="inlineStr">
        <is>
          <t>Needs Work</t>
        </is>
      </c>
      <c r="D35" s="6" t="n">
        <v>0</v>
      </c>
      <c r="E35" s="6" t="n">
        <v>0</v>
      </c>
      <c r="F35" s="6" t="n">
        <v>0</v>
      </c>
      <c r="G35" s="25" t="b">
        <v>0</v>
      </c>
      <c r="H35" s="25" t="b">
        <v>0</v>
      </c>
      <c r="I35" s="6" t="b">
        <v>0</v>
      </c>
      <c r="J35" s="6" t="b">
        <v>0</v>
      </c>
      <c r="K35" s="6" t="b">
        <v>0</v>
      </c>
      <c r="L35" s="4" t="b">
        <v>0</v>
      </c>
      <c r="M35" s="4" t="b">
        <v>0</v>
      </c>
      <c r="N35">
        <f>IFERROR(HYPERLINK("#Main!A"&amp;MATCH(A35,Main!A:A,0),"Open"),HYPERLINK("#Main!A1","Open"))</f>
        <v/>
      </c>
    </row>
    <row r="36" ht="30" customHeight="1">
      <c r="A36" s="33" t="inlineStr">
        <is>
          <t>https://africanmarketingconfederation.org/conference-faq-2025/</t>
        </is>
      </c>
      <c r="B36" s="24" t="n">
        <v>0</v>
      </c>
      <c r="C36" s="24" t="inlineStr">
        <is>
          <t>Needs Work</t>
        </is>
      </c>
      <c r="D36" s="24" t="n">
        <v>0</v>
      </c>
      <c r="E36" s="24" t="n">
        <v>0</v>
      </c>
      <c r="F36" s="24" t="n">
        <v>0</v>
      </c>
      <c r="G36" s="25" t="b">
        <v>0</v>
      </c>
      <c r="H36" s="25" t="b">
        <v>0</v>
      </c>
      <c r="I36" s="24" t="b">
        <v>0</v>
      </c>
      <c r="J36" s="24" t="b">
        <v>0</v>
      </c>
      <c r="K36" s="24" t="b">
        <v>0</v>
      </c>
      <c r="L36" s="4" t="b">
        <v>0</v>
      </c>
      <c r="M36" s="4" t="b">
        <v>0</v>
      </c>
      <c r="N36">
        <f>IFERROR(HYPERLINK("#Main!A"&amp;MATCH(A36,Main!A:A,0),"Open"),HYPERLINK("#Main!A1","Open"))</f>
        <v/>
      </c>
    </row>
    <row r="37" ht="45" customHeight="1">
      <c r="A37" s="33" t="inlineStr">
        <is>
          <t>https://africanmarketingconfederation.org/amc-marketing-conference-2024/amc-conference-2025-ghana-sponsors/</t>
        </is>
      </c>
      <c r="B37" s="6" t="n">
        <v>0</v>
      </c>
      <c r="C37" s="6" t="inlineStr">
        <is>
          <t>Needs Work</t>
        </is>
      </c>
      <c r="D37" s="6" t="n">
        <v>0</v>
      </c>
      <c r="E37" s="6" t="n">
        <v>0</v>
      </c>
      <c r="F37" s="6" t="n">
        <v>0</v>
      </c>
      <c r="G37" s="25" t="b">
        <v>0</v>
      </c>
      <c r="H37" s="25" t="b">
        <v>0</v>
      </c>
      <c r="I37" s="6" t="b">
        <v>0</v>
      </c>
      <c r="J37" s="6" t="b">
        <v>0</v>
      </c>
      <c r="K37" s="6" t="b">
        <v>0</v>
      </c>
      <c r="L37" s="4" t="b">
        <v>0</v>
      </c>
      <c r="M37" s="4" t="b">
        <v>0</v>
      </c>
      <c r="N37">
        <f>IFERROR(HYPERLINK("#Main!A"&amp;MATCH(A37,Main!A:A,0),"Open"),HYPERLINK("#Main!A1","Open"))</f>
        <v/>
      </c>
    </row>
    <row r="38" ht="30" customHeight="1">
      <c r="A38" s="33" t="inlineStr">
        <is>
          <t>https://africanmarketingconfederation.org/amc-forum-payments/</t>
        </is>
      </c>
      <c r="B38" s="24" t="n">
        <v>0</v>
      </c>
      <c r="C38" s="24" t="inlineStr">
        <is>
          <t>Needs Work</t>
        </is>
      </c>
      <c r="D38" s="24" t="n">
        <v>0</v>
      </c>
      <c r="E38" s="24" t="n">
        <v>0</v>
      </c>
      <c r="F38" s="24" t="n">
        <v>0</v>
      </c>
      <c r="G38" s="25" t="b">
        <v>0</v>
      </c>
      <c r="H38" s="25" t="b">
        <v>0</v>
      </c>
      <c r="I38" s="24" t="b">
        <v>0</v>
      </c>
      <c r="J38" s="24" t="b">
        <v>0</v>
      </c>
      <c r="K38" s="24" t="b">
        <v>0</v>
      </c>
      <c r="L38" s="4" t="b">
        <v>0</v>
      </c>
      <c r="M38" s="4" t="b">
        <v>0</v>
      </c>
      <c r="N38">
        <f>IFERROR(HYPERLINK("#Main!A"&amp;MATCH(A38,Main!A:A,0),"Open"),HYPERLINK("#Main!A1","Open"))</f>
        <v/>
      </c>
    </row>
    <row r="39" ht="30" customHeight="1">
      <c r="A39" s="33" t="inlineStr">
        <is>
          <t>https://africanmarketingconfederation.org/amc-marketing-conference-2024/amc-launch-event-2025/</t>
        </is>
      </c>
      <c r="B39" s="6" t="n">
        <v>0</v>
      </c>
      <c r="C39" s="6" t="inlineStr">
        <is>
          <t>Needs Work</t>
        </is>
      </c>
      <c r="D39" s="6" t="n">
        <v>0</v>
      </c>
      <c r="E39" s="6" t="n">
        <v>0</v>
      </c>
      <c r="F39" s="6" t="n">
        <v>0</v>
      </c>
      <c r="G39" s="25" t="b">
        <v>0</v>
      </c>
      <c r="H39" s="25" t="b">
        <v>0</v>
      </c>
      <c r="I39" s="6" t="b">
        <v>0</v>
      </c>
      <c r="J39" s="6" t="b">
        <v>0</v>
      </c>
      <c r="K39" s="6" t="b">
        <v>0</v>
      </c>
      <c r="L39" s="4" t="b">
        <v>0</v>
      </c>
      <c r="M39" s="4" t="b">
        <v>0</v>
      </c>
      <c r="N39">
        <f>IFERROR(HYPERLINK("#Main!A"&amp;MATCH(A39,Main!A:A,0),"Open"),HYPERLINK("#Main!A1","Open"))</f>
        <v/>
      </c>
    </row>
    <row r="40" ht="30" customHeight="1">
      <c r="A40" s="33" t="inlineStr">
        <is>
          <t>https://africanmarketingconfederation.org/checkout/</t>
        </is>
      </c>
      <c r="B40" s="24" t="n">
        <v>0</v>
      </c>
      <c r="C40" s="24" t="inlineStr">
        <is>
          <t>Needs Work</t>
        </is>
      </c>
      <c r="D40" s="24" t="n">
        <v>0</v>
      </c>
      <c r="E40" s="24" t="n">
        <v>0</v>
      </c>
      <c r="F40" s="24" t="n">
        <v>0</v>
      </c>
      <c r="G40" s="25" t="b">
        <v>0</v>
      </c>
      <c r="H40" s="25" t="b">
        <v>0</v>
      </c>
      <c r="I40" s="24" t="b">
        <v>0</v>
      </c>
      <c r="J40" s="24" t="b">
        <v>0</v>
      </c>
      <c r="K40" s="24" t="b">
        <v>0</v>
      </c>
      <c r="L40" s="4" t="b">
        <v>0</v>
      </c>
      <c r="M40" s="4" t="b">
        <v>0</v>
      </c>
      <c r="N40">
        <f>IFERROR(HYPERLINK("#Main!A"&amp;MATCH(A40,Main!A:A,0),"Open"),HYPERLINK("#Main!A1","Open"))</f>
        <v/>
      </c>
    </row>
    <row r="41" ht="30" customHeight="1">
      <c r="A41" s="33" t="inlineStr">
        <is>
          <t>https://africanmarketingconfederation.org/amc-awards-2024/</t>
        </is>
      </c>
      <c r="B41" s="6" t="n">
        <v>0</v>
      </c>
      <c r="C41" s="6" t="inlineStr">
        <is>
          <t>Needs Work</t>
        </is>
      </c>
      <c r="D41" s="6" t="n">
        <v>0</v>
      </c>
      <c r="E41" s="6" t="n">
        <v>0</v>
      </c>
      <c r="F41" s="6" t="n">
        <v>0</v>
      </c>
      <c r="G41" s="25" t="b">
        <v>0</v>
      </c>
      <c r="H41" s="25" t="b">
        <v>0</v>
      </c>
      <c r="I41" s="6" t="b">
        <v>0</v>
      </c>
      <c r="J41" s="6" t="b">
        <v>0</v>
      </c>
      <c r="K41" s="6" t="b">
        <v>0</v>
      </c>
      <c r="L41" s="4" t="b">
        <v>0</v>
      </c>
      <c r="M41" s="4" t="b">
        <v>0</v>
      </c>
      <c r="N41">
        <f>IFERROR(HYPERLINK("#Main!A"&amp;MATCH(A41,Main!A:A,0),"Open"),HYPERLINK("#Main!A1","Open"))</f>
        <v/>
      </c>
    </row>
    <row r="42" ht="30" customHeight="1">
      <c r="A42" s="33" t="inlineStr">
        <is>
          <t>https://africanmarketingconfederation.org/amc-conference-2023/</t>
        </is>
      </c>
      <c r="B42" s="24" t="n">
        <v>0</v>
      </c>
      <c r="C42" s="24" t="inlineStr">
        <is>
          <t>Needs Work</t>
        </is>
      </c>
      <c r="D42" s="24" t="n">
        <v>0</v>
      </c>
      <c r="E42" s="24" t="n">
        <v>0</v>
      </c>
      <c r="F42" s="24" t="n">
        <v>0</v>
      </c>
      <c r="G42" s="25" t="b">
        <v>0</v>
      </c>
      <c r="H42" s="25" t="b">
        <v>0</v>
      </c>
      <c r="I42" s="24" t="b">
        <v>0</v>
      </c>
      <c r="J42" s="24" t="b">
        <v>0</v>
      </c>
      <c r="K42" s="24" t="b">
        <v>0</v>
      </c>
      <c r="L42" s="4" t="b">
        <v>0</v>
      </c>
      <c r="M42" s="4" t="b">
        <v>0</v>
      </c>
      <c r="N42">
        <f>IFERROR(HYPERLINK("#Main!A"&amp;MATCH(A42,Main!A:A,0),"Open"),HYPERLINK("#Main!A1","Open"))</f>
        <v/>
      </c>
    </row>
    <row r="43" ht="30" customHeight="1">
      <c r="A43" s="33" t="inlineStr">
        <is>
          <t>https://africanmarketingconfederation.org/amc-forum-mombasa/</t>
        </is>
      </c>
      <c r="B43" s="6" t="n">
        <v>0</v>
      </c>
      <c r="C43" s="6" t="inlineStr">
        <is>
          <t>Needs Work</t>
        </is>
      </c>
      <c r="D43" s="6" t="n">
        <v>0</v>
      </c>
      <c r="E43" s="6" t="n">
        <v>0</v>
      </c>
      <c r="F43" s="6" t="n">
        <v>0</v>
      </c>
      <c r="G43" s="25" t="b">
        <v>0</v>
      </c>
      <c r="H43" s="25" t="b">
        <v>0</v>
      </c>
      <c r="I43" s="6" t="b">
        <v>0</v>
      </c>
      <c r="J43" s="6" t="b">
        <v>0</v>
      </c>
      <c r="K43" s="6" t="b">
        <v>0</v>
      </c>
      <c r="L43" s="4" t="b">
        <v>0</v>
      </c>
      <c r="M43" s="4" t="b">
        <v>0</v>
      </c>
      <c r="N43">
        <f>IFERROR(HYPERLINK("#Main!A"&amp;MATCH(A43,Main!A:A,0),"Open"),HYPERLINK("#Main!A1","Open"))</f>
        <v/>
      </c>
    </row>
    <row r="44" ht="45" customHeight="1">
      <c r="A44" s="33" t="inlineStr">
        <is>
          <t>https://africanmarketingconfederation.org/amc-marketing-conference-2024/amc-speakers-presentations-2024/</t>
        </is>
      </c>
      <c r="B44" s="24" t="n">
        <v>0</v>
      </c>
      <c r="C44" s="24" t="inlineStr">
        <is>
          <t>Needs Work</t>
        </is>
      </c>
      <c r="D44" s="24" t="n">
        <v>0</v>
      </c>
      <c r="E44" s="24" t="n">
        <v>0</v>
      </c>
      <c r="F44" s="24" t="n">
        <v>0</v>
      </c>
      <c r="G44" s="25" t="b">
        <v>0</v>
      </c>
      <c r="H44" s="25" t="b">
        <v>0</v>
      </c>
      <c r="I44" s="24" t="b">
        <v>0</v>
      </c>
      <c r="J44" s="24" t="b">
        <v>0</v>
      </c>
      <c r="K44" s="24" t="b">
        <v>0</v>
      </c>
      <c r="L44" s="4" t="b">
        <v>0</v>
      </c>
      <c r="M44" s="4" t="b">
        <v>0</v>
      </c>
      <c r="N44">
        <f>IFERROR(HYPERLINK("#Main!A"&amp;MATCH(A44,Main!A:A,0),"Open"),HYPERLINK("#Main!A1","Open"))</f>
        <v/>
      </c>
    </row>
    <row r="45" ht="30" customHeight="1">
      <c r="A45" s="33" t="inlineStr">
        <is>
          <t>https://africanmarketingconfederation.org/amc-marketing-conference-2024/testimony-thank-you-page/</t>
        </is>
      </c>
      <c r="B45" s="6" t="n">
        <v>0</v>
      </c>
      <c r="C45" s="6" t="inlineStr">
        <is>
          <t>Needs Work</t>
        </is>
      </c>
      <c r="D45" s="6" t="n">
        <v>0</v>
      </c>
      <c r="E45" s="6" t="n">
        <v>0</v>
      </c>
      <c r="F45" s="6" t="n">
        <v>0</v>
      </c>
      <c r="G45" s="25" t="b">
        <v>0</v>
      </c>
      <c r="H45" s="25" t="b">
        <v>0</v>
      </c>
      <c r="I45" s="6" t="b">
        <v>0</v>
      </c>
      <c r="J45" s="6" t="b">
        <v>0</v>
      </c>
      <c r="K45" s="6" t="b">
        <v>0</v>
      </c>
      <c r="L45" s="4" t="b">
        <v>0</v>
      </c>
      <c r="M45" s="4" t="b">
        <v>0</v>
      </c>
      <c r="N45">
        <f>IFERROR(HYPERLINK("#Main!A"&amp;MATCH(A45,Main!A:A,0),"Open"),HYPERLINK("#Main!A1","Open"))</f>
        <v/>
      </c>
    </row>
    <row r="46" ht="30" customHeight="1">
      <c r="A46" s="33" t="inlineStr">
        <is>
          <t>https://africanmarketingconfederation.org/amc-sign-up-now-form-2025/</t>
        </is>
      </c>
      <c r="B46" s="24" t="n">
        <v>0</v>
      </c>
      <c r="C46" s="24" t="inlineStr">
        <is>
          <t>Needs Work</t>
        </is>
      </c>
      <c r="D46" s="24" t="n">
        <v>0</v>
      </c>
      <c r="E46" s="24" t="n">
        <v>0</v>
      </c>
      <c r="F46" s="24" t="n">
        <v>0</v>
      </c>
      <c r="G46" s="25" t="b">
        <v>0</v>
      </c>
      <c r="H46" s="25" t="b">
        <v>0</v>
      </c>
      <c r="I46" s="24" t="b">
        <v>0</v>
      </c>
      <c r="J46" s="24" t="b">
        <v>0</v>
      </c>
      <c r="K46" s="24" t="b">
        <v>0</v>
      </c>
      <c r="L46" s="4" t="b">
        <v>0</v>
      </c>
      <c r="M46" s="4" t="b">
        <v>0</v>
      </c>
      <c r="N46">
        <f>IFERROR(HYPERLINK("#Main!A"&amp;MATCH(A46,Main!A:A,0),"Open"),HYPERLINK("#Main!A1","Open"))</f>
        <v/>
      </c>
    </row>
    <row r="47" ht="30" customHeight="1">
      <c r="A47" s="33" t="inlineStr">
        <is>
          <t>https://africanmarketingconfederation.org/amc-marketing-conference-2024/</t>
        </is>
      </c>
      <c r="B47" s="6" t="n">
        <v>0</v>
      </c>
      <c r="C47" s="6" t="inlineStr">
        <is>
          <t>Needs Work</t>
        </is>
      </c>
      <c r="D47" s="6" t="n">
        <v>0</v>
      </c>
      <c r="E47" s="6" t="n">
        <v>0</v>
      </c>
      <c r="F47" s="6" t="n">
        <v>0</v>
      </c>
      <c r="G47" s="25" t="b">
        <v>0</v>
      </c>
      <c r="H47" s="25" t="b">
        <v>0</v>
      </c>
      <c r="I47" s="6" t="b">
        <v>0</v>
      </c>
      <c r="J47" s="6" t="b">
        <v>0</v>
      </c>
      <c r="K47" s="6" t="b">
        <v>0</v>
      </c>
      <c r="L47" s="4" t="b">
        <v>0</v>
      </c>
      <c r="M47" s="4" t="b">
        <v>0</v>
      </c>
      <c r="N47">
        <f>IFERROR(HYPERLINK("#Main!A"&amp;MATCH(A47,Main!A:A,0),"Open"),HYPERLINK("#Main!A1","Open"))</f>
        <v/>
      </c>
    </row>
    <row r="48" ht="30" customHeight="1">
      <c r="A48" s="33" t="inlineStr">
        <is>
          <t>https://africanmarketingconfederation.org/amc-testimony-page-2024/</t>
        </is>
      </c>
      <c r="B48" s="24" t="n">
        <v>0</v>
      </c>
      <c r="C48" s="24" t="inlineStr">
        <is>
          <t>Needs Work</t>
        </is>
      </c>
      <c r="D48" s="24" t="n">
        <v>0</v>
      </c>
      <c r="E48" s="24" t="n">
        <v>0</v>
      </c>
      <c r="F48" s="24" t="n">
        <v>0</v>
      </c>
      <c r="G48" s="25" t="b">
        <v>0</v>
      </c>
      <c r="H48" s="25" t="b">
        <v>0</v>
      </c>
      <c r="I48" s="24" t="b">
        <v>0</v>
      </c>
      <c r="J48" s="24" t="b">
        <v>0</v>
      </c>
      <c r="K48" s="24" t="b">
        <v>0</v>
      </c>
      <c r="L48" s="4" t="b">
        <v>0</v>
      </c>
      <c r="M48" s="4" t="b">
        <v>0</v>
      </c>
      <c r="N48">
        <f>IFERROR(HYPERLINK("#Main!A"&amp;MATCH(A48,Main!A:A,0),"Open"),HYPERLINK("#Main!A1","Open"))</f>
        <v/>
      </c>
    </row>
    <row r="49" ht="30" customHeight="1">
      <c r="A49" s="33" t="inlineStr">
        <is>
          <t>https://africanmarketingconfederation.org/thank-you-for-registering-2024-registrations/</t>
        </is>
      </c>
      <c r="B49" s="6" t="n">
        <v>0</v>
      </c>
      <c r="C49" s="6" t="inlineStr">
        <is>
          <t>Needs Work</t>
        </is>
      </c>
      <c r="D49" s="6" t="n">
        <v>0</v>
      </c>
      <c r="E49" s="6" t="n">
        <v>0</v>
      </c>
      <c r="F49" s="6" t="n">
        <v>0</v>
      </c>
      <c r="G49" s="25" t="b">
        <v>0</v>
      </c>
      <c r="H49" s="25" t="b">
        <v>0</v>
      </c>
      <c r="I49" s="6" t="b">
        <v>0</v>
      </c>
      <c r="J49" s="6" t="b">
        <v>0</v>
      </c>
      <c r="K49" s="6" t="b">
        <v>0</v>
      </c>
      <c r="L49" s="4" t="b">
        <v>0</v>
      </c>
      <c r="M49" s="4" t="b">
        <v>0</v>
      </c>
      <c r="N49">
        <f>IFERROR(HYPERLINK("#Main!A"&amp;MATCH(A49,Main!A:A,0),"Open"),HYPERLINK("#Main!A1","Open"))</f>
        <v/>
      </c>
    </row>
    <row r="50" ht="30" customHeight="1">
      <c r="A50" s="33" t="inlineStr">
        <is>
          <t>https://africanmarketingconfederation.org/download-prospectus-2024/</t>
        </is>
      </c>
      <c r="B50" s="24" t="n">
        <v>0</v>
      </c>
      <c r="C50" s="24" t="inlineStr">
        <is>
          <t>Needs Work</t>
        </is>
      </c>
      <c r="D50" s="24" t="n">
        <v>0</v>
      </c>
      <c r="E50" s="24" t="n">
        <v>0</v>
      </c>
      <c r="F50" s="24" t="n">
        <v>0</v>
      </c>
      <c r="G50" s="25" t="b">
        <v>0</v>
      </c>
      <c r="H50" s="25" t="b">
        <v>0</v>
      </c>
      <c r="I50" s="24" t="b">
        <v>0</v>
      </c>
      <c r="J50" s="24" t="b">
        <v>0</v>
      </c>
      <c r="K50" s="24" t="b">
        <v>0</v>
      </c>
      <c r="L50" s="4" t="b">
        <v>0</v>
      </c>
      <c r="M50" s="4" t="b">
        <v>0</v>
      </c>
      <c r="N50">
        <f>IFERROR(HYPERLINK("#Main!A"&amp;MATCH(A50,Main!A:A,0),"Open"),HYPERLINK("#Main!A1","Open"))</f>
        <v/>
      </c>
    </row>
    <row r="51" ht="30" customHeight="1">
      <c r="A51" s="33" t="inlineStr">
        <is>
          <t>https://africanmarketingconfederation.org/thank-you-for-registering-2024-registrations-kenya/</t>
        </is>
      </c>
      <c r="B51" s="6" t="n">
        <v>0</v>
      </c>
      <c r="C51" s="6" t="inlineStr">
        <is>
          <t>Needs Work</t>
        </is>
      </c>
      <c r="D51" s="6" t="n">
        <v>0</v>
      </c>
      <c r="E51" s="6" t="n">
        <v>0</v>
      </c>
      <c r="F51" s="6" t="n">
        <v>0</v>
      </c>
      <c r="G51" s="25" t="b">
        <v>0</v>
      </c>
      <c r="H51" s="25" t="b">
        <v>0</v>
      </c>
      <c r="I51" s="6" t="b">
        <v>0</v>
      </c>
      <c r="J51" s="6" t="b">
        <v>0</v>
      </c>
      <c r="K51" s="6" t="b">
        <v>0</v>
      </c>
      <c r="L51" s="4" t="b">
        <v>0</v>
      </c>
      <c r="M51" s="4" t="b">
        <v>0</v>
      </c>
      <c r="N51">
        <f>IFERROR(HYPERLINK("#Main!A"&amp;MATCH(A51,Main!A:A,0),"Open"),HYPERLINK("#Main!A1","Open"))</f>
        <v/>
      </c>
    </row>
    <row r="52" ht="30" customHeight="1">
      <c r="A52" s="33" t="inlineStr">
        <is>
          <t>https://africanmarketingconfederation.org/subscribe/</t>
        </is>
      </c>
      <c r="B52" s="24" t="n">
        <v>0</v>
      </c>
      <c r="C52" s="24" t="inlineStr">
        <is>
          <t>Needs Work</t>
        </is>
      </c>
      <c r="D52" s="24" t="n">
        <v>0</v>
      </c>
      <c r="E52" s="24" t="n">
        <v>0</v>
      </c>
      <c r="F52" s="24" t="n">
        <v>0</v>
      </c>
      <c r="G52" s="25" t="b">
        <v>0</v>
      </c>
      <c r="H52" s="25" t="b">
        <v>0</v>
      </c>
      <c r="I52" s="24" t="b">
        <v>0</v>
      </c>
      <c r="J52" s="24" t="b">
        <v>0</v>
      </c>
      <c r="K52" s="24" t="b">
        <v>0</v>
      </c>
      <c r="L52" s="4" t="b">
        <v>0</v>
      </c>
      <c r="M52" s="4" t="b">
        <v>0</v>
      </c>
      <c r="N52">
        <f>IFERROR(HYPERLINK("#Main!A"&amp;MATCH(A52,Main!A:A,0),"Open"),HYPERLINK("#Main!A1","Open"))</f>
        <v/>
      </c>
    </row>
    <row r="53" ht="30" customHeight="1">
      <c r="A53" s="33" t="inlineStr">
        <is>
          <t>https://africanmarketingconfederation.org/amc-marketing-conference-2024/speakers-2024/</t>
        </is>
      </c>
      <c r="B53" s="6" t="n">
        <v>0</v>
      </c>
      <c r="C53" s="6" t="inlineStr">
        <is>
          <t>Needs Work</t>
        </is>
      </c>
      <c r="D53" s="6" t="n">
        <v>0</v>
      </c>
      <c r="E53" s="6" t="n">
        <v>0</v>
      </c>
      <c r="F53" s="6" t="n">
        <v>0</v>
      </c>
      <c r="G53" s="25" t="b">
        <v>0</v>
      </c>
      <c r="H53" s="25" t="b">
        <v>0</v>
      </c>
      <c r="I53" s="6" t="b">
        <v>0</v>
      </c>
      <c r="J53" s="6" t="b">
        <v>0</v>
      </c>
      <c r="K53" s="6" t="b">
        <v>0</v>
      </c>
      <c r="L53" s="32" t="b">
        <v>1</v>
      </c>
      <c r="M53" s="32" t="b">
        <v>1</v>
      </c>
      <c r="N53">
        <f>IFERROR(HYPERLINK("#Main!A"&amp;MATCH(A53,Main!A:A,0),"Open"),HYPERLINK("#Main!A1","Open"))</f>
        <v/>
      </c>
    </row>
    <row r="54" ht="30" customHeight="1">
      <c r="A54" s="33" t="inlineStr">
        <is>
          <t>https://africanmarketingconfederation.org/amc-conference-sponsors/</t>
        </is>
      </c>
      <c r="B54" s="24" t="n">
        <v>0</v>
      </c>
      <c r="C54" s="24" t="inlineStr">
        <is>
          <t>Needs Work</t>
        </is>
      </c>
      <c r="D54" s="24" t="n">
        <v>0</v>
      </c>
      <c r="E54" s="24" t="n">
        <v>0</v>
      </c>
      <c r="F54" s="24" t="n">
        <v>0</v>
      </c>
      <c r="G54" s="25" t="b">
        <v>0</v>
      </c>
      <c r="H54" s="25" t="b">
        <v>0</v>
      </c>
      <c r="I54" s="24" t="b">
        <v>0</v>
      </c>
      <c r="J54" s="24" t="b">
        <v>0</v>
      </c>
      <c r="K54" s="24" t="b">
        <v>0</v>
      </c>
      <c r="L54" s="32" t="b">
        <v>1</v>
      </c>
      <c r="M54" s="32" t="b">
        <v>1</v>
      </c>
      <c r="N54">
        <f>IFERROR(HYPERLINK("#Main!A"&amp;MATCH(A54,Main!A:A,0),"Open"),HYPERLINK("#Main!A1","Open"))</f>
        <v/>
      </c>
    </row>
    <row r="55" ht="30" customHeight="1">
      <c r="A55" s="33" t="inlineStr">
        <is>
          <t>https://africanmarketingconfederation.org/elementor-20341/</t>
        </is>
      </c>
      <c r="B55" s="6" t="n">
        <v>0</v>
      </c>
      <c r="C55" s="6" t="inlineStr">
        <is>
          <t>Needs Work</t>
        </is>
      </c>
      <c r="D55" s="6" t="n">
        <v>0</v>
      </c>
      <c r="E55" s="6" t="n">
        <v>0</v>
      </c>
      <c r="F55" s="6" t="n">
        <v>0</v>
      </c>
      <c r="G55" s="25" t="b">
        <v>0</v>
      </c>
      <c r="H55" s="25" t="b">
        <v>0</v>
      </c>
      <c r="I55" s="6" t="b">
        <v>0</v>
      </c>
      <c r="J55" s="6" t="b">
        <v>0</v>
      </c>
      <c r="K55" s="6" t="b">
        <v>0</v>
      </c>
      <c r="L55" s="4" t="b">
        <v>0</v>
      </c>
      <c r="M55" s="32" t="b">
        <v>1</v>
      </c>
      <c r="N55">
        <f>IFERROR(HYPERLINK("#Main!A"&amp;MATCH(A55,Main!A:A,0),"Open"),HYPERLINK("#Main!A1","Open"))</f>
        <v/>
      </c>
    </row>
    <row r="56" ht="30" customHeight="1">
      <c r="A56" s="33" t="inlineStr">
        <is>
          <t>https://africanmarketingconfederation.org/chartered-marketer-africa-final-submission-fee/</t>
        </is>
      </c>
      <c r="B56" s="24" t="n">
        <v>0</v>
      </c>
      <c r="C56" s="24" t="inlineStr">
        <is>
          <t>Needs Work</t>
        </is>
      </c>
      <c r="D56" s="24" t="n">
        <v>0</v>
      </c>
      <c r="E56" s="24" t="n">
        <v>0</v>
      </c>
      <c r="F56" s="24" t="n">
        <v>0</v>
      </c>
      <c r="G56" s="25" t="b">
        <v>0</v>
      </c>
      <c r="H56" s="25" t="b">
        <v>0</v>
      </c>
      <c r="I56" s="24" t="b">
        <v>0</v>
      </c>
      <c r="J56" s="24" t="b">
        <v>0</v>
      </c>
      <c r="K56" s="24" t="b">
        <v>0</v>
      </c>
      <c r="L56" s="4" t="b">
        <v>0</v>
      </c>
      <c r="M56" s="4" t="b">
        <v>0</v>
      </c>
      <c r="N56">
        <f>IFERROR(HYPERLINK("#Main!A"&amp;MATCH(A56,Main!A:A,0),"Open"),HYPERLINK("#Main!A1","Open"))</f>
        <v/>
      </c>
    </row>
    <row r="57" ht="30" customHeight="1">
      <c r="A57" s="33" t="inlineStr">
        <is>
          <t>https://africanmarketingconfederation.org/chartered-marketer-africa-programme-fee/</t>
        </is>
      </c>
      <c r="B57" s="6" t="n">
        <v>0</v>
      </c>
      <c r="C57" s="6" t="inlineStr">
        <is>
          <t>Needs Work</t>
        </is>
      </c>
      <c r="D57" s="6" t="n">
        <v>0</v>
      </c>
      <c r="E57" s="6" t="n">
        <v>0</v>
      </c>
      <c r="F57" s="6" t="n">
        <v>0</v>
      </c>
      <c r="G57" s="25" t="b">
        <v>0</v>
      </c>
      <c r="H57" s="25" t="b">
        <v>0</v>
      </c>
      <c r="I57" s="6" t="b">
        <v>0</v>
      </c>
      <c r="J57" s="6" t="b">
        <v>0</v>
      </c>
      <c r="K57" s="6" t="b">
        <v>0</v>
      </c>
      <c r="L57" s="4" t="b">
        <v>0</v>
      </c>
      <c r="M57" s="4" t="b">
        <v>0</v>
      </c>
      <c r="N57">
        <f>IFERROR(HYPERLINK("#Main!A"&amp;MATCH(A57,Main!A:A,0),"Open"),HYPERLINK("#Main!A1","Open"))</f>
        <v/>
      </c>
    </row>
    <row r="58" ht="30" customHeight="1">
      <c r="A58" s="33" t="inlineStr">
        <is>
          <t>https://africanmarketingconfederation.org/download-brochure/</t>
        </is>
      </c>
      <c r="B58" s="24" t="n">
        <v>0</v>
      </c>
      <c r="C58" s="24" t="inlineStr">
        <is>
          <t>Needs Work</t>
        </is>
      </c>
      <c r="D58" s="24" t="n">
        <v>0</v>
      </c>
      <c r="E58" s="24" t="n">
        <v>0</v>
      </c>
      <c r="F58" s="24" t="n">
        <v>0</v>
      </c>
      <c r="G58" s="25" t="b">
        <v>0</v>
      </c>
      <c r="H58" s="25" t="b">
        <v>0</v>
      </c>
      <c r="I58" s="24" t="b">
        <v>0</v>
      </c>
      <c r="J58" s="24" t="b">
        <v>0</v>
      </c>
      <c r="K58" s="24" t="b">
        <v>0</v>
      </c>
      <c r="L58" s="4" t="b">
        <v>0</v>
      </c>
      <c r="M58" s="4" t="b">
        <v>0</v>
      </c>
      <c r="N58">
        <f>IFERROR(HYPERLINK("#Main!A"&amp;MATCH(A58,Main!A:A,0),"Open"),HYPERLINK("#Main!A1","Open"))</f>
        <v/>
      </c>
    </row>
    <row r="59" ht="30" customHeight="1">
      <c r="A59" s="33" t="inlineStr">
        <is>
          <t>https://africanmarketingconfederation.org/thank-you-for-the-nomination-2024/</t>
        </is>
      </c>
      <c r="B59" s="6" t="n">
        <v>0</v>
      </c>
      <c r="C59" s="6" t="inlineStr">
        <is>
          <t>Needs Work</t>
        </is>
      </c>
      <c r="D59" s="6" t="n">
        <v>0</v>
      </c>
      <c r="E59" s="6" t="n">
        <v>0</v>
      </c>
      <c r="F59" s="6" t="n">
        <v>0</v>
      </c>
      <c r="G59" s="25" t="b">
        <v>0</v>
      </c>
      <c r="H59" s="25" t="b">
        <v>0</v>
      </c>
      <c r="I59" s="6" t="b">
        <v>0</v>
      </c>
      <c r="J59" s="6" t="b">
        <v>0</v>
      </c>
      <c r="K59" s="6" t="b">
        <v>0</v>
      </c>
      <c r="L59" s="4" t="b">
        <v>0</v>
      </c>
      <c r="M59" s="4" t="b">
        <v>0</v>
      </c>
      <c r="N59">
        <f>IFERROR(HYPERLINK("#Main!A"&amp;MATCH(A59,Main!A:A,0),"Open"),HYPERLINK("#Main!A1","Open"))</f>
        <v/>
      </c>
    </row>
    <row r="60" ht="30" customHeight="1">
      <c r="A60" s="33" t="inlineStr">
        <is>
          <t>https://africanmarketingconfederation.org/thank-you-for-the-submission-2024/</t>
        </is>
      </c>
      <c r="B60" s="24" t="n">
        <v>0</v>
      </c>
      <c r="C60" s="24" t="inlineStr">
        <is>
          <t>Needs Work</t>
        </is>
      </c>
      <c r="D60" s="24" t="n">
        <v>0</v>
      </c>
      <c r="E60" s="24" t="n">
        <v>0</v>
      </c>
      <c r="F60" s="24" t="n">
        <v>0</v>
      </c>
      <c r="G60" s="25" t="b">
        <v>0</v>
      </c>
      <c r="H60" s="25" t="b">
        <v>0</v>
      </c>
      <c r="I60" s="24" t="b">
        <v>0</v>
      </c>
      <c r="J60" s="24" t="b">
        <v>0</v>
      </c>
      <c r="K60" s="24" t="b">
        <v>0</v>
      </c>
      <c r="L60" s="4" t="b">
        <v>0</v>
      </c>
      <c r="M60" s="4" t="b">
        <v>0</v>
      </c>
      <c r="N60">
        <f>IFERROR(HYPERLINK("#Main!A"&amp;MATCH(A60,Main!A:A,0),"Open"),HYPERLINK("#Main!A1","Open"))</f>
        <v/>
      </c>
    </row>
    <row r="61" ht="30" customHeight="1">
      <c r="A61" s="33" t="inlineStr">
        <is>
          <t>https://africanmarketingconfederation.org/amc-conference-2024-sponsors-packages/</t>
        </is>
      </c>
      <c r="B61" s="6" t="n">
        <v>0</v>
      </c>
      <c r="C61" s="6" t="inlineStr">
        <is>
          <t>Needs Work</t>
        </is>
      </c>
      <c r="D61" s="6" t="n">
        <v>0</v>
      </c>
      <c r="E61" s="6" t="n">
        <v>0</v>
      </c>
      <c r="F61" s="6" t="n">
        <v>0</v>
      </c>
      <c r="G61" s="25" t="b">
        <v>0</v>
      </c>
      <c r="H61" s="25" t="b">
        <v>0</v>
      </c>
      <c r="I61" s="6" t="b">
        <v>0</v>
      </c>
      <c r="J61" s="6" t="b">
        <v>0</v>
      </c>
      <c r="K61" s="6" t="b">
        <v>0</v>
      </c>
      <c r="L61" s="4" t="b">
        <v>0</v>
      </c>
      <c r="M61" s="4" t="b">
        <v>0</v>
      </c>
      <c r="N61">
        <f>IFERROR(HYPERLINK("#Main!A"&amp;MATCH(A61,Main!A:A,0),"Open"),HYPERLINK("#Main!A1","Open"))</f>
        <v/>
      </c>
    </row>
    <row r="62" ht="30" customHeight="1">
      <c r="A62" s="33" t="inlineStr">
        <is>
          <t>https://africanmarketingconfederation.org/elementor-16548/</t>
        </is>
      </c>
      <c r="B62" s="24" t="n">
        <v>0</v>
      </c>
      <c r="C62" s="24" t="inlineStr">
        <is>
          <t>Needs Work</t>
        </is>
      </c>
      <c r="D62" s="24" t="n">
        <v>0</v>
      </c>
      <c r="E62" s="24" t="n">
        <v>0</v>
      </c>
      <c r="F62" s="24" t="n">
        <v>0</v>
      </c>
      <c r="G62" s="25" t="b">
        <v>0</v>
      </c>
      <c r="H62" s="25" t="b">
        <v>0</v>
      </c>
      <c r="I62" s="24" t="b">
        <v>0</v>
      </c>
      <c r="J62" s="24" t="b">
        <v>0</v>
      </c>
      <c r="K62" s="24" t="b">
        <v>0</v>
      </c>
      <c r="L62" s="4" t="b">
        <v>0</v>
      </c>
      <c r="M62" s="4" t="b">
        <v>0</v>
      </c>
      <c r="N62">
        <f>IFERROR(HYPERLINK("#Main!A"&amp;MATCH(A62,Main!A:A,0),"Open"),HYPERLINK("#Main!A1","Open"))</f>
        <v/>
      </c>
    </row>
    <row r="63" ht="30" customHeight="1">
      <c r="A63" s="33" t="inlineStr">
        <is>
          <t>https://africanmarketingconfederation.org/amc-marketing-conference-2024/programme-2024/</t>
        </is>
      </c>
      <c r="B63" s="6" t="n">
        <v>0</v>
      </c>
      <c r="C63" s="6" t="inlineStr">
        <is>
          <t>Needs Work</t>
        </is>
      </c>
      <c r="D63" s="6" t="n">
        <v>0</v>
      </c>
      <c r="E63" s="6" t="n">
        <v>0</v>
      </c>
      <c r="F63" s="6" t="n">
        <v>0</v>
      </c>
      <c r="G63" s="25" t="b">
        <v>0</v>
      </c>
      <c r="H63" s="25" t="b">
        <v>0</v>
      </c>
      <c r="I63" s="6" t="b">
        <v>0</v>
      </c>
      <c r="J63" s="6" t="b">
        <v>0</v>
      </c>
      <c r="K63" s="6" t="b">
        <v>0</v>
      </c>
      <c r="L63" s="4" t="b">
        <v>0</v>
      </c>
      <c r="M63" s="4" t="b">
        <v>0</v>
      </c>
      <c r="N63">
        <f>IFERROR(HYPERLINK("#Main!A"&amp;MATCH(A63,Main!A:A,0),"Open"),HYPERLINK("#Main!A1","Open"))</f>
        <v/>
      </c>
    </row>
    <row r="64" ht="30" customHeight="1">
      <c r="A64" s="33" t="inlineStr">
        <is>
          <t>https://africanmarketingconfederation.org/amc-conference-2023/programme/</t>
        </is>
      </c>
      <c r="B64" s="24" t="n">
        <v>0</v>
      </c>
      <c r="C64" s="24" t="inlineStr">
        <is>
          <t>Needs Work</t>
        </is>
      </c>
      <c r="D64" s="24" t="n">
        <v>0</v>
      </c>
      <c r="E64" s="24" t="n">
        <v>0</v>
      </c>
      <c r="F64" s="24" t="n">
        <v>0</v>
      </c>
      <c r="G64" s="25" t="b">
        <v>0</v>
      </c>
      <c r="H64" s="25" t="b">
        <v>0</v>
      </c>
      <c r="I64" s="24" t="b">
        <v>0</v>
      </c>
      <c r="J64" s="24" t="b">
        <v>0</v>
      </c>
      <c r="K64" s="24" t="b">
        <v>0</v>
      </c>
      <c r="L64" s="4" t="b">
        <v>0</v>
      </c>
      <c r="M64" s="4" t="b">
        <v>0</v>
      </c>
      <c r="N64">
        <f>IFERROR(HYPERLINK("#Main!A"&amp;MATCH(A64,Main!A:A,0),"Open"),HYPERLINK("#Main!A1","Open"))</f>
        <v/>
      </c>
    </row>
    <row r="65" ht="30" customHeight="1">
      <c r="A65" s="33" t="inlineStr">
        <is>
          <t>https://africanmarketingconfederation.org/amc-conference-2023/amc-awards/</t>
        </is>
      </c>
      <c r="B65" s="6" t="n">
        <v>0</v>
      </c>
      <c r="C65" s="6" t="inlineStr">
        <is>
          <t>Needs Work</t>
        </is>
      </c>
      <c r="D65" s="6" t="n">
        <v>0</v>
      </c>
      <c r="E65" s="6" t="n">
        <v>0</v>
      </c>
      <c r="F65" s="6" t="n">
        <v>0</v>
      </c>
      <c r="G65" s="25" t="b">
        <v>0</v>
      </c>
      <c r="H65" s="25" t="b">
        <v>0</v>
      </c>
      <c r="I65" s="6" t="b">
        <v>0</v>
      </c>
      <c r="J65" s="6" t="b">
        <v>0</v>
      </c>
      <c r="K65" s="6" t="b">
        <v>0</v>
      </c>
      <c r="L65" s="4" t="b">
        <v>0</v>
      </c>
      <c r="M65" s="4" t="b">
        <v>0</v>
      </c>
      <c r="N65">
        <f>IFERROR(HYPERLINK("#Main!A"&amp;MATCH(A65,Main!A:A,0),"Open"),HYPERLINK("#Main!A1","Open"))</f>
        <v/>
      </c>
    </row>
    <row r="66" ht="30" customHeight="1">
      <c r="A66" s="33" t="inlineStr">
        <is>
          <t>https://africanmarketingconfederation.org/amc-conference-2023/partners/</t>
        </is>
      </c>
      <c r="B66" s="24" t="n">
        <v>0</v>
      </c>
      <c r="C66" s="24" t="inlineStr">
        <is>
          <t>Needs Work</t>
        </is>
      </c>
      <c r="D66" s="24" t="n">
        <v>0</v>
      </c>
      <c r="E66" s="24" t="n">
        <v>0</v>
      </c>
      <c r="F66" s="24" t="n">
        <v>0</v>
      </c>
      <c r="G66" s="25" t="b">
        <v>0</v>
      </c>
      <c r="H66" s="25" t="b">
        <v>0</v>
      </c>
      <c r="I66" s="24" t="b">
        <v>0</v>
      </c>
      <c r="J66" s="24" t="b">
        <v>0</v>
      </c>
      <c r="K66" s="24" t="b">
        <v>0</v>
      </c>
      <c r="L66" s="4" t="b">
        <v>0</v>
      </c>
      <c r="M66" s="4" t="b">
        <v>0</v>
      </c>
      <c r="N66">
        <f>IFERROR(HYPERLINK("#Main!A"&amp;MATCH(A66,Main!A:A,0),"Open"),HYPERLINK("#Main!A1","Open"))</f>
        <v/>
      </c>
    </row>
    <row r="67" ht="30" customHeight="1">
      <c r="A67" s="33" t="inlineStr">
        <is>
          <t>https://africanmarketingconfederation.org/amc-conference-2023/speakers/</t>
        </is>
      </c>
      <c r="B67" s="6" t="n">
        <v>0</v>
      </c>
      <c r="C67" s="6" t="inlineStr">
        <is>
          <t>Needs Work</t>
        </is>
      </c>
      <c r="D67" s="6" t="n">
        <v>0</v>
      </c>
      <c r="E67" s="6" t="n">
        <v>0</v>
      </c>
      <c r="F67" s="6" t="n">
        <v>0</v>
      </c>
      <c r="G67" s="25" t="b">
        <v>0</v>
      </c>
      <c r="H67" s="25" t="b">
        <v>0</v>
      </c>
      <c r="I67" s="6" t="b">
        <v>0</v>
      </c>
      <c r="J67" s="6" t="b">
        <v>0</v>
      </c>
      <c r="K67" s="6" t="b">
        <v>0</v>
      </c>
      <c r="L67" s="4" t="b">
        <v>0</v>
      </c>
      <c r="M67" s="4" t="b">
        <v>0</v>
      </c>
      <c r="N67">
        <f>IFERROR(HYPERLINK("#Main!A"&amp;MATCH(A67,Main!A:A,0),"Open"),HYPERLINK("#Main!A1","Open"))</f>
        <v/>
      </c>
    </row>
    <row r="68" ht="30" customHeight="1">
      <c r="A68" s="33" t="inlineStr">
        <is>
          <t>https://africanmarketingconfederation.org/chartered-marketer-africa-thank-you/</t>
        </is>
      </c>
      <c r="B68" s="24" t="n">
        <v>0</v>
      </c>
      <c r="C68" s="24" t="inlineStr">
        <is>
          <t>Needs Work</t>
        </is>
      </c>
      <c r="D68" s="24" t="n">
        <v>0</v>
      </c>
      <c r="E68" s="24" t="n">
        <v>0</v>
      </c>
      <c r="F68" s="24" t="n">
        <v>0</v>
      </c>
      <c r="G68" s="25" t="b">
        <v>0</v>
      </c>
      <c r="H68" s="25" t="b">
        <v>0</v>
      </c>
      <c r="I68" s="24" t="b">
        <v>0</v>
      </c>
      <c r="J68" s="24" t="b">
        <v>0</v>
      </c>
      <c r="K68" s="24" t="b">
        <v>0</v>
      </c>
      <c r="L68" s="4" t="b">
        <v>0</v>
      </c>
      <c r="M68" s="4" t="b">
        <v>0</v>
      </c>
      <c r="N68">
        <f>IFERROR(HYPERLINK("#Main!A"&amp;MATCH(A68,Main!A:A,0),"Open"),HYPERLINK("#Main!A1","Open"))</f>
        <v/>
      </c>
    </row>
    <row r="69" ht="30" customHeight="1">
      <c r="A69" s="33" t="inlineStr">
        <is>
          <t>https://africanmarketingconfederation.org/amc-conference-2023/amc-awards-book-now/</t>
        </is>
      </c>
      <c r="B69" s="6" t="n">
        <v>0</v>
      </c>
      <c r="C69" s="6" t="inlineStr">
        <is>
          <t>Needs Work</t>
        </is>
      </c>
      <c r="D69" s="6" t="n">
        <v>0</v>
      </c>
      <c r="E69" s="6" t="n">
        <v>0</v>
      </c>
      <c r="F69" s="6" t="n">
        <v>0</v>
      </c>
      <c r="G69" s="25" t="b">
        <v>0</v>
      </c>
      <c r="H69" s="25" t="b">
        <v>0</v>
      </c>
      <c r="I69" s="6" t="b">
        <v>0</v>
      </c>
      <c r="J69" s="6" t="b">
        <v>0</v>
      </c>
      <c r="K69" s="6" t="b">
        <v>0</v>
      </c>
      <c r="L69" s="4" t="b">
        <v>0</v>
      </c>
      <c r="M69" s="32" t="b">
        <v>1</v>
      </c>
      <c r="N69">
        <f>IFERROR(HYPERLINK("#Main!A"&amp;MATCH(A69,Main!A:A,0),"Open"),HYPERLINK("#Main!A1","Open"))</f>
        <v/>
      </c>
    </row>
    <row r="70" ht="30" customHeight="1">
      <c r="A70" s="33" t="inlineStr">
        <is>
          <t>https://africanmarketingconfederation.org/amc-conference-2023/book-now/</t>
        </is>
      </c>
      <c r="B70" s="24" t="n">
        <v>0</v>
      </c>
      <c r="C70" s="24" t="inlineStr">
        <is>
          <t>Needs Work</t>
        </is>
      </c>
      <c r="D70" s="24" t="n">
        <v>0</v>
      </c>
      <c r="E70" s="24" t="n">
        <v>0</v>
      </c>
      <c r="F70" s="24" t="n">
        <v>0</v>
      </c>
      <c r="G70" s="25" t="b">
        <v>0</v>
      </c>
      <c r="H70" s="25" t="b">
        <v>0</v>
      </c>
      <c r="I70" s="24" t="b">
        <v>0</v>
      </c>
      <c r="J70" s="24" t="b">
        <v>0</v>
      </c>
      <c r="K70" s="24" t="b">
        <v>0</v>
      </c>
      <c r="L70" s="4" t="b">
        <v>0</v>
      </c>
      <c r="M70" s="4" t="b">
        <v>0</v>
      </c>
      <c r="N70">
        <f>IFERROR(HYPERLINK("#Main!A"&amp;MATCH(A70,Main!A:A,0),"Open"),HYPERLINK("#Main!A1","Open"))</f>
        <v/>
      </c>
    </row>
    <row r="71" ht="30" customHeight="1">
      <c r="A71" s="33" t="inlineStr">
        <is>
          <t>https://africanmarketingconfederation.org/amc-conference-2023/download-prospectus/</t>
        </is>
      </c>
      <c r="B71" s="6" t="n">
        <v>0</v>
      </c>
      <c r="C71" s="6" t="inlineStr">
        <is>
          <t>Needs Work</t>
        </is>
      </c>
      <c r="D71" s="6" t="n">
        <v>0</v>
      </c>
      <c r="E71" s="6" t="n">
        <v>0</v>
      </c>
      <c r="F71" s="6" t="n">
        <v>0</v>
      </c>
      <c r="G71" s="25" t="b">
        <v>0</v>
      </c>
      <c r="H71" s="25" t="b">
        <v>0</v>
      </c>
      <c r="I71" s="6" t="b">
        <v>0</v>
      </c>
      <c r="J71" s="6" t="b">
        <v>0</v>
      </c>
      <c r="K71" s="6" t="b">
        <v>0</v>
      </c>
      <c r="L71" s="4" t="b">
        <v>0</v>
      </c>
      <c r="M71" s="4" t="b">
        <v>0</v>
      </c>
      <c r="N71">
        <f>IFERROR(HYPERLINK("#Main!A"&amp;MATCH(A71,Main!A:A,0),"Open"),HYPERLINK("#Main!A1","Open"))</f>
        <v/>
      </c>
    </row>
    <row r="72" ht="30" customHeight="1">
      <c r="A72" s="33" t="inlineStr">
        <is>
          <t>https://africanmarketingconfederation.org/thank-you-for-subscribing/</t>
        </is>
      </c>
      <c r="B72" s="24" t="n">
        <v>0</v>
      </c>
      <c r="C72" s="24" t="inlineStr">
        <is>
          <t>Needs Work</t>
        </is>
      </c>
      <c r="D72" s="24" t="n">
        <v>0</v>
      </c>
      <c r="E72" s="24" t="n">
        <v>0</v>
      </c>
      <c r="F72" s="24" t="n">
        <v>0</v>
      </c>
      <c r="G72" s="25" t="b">
        <v>0</v>
      </c>
      <c r="H72" s="25" t="b">
        <v>0</v>
      </c>
      <c r="I72" s="24" t="b">
        <v>0</v>
      </c>
      <c r="J72" s="24" t="b">
        <v>0</v>
      </c>
      <c r="K72" s="24" t="b">
        <v>0</v>
      </c>
      <c r="L72" s="4" t="b">
        <v>0</v>
      </c>
      <c r="M72" s="4" t="b">
        <v>0</v>
      </c>
      <c r="N72">
        <f>IFERROR(HYPERLINK("#Main!A"&amp;MATCH(A72,Main!A:A,0),"Open"),HYPERLINK("#Main!A1","Open"))</f>
        <v/>
      </c>
    </row>
    <row r="73" ht="30" customHeight="1">
      <c r="A73" s="33" t="inlineStr">
        <is>
          <t>https://africanmarketingconfederation.org/amc-conference-2023/book-now-thank-you/</t>
        </is>
      </c>
      <c r="B73" s="6" t="n">
        <v>0</v>
      </c>
      <c r="C73" s="6" t="inlineStr">
        <is>
          <t>Needs Work</t>
        </is>
      </c>
      <c r="D73" s="6" t="n">
        <v>0</v>
      </c>
      <c r="E73" s="6" t="n">
        <v>0</v>
      </c>
      <c r="F73" s="6" t="n">
        <v>0</v>
      </c>
      <c r="G73" s="25" t="b">
        <v>0</v>
      </c>
      <c r="H73" s="25" t="b">
        <v>0</v>
      </c>
      <c r="I73" s="6" t="b">
        <v>0</v>
      </c>
      <c r="J73" s="6" t="b">
        <v>0</v>
      </c>
      <c r="K73" s="6" t="b">
        <v>0</v>
      </c>
      <c r="L73" s="4" t="b">
        <v>0</v>
      </c>
      <c r="M73" s="4" t="b">
        <v>0</v>
      </c>
      <c r="N73">
        <f>IFERROR(HYPERLINK("#Main!A"&amp;MATCH(A73,Main!A:A,0),"Open"),HYPERLINK("#Main!A1","Open"))</f>
        <v/>
      </c>
    </row>
    <row r="74" ht="30" customHeight="1">
      <c r="A74" s="33" t="inlineStr">
        <is>
          <t>https://africanmarketingconfederation.org/upcoming-events/</t>
        </is>
      </c>
      <c r="B74" s="24" t="n">
        <v>0</v>
      </c>
      <c r="C74" s="24" t="inlineStr">
        <is>
          <t>Needs Work</t>
        </is>
      </c>
      <c r="D74" s="24" t="n">
        <v>0</v>
      </c>
      <c r="E74" s="24" t="n">
        <v>0</v>
      </c>
      <c r="F74" s="24" t="n">
        <v>0</v>
      </c>
      <c r="G74" s="25" t="b">
        <v>0</v>
      </c>
      <c r="H74" s="25" t="b">
        <v>0</v>
      </c>
      <c r="I74" s="24" t="b">
        <v>0</v>
      </c>
      <c r="J74" s="24" t="b">
        <v>0</v>
      </c>
      <c r="K74" s="24" t="b">
        <v>0</v>
      </c>
      <c r="L74" s="4" t="b">
        <v>0</v>
      </c>
      <c r="M74" s="4" t="b">
        <v>0</v>
      </c>
      <c r="N74">
        <f>IFERROR(HYPERLINK("#Main!A"&amp;MATCH(A74,Main!A:A,0),"Open"),HYPERLINK("#Main!A1","Open"))</f>
        <v/>
      </c>
    </row>
    <row r="75" ht="30" customHeight="1">
      <c r="A75" s="33" t="inlineStr">
        <is>
          <t>https://africanmarketingconfederation.org/amc-conference-thank-you/</t>
        </is>
      </c>
      <c r="B75" s="6" t="n">
        <v>0</v>
      </c>
      <c r="C75" s="6" t="inlineStr">
        <is>
          <t>Needs Work</t>
        </is>
      </c>
      <c r="D75" s="6" t="n">
        <v>0</v>
      </c>
      <c r="E75" s="6" t="n">
        <v>0</v>
      </c>
      <c r="F75" s="6" t="n">
        <v>0</v>
      </c>
      <c r="G75" s="25" t="b">
        <v>0</v>
      </c>
      <c r="H75" s="25" t="b">
        <v>0</v>
      </c>
      <c r="I75" s="6" t="b">
        <v>0</v>
      </c>
      <c r="J75" s="6" t="b">
        <v>0</v>
      </c>
      <c r="K75" s="6" t="b">
        <v>0</v>
      </c>
      <c r="L75" s="4" t="b">
        <v>0</v>
      </c>
      <c r="M75" s="4" t="b">
        <v>0</v>
      </c>
      <c r="N75">
        <f>IFERROR(HYPERLINK("#Main!A"&amp;MATCH(A75,Main!A:A,0),"Open"),HYPERLINK("#Main!A1","Open"))</f>
        <v/>
      </c>
    </row>
    <row r="76" ht="30" customHeight="1">
      <c r="A76" s="33" t="inlineStr">
        <is>
          <t>https://africanmarketingconfederation.org/amc-masterclass/</t>
        </is>
      </c>
      <c r="B76" s="24" t="n">
        <v>0</v>
      </c>
      <c r="C76" s="24" t="inlineStr">
        <is>
          <t>Needs Work</t>
        </is>
      </c>
      <c r="D76" s="24" t="n">
        <v>0</v>
      </c>
      <c r="E76" s="24" t="n">
        <v>0</v>
      </c>
      <c r="F76" s="24" t="n">
        <v>0</v>
      </c>
      <c r="G76" s="25" t="b">
        <v>0</v>
      </c>
      <c r="H76" s="25" t="b">
        <v>0</v>
      </c>
      <c r="I76" s="24" t="b">
        <v>0</v>
      </c>
      <c r="J76" s="24" t="b">
        <v>0</v>
      </c>
      <c r="K76" s="24" t="b">
        <v>0</v>
      </c>
      <c r="L76" s="4" t="b">
        <v>0</v>
      </c>
      <c r="M76" s="4" t="b">
        <v>0</v>
      </c>
      <c r="N76">
        <f>IFERROR(HYPERLINK("#Main!A"&amp;MATCH(A76,Main!A:A,0),"Open"),HYPERLINK("#Main!A1","Open"))</f>
        <v/>
      </c>
    </row>
    <row r="77" ht="30" customHeight="1">
      <c r="A77" s="33" t="inlineStr">
        <is>
          <t>https://africanmarketingconfederation.org/amc-relaunch-programme/</t>
        </is>
      </c>
      <c r="B77" s="6" t="n">
        <v>0</v>
      </c>
      <c r="C77" s="6" t="inlineStr">
        <is>
          <t>Needs Work</t>
        </is>
      </c>
      <c r="D77" s="6" t="n">
        <v>0</v>
      </c>
      <c r="E77" s="6" t="n">
        <v>0</v>
      </c>
      <c r="F77" s="6" t="n">
        <v>0</v>
      </c>
      <c r="G77" s="25" t="b">
        <v>0</v>
      </c>
      <c r="H77" s="25" t="b">
        <v>0</v>
      </c>
      <c r="I77" s="6" t="b">
        <v>0</v>
      </c>
      <c r="J77" s="6" t="b">
        <v>0</v>
      </c>
      <c r="K77" s="6" t="b">
        <v>0</v>
      </c>
      <c r="L77" s="4" t="b">
        <v>0</v>
      </c>
      <c r="M77" s="4" t="b">
        <v>0</v>
      </c>
      <c r="N77">
        <f>IFERROR(HYPERLINK("#Main!A"&amp;MATCH(A77,Main!A:A,0),"Open"),HYPERLINK("#Main!A1","Open"))</f>
        <v/>
      </c>
    </row>
    <row r="78" ht="30" customHeight="1">
      <c r="A78" s="33" t="inlineStr">
        <is>
          <t>https://africanmarketingconfederation.org/amc-masterclass-thank-you/</t>
        </is>
      </c>
      <c r="B78" s="24" t="n">
        <v>0</v>
      </c>
      <c r="C78" s="24" t="inlineStr">
        <is>
          <t>Needs Work</t>
        </is>
      </c>
      <c r="D78" s="24" t="n">
        <v>0</v>
      </c>
      <c r="E78" s="24" t="n">
        <v>0</v>
      </c>
      <c r="F78" s="24" t="n">
        <v>0</v>
      </c>
      <c r="G78" s="25" t="b">
        <v>0</v>
      </c>
      <c r="H78" s="25" t="b">
        <v>0</v>
      </c>
      <c r="I78" s="24" t="b">
        <v>0</v>
      </c>
      <c r="J78" s="24" t="b">
        <v>0</v>
      </c>
      <c r="K78" s="24" t="b">
        <v>0</v>
      </c>
      <c r="L78" s="4" t="b">
        <v>0</v>
      </c>
      <c r="M78" s="4" t="b">
        <v>0</v>
      </c>
      <c r="N78">
        <f>IFERROR(HYPERLINK("#Main!A"&amp;MATCH(A78,Main!A:A,0),"Open"),HYPERLINK("#Main!A1","Open"))</f>
        <v/>
      </c>
    </row>
    <row r="79" ht="30" customHeight="1">
      <c r="A79" s="33" t="inlineStr">
        <is>
          <t>https://africanmarketingconfederation.org/amc-masterclass-bookings/</t>
        </is>
      </c>
      <c r="B79" s="6" t="n">
        <v>0</v>
      </c>
      <c r="C79" s="6" t="inlineStr">
        <is>
          <t>Needs Work</t>
        </is>
      </c>
      <c r="D79" s="6" t="n">
        <v>0</v>
      </c>
      <c r="E79" s="6" t="n">
        <v>0</v>
      </c>
      <c r="F79" s="6" t="n">
        <v>0</v>
      </c>
      <c r="G79" s="25" t="b">
        <v>0</v>
      </c>
      <c r="H79" s="25" t="b">
        <v>0</v>
      </c>
      <c r="I79" s="6" t="b">
        <v>0</v>
      </c>
      <c r="J79" s="6" t="b">
        <v>0</v>
      </c>
      <c r="K79" s="6" t="b">
        <v>0</v>
      </c>
      <c r="L79" s="4" t="b">
        <v>0</v>
      </c>
      <c r="M79" s="32" t="b">
        <v>1</v>
      </c>
      <c r="N79">
        <f>IFERROR(HYPERLINK("#Main!A"&amp;MATCH(A79,Main!A:A,0),"Open"),HYPERLINK("#Main!A1","Open"))</f>
        <v/>
      </c>
    </row>
    <row r="80" ht="30" customHeight="1">
      <c r="A80" s="33" t="inlineStr">
        <is>
          <t>https://africanmarketingconfederation.org/amc-conference-programme/</t>
        </is>
      </c>
      <c r="B80" s="24" t="n">
        <v>0</v>
      </c>
      <c r="C80" s="24" t="inlineStr">
        <is>
          <t>Needs Work</t>
        </is>
      </c>
      <c r="D80" s="24" t="n">
        <v>0</v>
      </c>
      <c r="E80" s="24" t="n">
        <v>0</v>
      </c>
      <c r="F80" s="24" t="n">
        <v>0</v>
      </c>
      <c r="G80" s="25" t="b">
        <v>0</v>
      </c>
      <c r="H80" s="25" t="b">
        <v>0</v>
      </c>
      <c r="I80" s="24" t="b">
        <v>0</v>
      </c>
      <c r="J80" s="24" t="b">
        <v>0</v>
      </c>
      <c r="K80" s="24" t="b">
        <v>0</v>
      </c>
      <c r="L80" s="4" t="b">
        <v>0</v>
      </c>
      <c r="M80" s="4" t="b">
        <v>0</v>
      </c>
      <c r="N80">
        <f>IFERROR(HYPERLINK("#Main!A"&amp;MATCH(A80,Main!A:A,0),"Open"),HYPERLINK("#Main!A1","Open"))</f>
        <v/>
      </c>
    </row>
    <row r="81" ht="30" customHeight="1">
      <c r="A81" s="33" t="inlineStr">
        <is>
          <t>https://africanmarketingconfederation.org/test-homeslider/</t>
        </is>
      </c>
      <c r="B81" s="6" t="n">
        <v>0</v>
      </c>
      <c r="C81" s="6" t="inlineStr">
        <is>
          <t>Needs Work</t>
        </is>
      </c>
      <c r="D81" s="6" t="n">
        <v>0</v>
      </c>
      <c r="E81" s="6" t="n">
        <v>0</v>
      </c>
      <c r="F81" s="6" t="n">
        <v>0</v>
      </c>
      <c r="G81" s="25" t="b">
        <v>0</v>
      </c>
      <c r="H81" s="25" t="b">
        <v>0</v>
      </c>
      <c r="I81" s="6" t="b">
        <v>0</v>
      </c>
      <c r="J81" s="6" t="b">
        <v>0</v>
      </c>
      <c r="K81" s="6" t="b">
        <v>0</v>
      </c>
      <c r="L81" s="4" t="b">
        <v>0</v>
      </c>
      <c r="M81" s="4" t="b">
        <v>0</v>
      </c>
      <c r="N81">
        <f>IFERROR(HYPERLINK("#Main!A"&amp;MATCH(A81,Main!A:A,0),"Open"),HYPERLINK("#Main!A1","Open"))</f>
        <v/>
      </c>
    </row>
    <row r="82" ht="30" customHeight="1">
      <c r="A82" s="33" t="inlineStr">
        <is>
          <t>https://africanmarketingconfederation.org/virtual-programme/</t>
        </is>
      </c>
      <c r="B82" s="24" t="n">
        <v>0</v>
      </c>
      <c r="C82" s="24" t="inlineStr">
        <is>
          <t>Needs Work</t>
        </is>
      </c>
      <c r="D82" s="24" t="n">
        <v>0</v>
      </c>
      <c r="E82" s="24" t="n">
        <v>0</v>
      </c>
      <c r="F82" s="24" t="n">
        <v>0</v>
      </c>
      <c r="G82" s="25" t="b">
        <v>0</v>
      </c>
      <c r="H82" s="25" t="b">
        <v>0</v>
      </c>
      <c r="I82" s="24" t="b">
        <v>0</v>
      </c>
      <c r="J82" s="24" t="b">
        <v>0</v>
      </c>
      <c r="K82" s="24" t="b">
        <v>0</v>
      </c>
      <c r="L82" s="4" t="b">
        <v>0</v>
      </c>
      <c r="M82" s="4" t="b">
        <v>0</v>
      </c>
      <c r="N82">
        <f>IFERROR(HYPERLINK("#Main!A"&amp;MATCH(A82,Main!A:A,0),"Open"),HYPERLINK("#Main!A1","Open"))</f>
        <v/>
      </c>
    </row>
    <row r="83" ht="30" customHeight="1">
      <c r="A83" s="33" t="inlineStr">
        <is>
          <t>https://africanmarketingconfederation.org/general-enquiry-form-thank-you/</t>
        </is>
      </c>
      <c r="B83" s="6" t="n">
        <v>0</v>
      </c>
      <c r="C83" s="6" t="inlineStr">
        <is>
          <t>Needs Work</t>
        </is>
      </c>
      <c r="D83" s="6" t="n">
        <v>0</v>
      </c>
      <c r="E83" s="6" t="n">
        <v>0</v>
      </c>
      <c r="F83" s="6" t="n">
        <v>0</v>
      </c>
      <c r="G83" s="25" t="b">
        <v>0</v>
      </c>
      <c r="H83" s="25" t="b">
        <v>0</v>
      </c>
      <c r="I83" s="6" t="b">
        <v>0</v>
      </c>
      <c r="J83" s="6" t="b">
        <v>0</v>
      </c>
      <c r="K83" s="6" t="b">
        <v>0</v>
      </c>
      <c r="L83" s="4" t="b">
        <v>0</v>
      </c>
      <c r="M83" s="4" t="b">
        <v>0</v>
      </c>
      <c r="N83">
        <f>IFERROR(HYPERLINK("#Main!A"&amp;MATCH(A83,Main!A:A,0),"Open"),HYPERLINK("#Main!A1","Open"))</f>
        <v/>
      </c>
    </row>
    <row r="84" ht="30" customHeight="1">
      <c r="A84" s="33" t="inlineStr">
        <is>
          <t>https://africanmarketingconfederation.org/amc-conference-2022-thank-you/</t>
        </is>
      </c>
      <c r="B84" s="24" t="n">
        <v>0</v>
      </c>
      <c r="C84" s="24" t="inlineStr">
        <is>
          <t>Needs Work</t>
        </is>
      </c>
      <c r="D84" s="24" t="n">
        <v>0</v>
      </c>
      <c r="E84" s="24" t="n">
        <v>0</v>
      </c>
      <c r="F84" s="24" t="n">
        <v>0</v>
      </c>
      <c r="G84" s="25" t="b">
        <v>0</v>
      </c>
      <c r="H84" s="25" t="b">
        <v>0</v>
      </c>
      <c r="I84" s="24" t="b">
        <v>0</v>
      </c>
      <c r="J84" s="24" t="b">
        <v>0</v>
      </c>
      <c r="K84" s="24" t="b">
        <v>0</v>
      </c>
      <c r="L84" s="4" t="b">
        <v>0</v>
      </c>
      <c r="M84" s="4" t="b">
        <v>0</v>
      </c>
      <c r="N84">
        <f>IFERROR(HYPERLINK("#Main!A"&amp;MATCH(A84,Main!A:A,0),"Open"),HYPERLINK("#Main!A1","Open"))</f>
        <v/>
      </c>
    </row>
    <row r="85" ht="30" customHeight="1">
      <c r="A85" s="33" t="inlineStr">
        <is>
          <t>https://africanmarketingconfederation.org/privacy-policy/</t>
        </is>
      </c>
      <c r="B85" s="6" t="n">
        <v>0</v>
      </c>
      <c r="C85" s="6" t="inlineStr">
        <is>
          <t>Needs Work</t>
        </is>
      </c>
      <c r="D85" s="6" t="n">
        <v>0</v>
      </c>
      <c r="E85" s="6" t="n">
        <v>0</v>
      </c>
      <c r="F85" s="6" t="n">
        <v>0</v>
      </c>
      <c r="G85" s="25" t="b">
        <v>0</v>
      </c>
      <c r="H85" s="25" t="b">
        <v>0</v>
      </c>
      <c r="I85" s="6" t="b">
        <v>0</v>
      </c>
      <c r="J85" s="6" t="b">
        <v>0</v>
      </c>
      <c r="K85" s="6" t="b">
        <v>0</v>
      </c>
      <c r="L85" s="4" t="b">
        <v>0</v>
      </c>
      <c r="M85" s="4" t="b">
        <v>0</v>
      </c>
      <c r="N85">
        <f>IFERROR(HYPERLINK("#Main!A"&amp;MATCH(A85,Main!A:A,0),"Open"),HYPERLINK("#Main!A1","Open"))</f>
        <v/>
      </c>
    </row>
    <row r="86" ht="30" customHeight="1">
      <c r="A86" s="33" t="inlineStr">
        <is>
          <t>https://africanmarketingconfederation.org/speakers/</t>
        </is>
      </c>
      <c r="B86" s="24" t="n">
        <v>0</v>
      </c>
      <c r="C86" s="24" t="inlineStr">
        <is>
          <t>Needs Work</t>
        </is>
      </c>
      <c r="D86" s="24" t="n">
        <v>0</v>
      </c>
      <c r="E86" s="24" t="n">
        <v>0</v>
      </c>
      <c r="F86" s="24" t="n">
        <v>0</v>
      </c>
      <c r="G86" s="25" t="b">
        <v>0</v>
      </c>
      <c r="H86" s="25" t="b">
        <v>0</v>
      </c>
      <c r="I86" s="24" t="b">
        <v>0</v>
      </c>
      <c r="J86" s="24" t="b">
        <v>0</v>
      </c>
      <c r="K86" s="24" t="b">
        <v>0</v>
      </c>
      <c r="L86" s="4" t="b">
        <v>0</v>
      </c>
      <c r="M86" s="4" t="b">
        <v>0</v>
      </c>
      <c r="N86">
        <f>IFERROR(HYPERLINK("#Main!A"&amp;MATCH(A86,Main!A:A,0),"Open"),HYPERLINK("#Main!A1","Open"))</f>
        <v/>
      </c>
    </row>
  </sheetData>
  <autoFilter ref="A1:M86"/>
  <conditionalFormatting sqref="B2:B86">
    <cfRule type="colorScale" priority="1">
      <colorScale>
        <cfvo type="min"/>
        <cfvo type="percentile" val="50"/>
        <cfvo type="max"/>
        <color rgb="00F8696B"/>
        <color rgb="00FFEB84"/>
        <color rgb="0063BE7B"/>
      </colorScale>
    </cfRule>
  </conditionalFormatting>
  <dataValidations count="1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FAQ Section Count" prompt="Summary grouping/navigation field. Use with hyperlinks to jump into detailed tabs." type="custom">
      <formula1>TRUE</formula1>
    </dataValidation>
    <dataValidation sqref="E1" showDropDown="0" showInputMessage="1" showErrorMessage="0" allowBlank="1" promptTitle="Question Heading Count" prompt="Question Heading Count. Review this metric to identify risk, then use linked tabs for details and remediation." type="custom">
      <formula1>TRUE</formula1>
    </dataValidation>
    <dataValidation sqref="F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G1" showDropDown="0" showInputMessage="1" showErrorMessage="0" allowBlank="1" promptTitle="QAPage/FAQ Schema Present" prompt="Structured data signal. Fix: add valid schema types and correct parsing/validation errors." type="custom">
      <formula1>TRUE</formula1>
    </dataValidation>
    <dataValidation sqref="H1" showDropDown="0" showInputMessage="1" showErrorMessage="0" allowBlank="1" promptTitle="Speakable Schema Present" prompt="Structured data signal. Fix: add valid schema types and correct parsing/validation errors." type="custom">
      <formula1>TRUE</formula1>
    </dataValidation>
    <dataValidation sqref="I1" showDropDown="0" showInputMessage="1" showErrorMessage="0" allowBlank="1" promptTitle="HowTo Signal" prompt="HowTo Signal. Review this metric to identify risk, then use linked tabs for details and remediation." type="custom">
      <formula1>TRUE</formula1>
    </dataValidation>
    <dataValidation sqref="J1" showDropDown="0" showInputMessage="1" showErrorMessage="0" allowBlank="1" promptTitle="Definition Signal" prompt="Definition Signal. Review this metric to identify risk, then use linked tabs for details and remediation." type="custom">
      <formula1>TRUE</formula1>
    </dataValidation>
    <dataValidation sqref="K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L1" showDropDown="0" showInputMessage="1" showErrorMessage="0" allowBlank="1" promptTitle="Title Missing" prompt="Title Missing. Review this metric to identify risk, then use linked tabs for details and remediation." type="custom">
      <formula1>TRUE</formula1>
    </dataValidation>
    <dataValidation sqref="M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N1" showDropDown="0" showInputMessage="1" showErrorMessage="0" allowBlank="1" promptTitle="Open in Main" prompt="Navigation helper. Click to jump directly to the related record in another tab." type="custom">
      <formula1>TRUE</formula1>
    </dataValidation>
    <dataValidation sqref="O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O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7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0" customWidth="1" min="3" max="3"/>
    <col width="43" customWidth="1" min="4" max="4"/>
    <col width="16" customWidth="1" min="5" max="5"/>
    <col width="15" customWidth="1" min="6" max="6"/>
    <col width="35" customWidth="1" min="7" max="7"/>
    <col width="55" customWidth="1" min="8" max="8"/>
    <col width="16" customWidth="1" min="9" max="9"/>
    <col width="30" customWidth="1" min="10" max="10"/>
    <col width="15" customWidth="1" min="11" max="11"/>
    <col width="13" customWidth="1" min="12" max="12"/>
    <col width="8" customWidth="1" min="13" max="13"/>
    <col width="12" customWidth="1" min="14" max="14"/>
    <col width="60" customWidth="1" min="15" max="15"/>
    <col width="60" customWidth="1" min="16" max="16"/>
  </cols>
  <sheetData>
    <row r="1">
      <c r="A1" s="3" t="inlineStr">
        <is>
          <t>URL</t>
        </is>
      </c>
      <c r="B1" s="3" t="inlineStr">
        <is>
          <t>AIOSEO Panel</t>
        </is>
      </c>
      <c r="C1" s="3" t="inlineStr">
        <is>
          <t>Severity</t>
        </is>
      </c>
      <c r="D1" s="3" t="inlineStr">
        <is>
          <t>Issue</t>
        </is>
      </c>
      <c r="E1" s="3" t="inlineStr">
        <is>
          <t>Priority Score</t>
        </is>
      </c>
      <c r="F1" s="3" t="inlineStr">
        <is>
          <t>Current Value</t>
        </is>
      </c>
      <c r="G1" s="3" t="inlineStr">
        <is>
          <t>Recommended Target</t>
        </is>
      </c>
      <c r="H1" s="3" t="inlineStr">
        <is>
          <t>How to Fix in AIOSEO</t>
        </is>
      </c>
      <c r="I1" s="3" t="inlineStr">
        <is>
          <t>Reference Tab</t>
        </is>
      </c>
      <c r="J1" s="3" t="inlineStr">
        <is>
          <t>Reference Field</t>
        </is>
      </c>
      <c r="K1" s="3" t="inlineStr">
        <is>
          <t>Action Needed</t>
        </is>
      </c>
      <c r="L1" s="3" t="inlineStr">
        <is>
          <t>Owner</t>
        </is>
      </c>
      <c r="M1" s="3" t="inlineStr">
        <is>
          <t>Status</t>
        </is>
      </c>
      <c r="N1" s="3" t="inlineStr">
        <is>
          <t>Est. Hours</t>
        </is>
      </c>
      <c r="O1" s="3" t="inlineStr">
        <is>
          <t>Stable Issue ID</t>
        </is>
      </c>
      <c r="P1" s="3" t="inlineStr">
        <is>
          <t>Why It Matters</t>
        </is>
      </c>
      <c r="Q1" t="inlineStr">
        <is>
          <t>Open in Main</t>
        </is>
      </c>
      <c r="R1" t="inlineStr">
        <is>
          <t>Open in Technical</t>
        </is>
      </c>
      <c r="S1" s="23" t="inlineStr">
        <is>
          <t>BACK TO DASHBOARD</t>
        </is>
      </c>
    </row>
    <row r="2" ht="45" customHeight="1">
      <c r="A2" s="33" t="inlineStr">
        <is>
          <t>https://africanmarketingconfederation.org/amc-conference-sponsors/</t>
        </is>
      </c>
      <c r="B2" s="24" t="inlineStr">
        <is>
          <t>Basic SEO</t>
        </is>
      </c>
      <c r="C2" s="32" t="inlineStr">
        <is>
          <t>Critical</t>
        </is>
      </c>
      <c r="D2" s="24" t="inlineStr">
        <is>
          <t>Page returns non-200 response</t>
        </is>
      </c>
      <c r="E2" s="24" t="n">
        <v>105</v>
      </c>
      <c r="F2" s="24" t="n">
        <v>404</v>
      </c>
      <c r="G2" s="24" t="inlineStr">
        <is>
          <t>200</t>
        </is>
      </c>
      <c r="H2" s="24" t="inlineStr">
        <is>
          <t>Update URL target, restore page, or set correct redirect. In AIOSEO, review canonical/robots only after the page returns 200.</t>
        </is>
      </c>
      <c r="I2" s="28" t="inlineStr">
        <is>
          <t>Technical</t>
        </is>
      </c>
      <c r="J2" s="24" t="inlineStr">
        <is>
          <t>Status Code</t>
        </is>
      </c>
      <c r="K2" s="24" t="inlineStr">
        <is>
          <t>Yes</t>
        </is>
      </c>
      <c r="L2" s="24" t="inlineStr">
        <is>
          <t>Dev</t>
        </is>
      </c>
      <c r="M2" s="25" t="inlineStr">
        <is>
          <t>Open</t>
        </is>
      </c>
      <c r="N2" s="24" t="n">
        <v>10</v>
      </c>
      <c r="O2" s="24" t="inlineStr">
        <is>
          <t>https://africanmarketingconfederation.org/amc-conference-sponsors/::aioseo_page_returns_non-200_response</t>
        </is>
      </c>
      <c r="P2" s="24" t="inlineStr">
        <is>
          <t>Pages that error cannot perform in search and fail core page-level SEO checks.</t>
        </is>
      </c>
      <c r="Q2">
        <f>IFERROR(HYPERLINK("#Main!A"&amp;MATCH(A2,Main!A:A,0),"Open"),HYPERLINK("#Main!A1","Open"))</f>
        <v/>
      </c>
      <c r="R2">
        <f>IFERROR(HYPERLINK("#Technical!A"&amp;MATCH(A2,Technical!A:A,0),"Open"),HYPERLINK("#Technical!A1","Open"))</f>
        <v/>
      </c>
    </row>
    <row r="3" ht="45" customHeight="1">
      <c r="A3" s="33" t="inlineStr">
        <is>
          <t>https://africanmarketingconfederation.org/amc-marketing-conference-2024/speakers-2024/</t>
        </is>
      </c>
      <c r="B3" s="6" t="inlineStr">
        <is>
          <t>Basic SEO</t>
        </is>
      </c>
      <c r="C3" s="32" t="inlineStr">
        <is>
          <t>Critical</t>
        </is>
      </c>
      <c r="D3" s="6" t="inlineStr">
        <is>
          <t>Page returns non-200 response</t>
        </is>
      </c>
      <c r="E3" s="6" t="n">
        <v>105</v>
      </c>
      <c r="F3" s="6" t="n">
        <v>404</v>
      </c>
      <c r="G3" s="6" t="inlineStr">
        <is>
          <t>200</t>
        </is>
      </c>
      <c r="H3" s="6" t="inlineStr">
        <is>
          <t>Update URL target, restore page, or set correct redirect. In AIOSEO, review canonical/robots only after the page returns 200.</t>
        </is>
      </c>
      <c r="I3" s="31" t="inlineStr">
        <is>
          <t>Technical</t>
        </is>
      </c>
      <c r="J3" s="6" t="inlineStr">
        <is>
          <t>Status Code</t>
        </is>
      </c>
      <c r="K3" s="6" t="inlineStr">
        <is>
          <t>Yes</t>
        </is>
      </c>
      <c r="L3" s="6" t="inlineStr">
        <is>
          <t>Dev</t>
        </is>
      </c>
      <c r="M3" s="25" t="inlineStr">
        <is>
          <t>Open</t>
        </is>
      </c>
      <c r="N3" s="6" t="n">
        <v>10</v>
      </c>
      <c r="O3" s="6" t="inlineStr">
        <is>
          <t>https://africanmarketingconfederation.org/amc-marketing-conference-2024/speakers-2024/::aioseo_page_returns_non-200_response</t>
        </is>
      </c>
      <c r="P3" s="6" t="inlineStr">
        <is>
          <t>Pages that error cannot perform in search and fail core page-level SEO checks.</t>
        </is>
      </c>
      <c r="Q3">
        <f>IFERROR(HYPERLINK("#Main!A"&amp;MATCH(A3,Main!A:A,0),"Open"),HYPERLINK("#Main!A1","Open"))</f>
        <v/>
      </c>
      <c r="R3">
        <f>IFERROR(HYPERLINK("#Technical!A"&amp;MATCH(A3,Technical!A:A,0),"Open"),HYPERLINK("#Technical!A1","Open"))</f>
        <v/>
      </c>
    </row>
    <row r="4" ht="30" customHeight="1">
      <c r="A4" s="33" t="inlineStr">
        <is>
          <t>https://africanmarketingconfederation.org/amc-conference-2023/amc-awards-book-now/</t>
        </is>
      </c>
      <c r="B4" s="24" t="inlineStr">
        <is>
          <t>Basic SEO</t>
        </is>
      </c>
      <c r="C4" s="25" t="inlineStr">
        <is>
          <t>Warning</t>
        </is>
      </c>
      <c r="D4" s="24" t="inlineStr">
        <is>
          <t>Missing meta description</t>
        </is>
      </c>
      <c r="E4" s="24" t="n">
        <v>67</v>
      </c>
      <c r="F4" s="24" t="inlineStr">
        <is>
          <t>Missing</t>
        </is>
      </c>
      <c r="G4" s="24" t="inlineStr">
        <is>
          <t>120-160 characters</t>
        </is>
      </c>
      <c r="H4" s="24" t="inlineStr">
        <is>
          <t>In AIOSEO snippet settings, add a concise, unique meta description aligned to page intent.</t>
        </is>
      </c>
      <c r="I4" s="28" t="inlineStr">
        <is>
          <t>Main</t>
        </is>
      </c>
      <c r="J4" s="24" t="inlineStr">
        <is>
          <t>Meta Description</t>
        </is>
      </c>
      <c r="K4" s="24" t="inlineStr">
        <is>
          <t>Yes</t>
        </is>
      </c>
      <c r="L4" s="24" t="inlineStr">
        <is>
          <t>Copy Writer</t>
        </is>
      </c>
      <c r="M4" s="25" t="inlineStr">
        <is>
          <t>Open</t>
        </is>
      </c>
      <c r="N4" s="24" t="n">
        <v>4</v>
      </c>
      <c r="O4" s="24" t="inlineStr">
        <is>
          <t>https://africanmarketingconfederation.org/amc-conference-2023/amc-awards-book-now/::aioseo_missing_meta_description</t>
        </is>
      </c>
      <c r="P4" s="24" t="inlineStr">
        <is>
          <t>Missing descriptions reduce control over search snippet messaging.</t>
        </is>
      </c>
      <c r="Q4">
        <f>IFERROR(HYPERLINK("#Main!A"&amp;MATCH(A4,Main!A:A,0),"Open"),HYPERLINK("#Main!A1","Open"))</f>
        <v/>
      </c>
      <c r="R4">
        <f>IFERROR(HYPERLINK("#Technical!A"&amp;MATCH(A4,Technical!A:A,0),"Open"),HYPERLINK("#Technical!A1","Open"))</f>
        <v/>
      </c>
    </row>
    <row r="5" ht="30" customHeight="1">
      <c r="A5" s="33" t="inlineStr">
        <is>
          <t>https://africanmarketingconfederation.org/amc-conference-sponsors/</t>
        </is>
      </c>
      <c r="B5" s="6" t="inlineStr">
        <is>
          <t>Basic SEO</t>
        </is>
      </c>
      <c r="C5" s="25" t="inlineStr">
        <is>
          <t>Warning</t>
        </is>
      </c>
      <c r="D5" s="6" t="inlineStr">
        <is>
          <t>Missing meta description</t>
        </is>
      </c>
      <c r="E5" s="6" t="n">
        <v>67</v>
      </c>
      <c r="F5" s="6" t="inlineStr">
        <is>
          <t>Missing</t>
        </is>
      </c>
      <c r="G5" s="6" t="inlineStr">
        <is>
          <t>120-160 characters</t>
        </is>
      </c>
      <c r="H5" s="6" t="inlineStr">
        <is>
          <t>In AIOSEO snippet settings, add a concise, unique meta description aligned to page intent.</t>
        </is>
      </c>
      <c r="I5" s="31" t="inlineStr">
        <is>
          <t>Main</t>
        </is>
      </c>
      <c r="J5" s="6" t="inlineStr">
        <is>
          <t>Meta Description</t>
        </is>
      </c>
      <c r="K5" s="6" t="inlineStr">
        <is>
          <t>Yes</t>
        </is>
      </c>
      <c r="L5" s="6" t="inlineStr">
        <is>
          <t>Copy Writer</t>
        </is>
      </c>
      <c r="M5" s="25" t="inlineStr">
        <is>
          <t>Open</t>
        </is>
      </c>
      <c r="N5" s="6" t="n">
        <v>4</v>
      </c>
      <c r="O5" s="6" t="inlineStr">
        <is>
          <t>https://africanmarketingconfederation.org/amc-conference-sponsors/::aioseo_missing_meta_description</t>
        </is>
      </c>
      <c r="P5" s="6" t="inlineStr">
        <is>
          <t>Missing descriptions reduce control over search snippet messaging.</t>
        </is>
      </c>
      <c r="Q5">
        <f>IFERROR(HYPERLINK("#Main!A"&amp;MATCH(A5,Main!A:A,0),"Open"),HYPERLINK("#Main!A1","Open"))</f>
        <v/>
      </c>
      <c r="R5">
        <f>IFERROR(HYPERLINK("#Technical!A"&amp;MATCH(A5,Technical!A:A,0),"Open"),HYPERLINK("#Technical!A1","Open"))</f>
        <v/>
      </c>
    </row>
    <row r="6" ht="30" customHeight="1">
      <c r="A6" s="33" t="inlineStr">
        <is>
          <t>https://africanmarketingconfederation.org/amc-marketing-conference-2024/speakers-2024/</t>
        </is>
      </c>
      <c r="B6" s="24" t="inlineStr">
        <is>
          <t>Basic SEO</t>
        </is>
      </c>
      <c r="C6" s="25" t="inlineStr">
        <is>
          <t>Warning</t>
        </is>
      </c>
      <c r="D6" s="24" t="inlineStr">
        <is>
          <t>Missing meta description</t>
        </is>
      </c>
      <c r="E6" s="24" t="n">
        <v>67</v>
      </c>
      <c r="F6" s="24" t="inlineStr">
        <is>
          <t>Missing</t>
        </is>
      </c>
      <c r="G6" s="24" t="inlineStr">
        <is>
          <t>120-160 characters</t>
        </is>
      </c>
      <c r="H6" s="24" t="inlineStr">
        <is>
          <t>In AIOSEO snippet settings, add a concise, unique meta description aligned to page intent.</t>
        </is>
      </c>
      <c r="I6" s="28" t="inlineStr">
        <is>
          <t>Main</t>
        </is>
      </c>
      <c r="J6" s="24" t="inlineStr">
        <is>
          <t>Meta Description</t>
        </is>
      </c>
      <c r="K6" s="24" t="inlineStr">
        <is>
          <t>Yes</t>
        </is>
      </c>
      <c r="L6" s="24" t="inlineStr">
        <is>
          <t>Copy Writer</t>
        </is>
      </c>
      <c r="M6" s="25" t="inlineStr">
        <is>
          <t>Open</t>
        </is>
      </c>
      <c r="N6" s="24" t="n">
        <v>4</v>
      </c>
      <c r="O6" s="24" t="inlineStr">
        <is>
          <t>https://africanmarketingconfederation.org/amc-marketing-conference-2024/speakers-2024/::aioseo_missing_meta_description</t>
        </is>
      </c>
      <c r="P6" s="24" t="inlineStr">
        <is>
          <t>Missing descriptions reduce control over search snippet messaging.</t>
        </is>
      </c>
      <c r="Q6">
        <f>IFERROR(HYPERLINK("#Main!A"&amp;MATCH(A6,Main!A:A,0),"Open"),HYPERLINK("#Main!A1","Open"))</f>
        <v/>
      </c>
      <c r="R6">
        <f>IFERROR(HYPERLINK("#Technical!A"&amp;MATCH(A6,Technical!A:A,0),"Open"),HYPERLINK("#Technical!A1","Open"))</f>
        <v/>
      </c>
    </row>
    <row r="7" ht="30" customHeight="1">
      <c r="A7" s="33" t="inlineStr">
        <is>
          <t>https://africanmarketingconfederation.org/amc-masterclass-bookings/</t>
        </is>
      </c>
      <c r="B7" s="6" t="inlineStr">
        <is>
          <t>Basic SEO</t>
        </is>
      </c>
      <c r="C7" s="25" t="inlineStr">
        <is>
          <t>Warning</t>
        </is>
      </c>
      <c r="D7" s="6" t="inlineStr">
        <is>
          <t>Missing meta description</t>
        </is>
      </c>
      <c r="E7" s="6" t="n">
        <v>67</v>
      </c>
      <c r="F7" s="6" t="inlineStr">
        <is>
          <t>Missing</t>
        </is>
      </c>
      <c r="G7" s="6" t="inlineStr">
        <is>
          <t>120-160 characters</t>
        </is>
      </c>
      <c r="H7" s="6" t="inlineStr">
        <is>
          <t>In AIOSEO snippet settings, add a concise, unique meta description aligned to page intent.</t>
        </is>
      </c>
      <c r="I7" s="31" t="inlineStr">
        <is>
          <t>Main</t>
        </is>
      </c>
      <c r="J7" s="6" t="inlineStr">
        <is>
          <t>Meta Description</t>
        </is>
      </c>
      <c r="K7" s="6" t="inlineStr">
        <is>
          <t>Yes</t>
        </is>
      </c>
      <c r="L7" s="6" t="inlineStr">
        <is>
          <t>Copy Writer</t>
        </is>
      </c>
      <c r="M7" s="25" t="inlineStr">
        <is>
          <t>Open</t>
        </is>
      </c>
      <c r="N7" s="6" t="n">
        <v>4</v>
      </c>
      <c r="O7" s="6" t="inlineStr">
        <is>
          <t>https://africanmarketingconfederation.org/amc-masterclass-bookings/::aioseo_missing_meta_description</t>
        </is>
      </c>
      <c r="P7" s="6" t="inlineStr">
        <is>
          <t>Missing descriptions reduce control over search snippet messaging.</t>
        </is>
      </c>
      <c r="Q7">
        <f>IFERROR(HYPERLINK("#Main!A"&amp;MATCH(A7,Main!A:A,0),"Open"),HYPERLINK("#Main!A1","Open"))</f>
        <v/>
      </c>
      <c r="R7">
        <f>IFERROR(HYPERLINK("#Technical!A"&amp;MATCH(A7,Technical!A:A,0),"Open"),HYPERLINK("#Technical!A1","Open"))</f>
        <v/>
      </c>
    </row>
    <row r="8" ht="30" customHeight="1">
      <c r="A8" s="33" t="inlineStr">
        <is>
          <t>https://africanmarketingconfederation.org/elementor-20341/</t>
        </is>
      </c>
      <c r="B8" s="24" t="inlineStr">
        <is>
          <t>Basic SEO</t>
        </is>
      </c>
      <c r="C8" s="25" t="inlineStr">
        <is>
          <t>Warning</t>
        </is>
      </c>
      <c r="D8" s="24" t="inlineStr">
        <is>
          <t>Missing meta description</t>
        </is>
      </c>
      <c r="E8" s="24" t="n">
        <v>67</v>
      </c>
      <c r="F8" s="24" t="inlineStr">
        <is>
          <t>Missing</t>
        </is>
      </c>
      <c r="G8" s="24" t="inlineStr">
        <is>
          <t>120-160 characters</t>
        </is>
      </c>
      <c r="H8" s="24" t="inlineStr">
        <is>
          <t>In AIOSEO snippet settings, add a concise, unique meta description aligned to page intent.</t>
        </is>
      </c>
      <c r="I8" s="28" t="inlineStr">
        <is>
          <t>Main</t>
        </is>
      </c>
      <c r="J8" s="24" t="inlineStr">
        <is>
          <t>Meta Description</t>
        </is>
      </c>
      <c r="K8" s="24" t="inlineStr">
        <is>
          <t>Yes</t>
        </is>
      </c>
      <c r="L8" s="24" t="inlineStr">
        <is>
          <t>Copy Writer</t>
        </is>
      </c>
      <c r="M8" s="25" t="inlineStr">
        <is>
          <t>Open</t>
        </is>
      </c>
      <c r="N8" s="24" t="n">
        <v>4</v>
      </c>
      <c r="O8" s="24" t="inlineStr">
        <is>
          <t>https://africanmarketingconfederation.org/elementor-20341/::aioseo_missing_meta_description</t>
        </is>
      </c>
      <c r="P8" s="24" t="inlineStr">
        <is>
          <t>Missing descriptions reduce control over search snippet messaging.</t>
        </is>
      </c>
      <c r="Q8">
        <f>IFERROR(HYPERLINK("#Main!A"&amp;MATCH(A8,Main!A:A,0),"Open"),HYPERLINK("#Main!A1","Open"))</f>
        <v/>
      </c>
      <c r="R8">
        <f>IFERROR(HYPERLINK("#Technical!A"&amp;MATCH(A8,Technical!A:A,0),"Open"),HYPERLINK("#Technical!A1","Open"))</f>
        <v/>
      </c>
    </row>
    <row r="9" ht="30" customHeight="1">
      <c r="A9" s="33" t="inlineStr">
        <is>
          <t>https://africanmarketingconfederation.org/</t>
        </is>
      </c>
      <c r="B9" s="6" t="inlineStr">
        <is>
          <t>Content</t>
        </is>
      </c>
      <c r="C9" s="25" t="inlineStr">
        <is>
          <t>Warning</t>
        </is>
      </c>
      <c r="D9" s="6" t="inlineStr">
        <is>
          <t>Low AEO readiness score</t>
        </is>
      </c>
      <c r="E9" s="6" t="n">
        <v>67</v>
      </c>
      <c r="F9" s="6" t="n">
        <v>0</v>
      </c>
      <c r="G9" s="6" t="inlineStr">
        <is>
          <t>&gt;=60</t>
        </is>
      </c>
      <c r="H9" s="6" t="inlineStr">
        <is>
          <t>Add concise answer blocks, question-led subheadings, and clear structured sections.</t>
        </is>
      </c>
      <c r="I9" s="31" t="inlineStr">
        <is>
          <t>AEO</t>
        </is>
      </c>
      <c r="J9" s="6" t="inlineStr">
        <is>
          <t>AEO Readiness Score</t>
        </is>
      </c>
      <c r="K9" s="6" t="inlineStr">
        <is>
          <t>Yes</t>
        </is>
      </c>
      <c r="L9" s="6" t="inlineStr">
        <is>
          <t>Copy Writer</t>
        </is>
      </c>
      <c r="M9" s="25" t="inlineStr">
        <is>
          <t>Open</t>
        </is>
      </c>
      <c r="N9" s="6" t="n">
        <v>4</v>
      </c>
      <c r="O9" s="6" t="inlineStr">
        <is>
          <t>https://africanmarketingconfederation.org/::aioseo_low_aeo_readiness_score</t>
        </is>
      </c>
      <c r="P9" s="6" t="inlineStr">
        <is>
          <t>Weak answer-style structure lowers AI/answer-engine retrieval potential.</t>
        </is>
      </c>
      <c r="Q9">
        <f>IFERROR(HYPERLINK("#Main!A"&amp;MATCH(A9,Main!A:A,0),"Open"),HYPERLINK("#Main!A1","Open"))</f>
        <v/>
      </c>
      <c r="R9">
        <f>IFERROR(HYPERLINK("#Technical!A"&amp;MATCH(A9,Technical!A:A,0),"Open"),HYPERLINK("#Technical!A1","Open"))</f>
        <v/>
      </c>
    </row>
    <row r="10" ht="30" customHeight="1">
      <c r="A10" s="33" t="inlineStr">
        <is>
          <t>https://africanmarketingconfederation.org/about-us/</t>
        </is>
      </c>
      <c r="B10" s="24" t="inlineStr">
        <is>
          <t>Content</t>
        </is>
      </c>
      <c r="C10" s="25" t="inlineStr">
        <is>
          <t>Warning</t>
        </is>
      </c>
      <c r="D10" s="24" t="inlineStr">
        <is>
          <t>Low AEO readiness score</t>
        </is>
      </c>
      <c r="E10" s="24" t="n">
        <v>67</v>
      </c>
      <c r="F10" s="24" t="n">
        <v>0</v>
      </c>
      <c r="G10" s="24" t="inlineStr">
        <is>
          <t>&gt;=60</t>
        </is>
      </c>
      <c r="H10" s="24" t="inlineStr">
        <is>
          <t>Add concise answer blocks, question-led subheadings, and clear structured sections.</t>
        </is>
      </c>
      <c r="I10" s="28" t="inlineStr">
        <is>
          <t>AEO</t>
        </is>
      </c>
      <c r="J10" s="24" t="inlineStr">
        <is>
          <t>AEO Readiness Score</t>
        </is>
      </c>
      <c r="K10" s="24" t="inlineStr">
        <is>
          <t>Yes</t>
        </is>
      </c>
      <c r="L10" s="24" t="inlineStr">
        <is>
          <t>Copy Writer</t>
        </is>
      </c>
      <c r="M10" s="25" t="inlineStr">
        <is>
          <t>Open</t>
        </is>
      </c>
      <c r="N10" s="24" t="n">
        <v>4</v>
      </c>
      <c r="O10" s="24" t="inlineStr">
        <is>
          <t>https://africanmarketingconfederation.org/about-us/::aioseo_low_aeo_readiness_score</t>
        </is>
      </c>
      <c r="P10" s="24" t="inlineStr">
        <is>
          <t>Weak answer-style structure lowers AI/answer-engine retrieval potential.</t>
        </is>
      </c>
      <c r="Q10">
        <f>IFERROR(HYPERLINK("#Main!A"&amp;MATCH(A10,Main!A:A,0),"Open"),HYPERLINK("#Main!A1","Open"))</f>
        <v/>
      </c>
      <c r="R10">
        <f>IFERROR(HYPERLINK("#Technical!A"&amp;MATCH(A10,Technical!A:A,0),"Open"),HYPERLINK("#Technical!A1","Open"))</f>
        <v/>
      </c>
    </row>
    <row r="11" ht="30" customHeight="1">
      <c r="A11" s="33" t="inlineStr">
        <is>
          <t>https://africanmarketingconfederation.org/african-marketing-confederation-tourism-chapter/</t>
        </is>
      </c>
      <c r="B11" s="6" t="inlineStr">
        <is>
          <t>Content</t>
        </is>
      </c>
      <c r="C11" s="25" t="inlineStr">
        <is>
          <t>Warning</t>
        </is>
      </c>
      <c r="D11" s="6" t="inlineStr">
        <is>
          <t>Low AEO readiness score</t>
        </is>
      </c>
      <c r="E11" s="6" t="n">
        <v>67</v>
      </c>
      <c r="F11" s="6" t="n">
        <v>0</v>
      </c>
      <c r="G11" s="6" t="inlineStr">
        <is>
          <t>&gt;=60</t>
        </is>
      </c>
      <c r="H11" s="6" t="inlineStr">
        <is>
          <t>Add concise answer blocks, question-led subheadings, and clear structured sections.</t>
        </is>
      </c>
      <c r="I11" s="31" t="inlineStr">
        <is>
          <t>AEO</t>
        </is>
      </c>
      <c r="J11" s="6" t="inlineStr">
        <is>
          <t>AEO Readiness Score</t>
        </is>
      </c>
      <c r="K11" s="6" t="inlineStr">
        <is>
          <t>Yes</t>
        </is>
      </c>
      <c r="L11" s="6" t="inlineStr">
        <is>
          <t>Copy Writer</t>
        </is>
      </c>
      <c r="M11" s="25" t="inlineStr">
        <is>
          <t>Open</t>
        </is>
      </c>
      <c r="N11" s="6" t="n">
        <v>4</v>
      </c>
      <c r="O11" s="6" t="inlineStr">
        <is>
          <t>https://africanmarketingconfederation.org/african-marketing-confederation-tourism-chapter/::aioseo_low_aeo_readiness_score</t>
        </is>
      </c>
      <c r="P11" s="6" t="inlineStr">
        <is>
          <t>Weak answer-style structure lowers AI/answer-engine retrieval potential.</t>
        </is>
      </c>
      <c r="Q11">
        <f>IFERROR(HYPERLINK("#Main!A"&amp;MATCH(A11,Main!A:A,0),"Open"),HYPERLINK("#Main!A1","Open"))</f>
        <v/>
      </c>
      <c r="R11">
        <f>IFERROR(HYPERLINK("#Technical!A"&amp;MATCH(A11,Technical!A:A,0),"Open"),HYPERLINK("#Technical!A1","Open"))</f>
        <v/>
      </c>
    </row>
    <row r="12" ht="30" customHeight="1">
      <c r="A12" s="33" t="inlineStr">
        <is>
          <t>https://africanmarketingconfederation.org/amc-awards-2024/</t>
        </is>
      </c>
      <c r="B12" s="24" t="inlineStr">
        <is>
          <t>Content</t>
        </is>
      </c>
      <c r="C12" s="25" t="inlineStr">
        <is>
          <t>Warning</t>
        </is>
      </c>
      <c r="D12" s="24" t="inlineStr">
        <is>
          <t>Low AEO readiness score</t>
        </is>
      </c>
      <c r="E12" s="24" t="n">
        <v>67</v>
      </c>
      <c r="F12" s="24" t="n">
        <v>0</v>
      </c>
      <c r="G12" s="24" t="inlineStr">
        <is>
          <t>&gt;=60</t>
        </is>
      </c>
      <c r="H12" s="24" t="inlineStr">
        <is>
          <t>Add concise answer blocks, question-led subheadings, and clear structured sections.</t>
        </is>
      </c>
      <c r="I12" s="28" t="inlineStr">
        <is>
          <t>AEO</t>
        </is>
      </c>
      <c r="J12" s="24" t="inlineStr">
        <is>
          <t>AEO Readiness Score</t>
        </is>
      </c>
      <c r="K12" s="24" t="inlineStr">
        <is>
          <t>Yes</t>
        </is>
      </c>
      <c r="L12" s="24" t="inlineStr">
        <is>
          <t>Copy Writer</t>
        </is>
      </c>
      <c r="M12" s="25" t="inlineStr">
        <is>
          <t>Open</t>
        </is>
      </c>
      <c r="N12" s="24" t="n">
        <v>4</v>
      </c>
      <c r="O12" s="24" t="inlineStr">
        <is>
          <t>https://africanmarketingconfederation.org/amc-awards-2024/::aioseo_low_aeo_readiness_score</t>
        </is>
      </c>
      <c r="P12" s="24" t="inlineStr">
        <is>
          <t>Weak answer-style structure lowers AI/answer-engine retrieval potential.</t>
        </is>
      </c>
      <c r="Q12">
        <f>IFERROR(HYPERLINK("#Main!A"&amp;MATCH(A12,Main!A:A,0),"Open"),HYPERLINK("#Main!A1","Open"))</f>
        <v/>
      </c>
      <c r="R12">
        <f>IFERROR(HYPERLINK("#Technical!A"&amp;MATCH(A12,Technical!A:A,0),"Open"),HYPERLINK("#Technical!A1","Open"))</f>
        <v/>
      </c>
    </row>
    <row r="13" ht="30" customHeight="1">
      <c r="A13" s="33" t="inlineStr">
        <is>
          <t>https://africanmarketingconfederation.org/amc-conference-2022-prospectus/</t>
        </is>
      </c>
      <c r="B13" s="6" t="inlineStr">
        <is>
          <t>Content</t>
        </is>
      </c>
      <c r="C13" s="25" t="inlineStr">
        <is>
          <t>Warning</t>
        </is>
      </c>
      <c r="D13" s="6" t="inlineStr">
        <is>
          <t>Low AEO readiness score</t>
        </is>
      </c>
      <c r="E13" s="6" t="n">
        <v>67</v>
      </c>
      <c r="F13" s="6" t="n">
        <v>0</v>
      </c>
      <c r="G13" s="6" t="inlineStr">
        <is>
          <t>&gt;=60</t>
        </is>
      </c>
      <c r="H13" s="6" t="inlineStr">
        <is>
          <t>Add concise answer blocks, question-led subheadings, and clear structured sections.</t>
        </is>
      </c>
      <c r="I13" s="31" t="inlineStr">
        <is>
          <t>AEO</t>
        </is>
      </c>
      <c r="J13" s="6" t="inlineStr">
        <is>
          <t>AEO Readiness Score</t>
        </is>
      </c>
      <c r="K13" s="6" t="inlineStr">
        <is>
          <t>Yes</t>
        </is>
      </c>
      <c r="L13" s="6" t="inlineStr">
        <is>
          <t>Copy Writer</t>
        </is>
      </c>
      <c r="M13" s="25" t="inlineStr">
        <is>
          <t>Open</t>
        </is>
      </c>
      <c r="N13" s="6" t="n">
        <v>4</v>
      </c>
      <c r="O13" s="6" t="inlineStr">
        <is>
          <t>https://africanmarketingconfederation.org/amc-conference-2022-prospectus/::aioseo_low_aeo_readiness_score</t>
        </is>
      </c>
      <c r="P13" s="6" t="inlineStr">
        <is>
          <t>Weak answer-style structure lowers AI/answer-engine retrieval potential.</t>
        </is>
      </c>
      <c r="Q13">
        <f>IFERROR(HYPERLINK("#Main!A"&amp;MATCH(A13,Main!A:A,0),"Open"),HYPERLINK("#Main!A1","Open"))</f>
        <v/>
      </c>
      <c r="R13">
        <f>IFERROR(HYPERLINK("#Technical!A"&amp;MATCH(A13,Technical!A:A,0),"Open"),HYPERLINK("#Technical!A1","Open"))</f>
        <v/>
      </c>
    </row>
    <row r="14" ht="30" customHeight="1">
      <c r="A14" s="33" t="inlineStr">
        <is>
          <t>https://africanmarketingconfederation.org/amc-conference-2022-thank-you/</t>
        </is>
      </c>
      <c r="B14" s="24" t="inlineStr">
        <is>
          <t>Content</t>
        </is>
      </c>
      <c r="C14" s="25" t="inlineStr">
        <is>
          <t>Warning</t>
        </is>
      </c>
      <c r="D14" s="24" t="inlineStr">
        <is>
          <t>Low AEO readiness score</t>
        </is>
      </c>
      <c r="E14" s="24" t="n">
        <v>67</v>
      </c>
      <c r="F14" s="24" t="n">
        <v>0</v>
      </c>
      <c r="G14" s="24" t="inlineStr">
        <is>
          <t>&gt;=60</t>
        </is>
      </c>
      <c r="H14" s="24" t="inlineStr">
        <is>
          <t>Add concise answer blocks, question-led subheadings, and clear structured sections.</t>
        </is>
      </c>
      <c r="I14" s="28" t="inlineStr">
        <is>
          <t>AEO</t>
        </is>
      </c>
      <c r="J14" s="24" t="inlineStr">
        <is>
          <t>AEO Readiness Score</t>
        </is>
      </c>
      <c r="K14" s="24" t="inlineStr">
        <is>
          <t>Yes</t>
        </is>
      </c>
      <c r="L14" s="24" t="inlineStr">
        <is>
          <t>Copy Writer</t>
        </is>
      </c>
      <c r="M14" s="25" t="inlineStr">
        <is>
          <t>Open</t>
        </is>
      </c>
      <c r="N14" s="24" t="n">
        <v>4</v>
      </c>
      <c r="O14" s="24" t="inlineStr">
        <is>
          <t>https://africanmarketingconfederation.org/amc-conference-2022-thank-you/::aioseo_low_aeo_readiness_score</t>
        </is>
      </c>
      <c r="P14" s="24" t="inlineStr">
        <is>
          <t>Weak answer-style structure lowers AI/answer-engine retrieval potential.</t>
        </is>
      </c>
      <c r="Q14">
        <f>IFERROR(HYPERLINK("#Main!A"&amp;MATCH(A14,Main!A:A,0),"Open"),HYPERLINK("#Main!A1","Open"))</f>
        <v/>
      </c>
      <c r="R14">
        <f>IFERROR(HYPERLINK("#Technical!A"&amp;MATCH(A14,Technical!A:A,0),"Open"),HYPERLINK("#Technical!A1","Open"))</f>
        <v/>
      </c>
    </row>
    <row r="15" ht="30" customHeight="1">
      <c r="A15" s="33" t="inlineStr">
        <is>
          <t>https://africanmarketingconfederation.org/amc-conference-2022/</t>
        </is>
      </c>
      <c r="B15" s="6" t="inlineStr">
        <is>
          <t>Content</t>
        </is>
      </c>
      <c r="C15" s="25" t="inlineStr">
        <is>
          <t>Warning</t>
        </is>
      </c>
      <c r="D15" s="6" t="inlineStr">
        <is>
          <t>Low AEO readiness score</t>
        </is>
      </c>
      <c r="E15" s="6" t="n">
        <v>67</v>
      </c>
      <c r="F15" s="6" t="n">
        <v>0</v>
      </c>
      <c r="G15" s="6" t="inlineStr">
        <is>
          <t>&gt;=60</t>
        </is>
      </c>
      <c r="H15" s="6" t="inlineStr">
        <is>
          <t>Add concise answer blocks, question-led subheadings, and clear structured sections.</t>
        </is>
      </c>
      <c r="I15" s="31" t="inlineStr">
        <is>
          <t>AEO</t>
        </is>
      </c>
      <c r="J15" s="6" t="inlineStr">
        <is>
          <t>AEO Readiness Score</t>
        </is>
      </c>
      <c r="K15" s="6" t="inlineStr">
        <is>
          <t>Yes</t>
        </is>
      </c>
      <c r="L15" s="6" t="inlineStr">
        <is>
          <t>Copy Writer</t>
        </is>
      </c>
      <c r="M15" s="25" t="inlineStr">
        <is>
          <t>Open</t>
        </is>
      </c>
      <c r="N15" s="6" t="n">
        <v>4</v>
      </c>
      <c r="O15" s="6" t="inlineStr">
        <is>
          <t>https://africanmarketingconfederation.org/amc-conference-2022/::aioseo_low_aeo_readiness_score</t>
        </is>
      </c>
      <c r="P15" s="6" t="inlineStr">
        <is>
          <t>Weak answer-style structure lowers AI/answer-engine retrieval potential.</t>
        </is>
      </c>
      <c r="Q15">
        <f>IFERROR(HYPERLINK("#Main!A"&amp;MATCH(A15,Main!A:A,0),"Open"),HYPERLINK("#Main!A1","Open"))</f>
        <v/>
      </c>
      <c r="R15">
        <f>IFERROR(HYPERLINK("#Technical!A"&amp;MATCH(A15,Technical!A:A,0),"Open"),HYPERLINK("#Technical!A1","Open"))</f>
        <v/>
      </c>
    </row>
    <row r="16" ht="30" customHeight="1">
      <c r="A16" s="33" t="inlineStr">
        <is>
          <t>https://africanmarketingconfederation.org/amc-conference-2023/</t>
        </is>
      </c>
      <c r="B16" s="24" t="inlineStr">
        <is>
          <t>Content</t>
        </is>
      </c>
      <c r="C16" s="25" t="inlineStr">
        <is>
          <t>Warning</t>
        </is>
      </c>
      <c r="D16" s="24" t="inlineStr">
        <is>
          <t>Low AEO readiness score</t>
        </is>
      </c>
      <c r="E16" s="24" t="n">
        <v>67</v>
      </c>
      <c r="F16" s="24" t="n">
        <v>0</v>
      </c>
      <c r="G16" s="24" t="inlineStr">
        <is>
          <t>&gt;=60</t>
        </is>
      </c>
      <c r="H16" s="24" t="inlineStr">
        <is>
          <t>Add concise answer blocks, question-led subheadings, and clear structured sections.</t>
        </is>
      </c>
      <c r="I16" s="28" t="inlineStr">
        <is>
          <t>AEO</t>
        </is>
      </c>
      <c r="J16" s="24" t="inlineStr">
        <is>
          <t>AEO Readiness Score</t>
        </is>
      </c>
      <c r="K16" s="24" t="inlineStr">
        <is>
          <t>Yes</t>
        </is>
      </c>
      <c r="L16" s="24" t="inlineStr">
        <is>
          <t>Copy Writer</t>
        </is>
      </c>
      <c r="M16" s="25" t="inlineStr">
        <is>
          <t>Open</t>
        </is>
      </c>
      <c r="N16" s="24" t="n">
        <v>4</v>
      </c>
      <c r="O16" s="24" t="inlineStr">
        <is>
          <t>https://africanmarketingconfederation.org/amc-conference-2023/::aioseo_low_aeo_readiness_score</t>
        </is>
      </c>
      <c r="P16" s="24" t="inlineStr">
        <is>
          <t>Weak answer-style structure lowers AI/answer-engine retrieval potential.</t>
        </is>
      </c>
      <c r="Q16">
        <f>IFERROR(HYPERLINK("#Main!A"&amp;MATCH(A16,Main!A:A,0),"Open"),HYPERLINK("#Main!A1","Open"))</f>
        <v/>
      </c>
      <c r="R16">
        <f>IFERROR(HYPERLINK("#Technical!A"&amp;MATCH(A16,Technical!A:A,0),"Open"),HYPERLINK("#Technical!A1","Open"))</f>
        <v/>
      </c>
    </row>
    <row r="17" ht="30" customHeight="1">
      <c r="A17" s="33" t="inlineStr">
        <is>
          <t>https://africanmarketingconfederation.org/amc-conference-2023/amc-awards-book-now/</t>
        </is>
      </c>
      <c r="B17" s="6" t="inlineStr">
        <is>
          <t>Content</t>
        </is>
      </c>
      <c r="C17" s="25" t="inlineStr">
        <is>
          <t>Warning</t>
        </is>
      </c>
      <c r="D17" s="6" t="inlineStr">
        <is>
          <t>Low AEO readiness score</t>
        </is>
      </c>
      <c r="E17" s="6" t="n">
        <v>67</v>
      </c>
      <c r="F17" s="6" t="n">
        <v>0</v>
      </c>
      <c r="G17" s="6" t="inlineStr">
        <is>
          <t>&gt;=60</t>
        </is>
      </c>
      <c r="H17" s="6" t="inlineStr">
        <is>
          <t>Add concise answer blocks, question-led subheadings, and clear structured sections.</t>
        </is>
      </c>
      <c r="I17" s="31" t="inlineStr">
        <is>
          <t>AEO</t>
        </is>
      </c>
      <c r="J17" s="6" t="inlineStr">
        <is>
          <t>AEO Readiness Score</t>
        </is>
      </c>
      <c r="K17" s="6" t="inlineStr">
        <is>
          <t>Yes</t>
        </is>
      </c>
      <c r="L17" s="6" t="inlineStr">
        <is>
          <t>Copy Writer</t>
        </is>
      </c>
      <c r="M17" s="25" t="inlineStr">
        <is>
          <t>Open</t>
        </is>
      </c>
      <c r="N17" s="6" t="n">
        <v>4</v>
      </c>
      <c r="O17" s="6" t="inlineStr">
        <is>
          <t>https://africanmarketingconfederation.org/amc-conference-2023/amc-awards-book-now/::aioseo_low_aeo_readiness_score</t>
        </is>
      </c>
      <c r="P17" s="6" t="inlineStr">
        <is>
          <t>Weak answer-style structure lowers AI/answer-engine retrieval potential.</t>
        </is>
      </c>
      <c r="Q17">
        <f>IFERROR(HYPERLINK("#Main!A"&amp;MATCH(A17,Main!A:A,0),"Open"),HYPERLINK("#Main!A1","Open"))</f>
        <v/>
      </c>
      <c r="R17">
        <f>IFERROR(HYPERLINK("#Technical!A"&amp;MATCH(A17,Technical!A:A,0),"Open"),HYPERLINK("#Technical!A1","Open"))</f>
        <v/>
      </c>
    </row>
    <row r="18" ht="30" customHeight="1">
      <c r="A18" s="33" t="inlineStr">
        <is>
          <t>https://africanmarketingconfederation.org/amc-conference-2023/amc-awards/</t>
        </is>
      </c>
      <c r="B18" s="24" t="inlineStr">
        <is>
          <t>Content</t>
        </is>
      </c>
      <c r="C18" s="25" t="inlineStr">
        <is>
          <t>Warning</t>
        </is>
      </c>
      <c r="D18" s="24" t="inlineStr">
        <is>
          <t>Low AEO readiness score</t>
        </is>
      </c>
      <c r="E18" s="24" t="n">
        <v>67</v>
      </c>
      <c r="F18" s="24" t="n">
        <v>0</v>
      </c>
      <c r="G18" s="24" t="inlineStr">
        <is>
          <t>&gt;=60</t>
        </is>
      </c>
      <c r="H18" s="24" t="inlineStr">
        <is>
          <t>Add concise answer blocks, question-led subheadings, and clear structured sections.</t>
        </is>
      </c>
      <c r="I18" s="28" t="inlineStr">
        <is>
          <t>AEO</t>
        </is>
      </c>
      <c r="J18" s="24" t="inlineStr">
        <is>
          <t>AEO Readiness Score</t>
        </is>
      </c>
      <c r="K18" s="24" t="inlineStr">
        <is>
          <t>Yes</t>
        </is>
      </c>
      <c r="L18" s="24" t="inlineStr">
        <is>
          <t>Copy Writer</t>
        </is>
      </c>
      <c r="M18" s="25" t="inlineStr">
        <is>
          <t>Open</t>
        </is>
      </c>
      <c r="N18" s="24" t="n">
        <v>4</v>
      </c>
      <c r="O18" s="24" t="inlineStr">
        <is>
          <t>https://africanmarketingconfederation.org/amc-conference-2023/amc-awards/::aioseo_low_aeo_readiness_score</t>
        </is>
      </c>
      <c r="P18" s="24" t="inlineStr">
        <is>
          <t>Weak answer-style structure lowers AI/answer-engine retrieval potential.</t>
        </is>
      </c>
      <c r="Q18">
        <f>IFERROR(HYPERLINK("#Main!A"&amp;MATCH(A18,Main!A:A,0),"Open"),HYPERLINK("#Main!A1","Open"))</f>
        <v/>
      </c>
      <c r="R18">
        <f>IFERROR(HYPERLINK("#Technical!A"&amp;MATCH(A18,Technical!A:A,0),"Open"),HYPERLINK("#Technical!A1","Open"))</f>
        <v/>
      </c>
    </row>
    <row r="19" ht="30" customHeight="1">
      <c r="A19" s="33" t="inlineStr">
        <is>
          <t>https://africanmarketingconfederation.org/amc-conference-2023/book-now-thank-you/</t>
        </is>
      </c>
      <c r="B19" s="6" t="inlineStr">
        <is>
          <t>Content</t>
        </is>
      </c>
      <c r="C19" s="25" t="inlineStr">
        <is>
          <t>Warning</t>
        </is>
      </c>
      <c r="D19" s="6" t="inlineStr">
        <is>
          <t>Low AEO readiness score</t>
        </is>
      </c>
      <c r="E19" s="6" t="n">
        <v>67</v>
      </c>
      <c r="F19" s="6" t="n">
        <v>0</v>
      </c>
      <c r="G19" s="6" t="inlineStr">
        <is>
          <t>&gt;=60</t>
        </is>
      </c>
      <c r="H19" s="6" t="inlineStr">
        <is>
          <t>Add concise answer blocks, question-led subheadings, and clear structured sections.</t>
        </is>
      </c>
      <c r="I19" s="31" t="inlineStr">
        <is>
          <t>AEO</t>
        </is>
      </c>
      <c r="J19" s="6" t="inlineStr">
        <is>
          <t>AEO Readiness Score</t>
        </is>
      </c>
      <c r="K19" s="6" t="inlineStr">
        <is>
          <t>Yes</t>
        </is>
      </c>
      <c r="L19" s="6" t="inlineStr">
        <is>
          <t>Copy Writer</t>
        </is>
      </c>
      <c r="M19" s="25" t="inlineStr">
        <is>
          <t>Open</t>
        </is>
      </c>
      <c r="N19" s="6" t="n">
        <v>4</v>
      </c>
      <c r="O19" s="6" t="inlineStr">
        <is>
          <t>https://africanmarketingconfederation.org/amc-conference-2023/book-now-thank-you/::aioseo_low_aeo_readiness_score</t>
        </is>
      </c>
      <c r="P19" s="6" t="inlineStr">
        <is>
          <t>Weak answer-style structure lowers AI/answer-engine retrieval potential.</t>
        </is>
      </c>
      <c r="Q19">
        <f>IFERROR(HYPERLINK("#Main!A"&amp;MATCH(A19,Main!A:A,0),"Open"),HYPERLINK("#Main!A1","Open"))</f>
        <v/>
      </c>
      <c r="R19">
        <f>IFERROR(HYPERLINK("#Technical!A"&amp;MATCH(A19,Technical!A:A,0),"Open"),HYPERLINK("#Technical!A1","Open"))</f>
        <v/>
      </c>
    </row>
    <row r="20" ht="30" customHeight="1">
      <c r="A20" s="33" t="inlineStr">
        <is>
          <t>https://africanmarketingconfederation.org/amc-conference-2023/book-now/</t>
        </is>
      </c>
      <c r="B20" s="24" t="inlineStr">
        <is>
          <t>Content</t>
        </is>
      </c>
      <c r="C20" s="25" t="inlineStr">
        <is>
          <t>Warning</t>
        </is>
      </c>
      <c r="D20" s="24" t="inlineStr">
        <is>
          <t>Low AEO readiness score</t>
        </is>
      </c>
      <c r="E20" s="24" t="n">
        <v>67</v>
      </c>
      <c r="F20" s="24" t="n">
        <v>0</v>
      </c>
      <c r="G20" s="24" t="inlineStr">
        <is>
          <t>&gt;=60</t>
        </is>
      </c>
      <c r="H20" s="24" t="inlineStr">
        <is>
          <t>Add concise answer blocks, question-led subheadings, and clear structured sections.</t>
        </is>
      </c>
      <c r="I20" s="28" t="inlineStr">
        <is>
          <t>AEO</t>
        </is>
      </c>
      <c r="J20" s="24" t="inlineStr">
        <is>
          <t>AEO Readiness Score</t>
        </is>
      </c>
      <c r="K20" s="24" t="inlineStr">
        <is>
          <t>Yes</t>
        </is>
      </c>
      <c r="L20" s="24" t="inlineStr">
        <is>
          <t>Copy Writer</t>
        </is>
      </c>
      <c r="M20" s="25" t="inlineStr">
        <is>
          <t>Open</t>
        </is>
      </c>
      <c r="N20" s="24" t="n">
        <v>4</v>
      </c>
      <c r="O20" s="24" t="inlineStr">
        <is>
          <t>https://africanmarketingconfederation.org/amc-conference-2023/book-now/::aioseo_low_aeo_readiness_score</t>
        </is>
      </c>
      <c r="P20" s="24" t="inlineStr">
        <is>
          <t>Weak answer-style structure lowers AI/answer-engine retrieval potential.</t>
        </is>
      </c>
      <c r="Q20">
        <f>IFERROR(HYPERLINK("#Main!A"&amp;MATCH(A20,Main!A:A,0),"Open"),HYPERLINK("#Main!A1","Open"))</f>
        <v/>
      </c>
      <c r="R20">
        <f>IFERROR(HYPERLINK("#Technical!A"&amp;MATCH(A20,Technical!A:A,0),"Open"),HYPERLINK("#Technical!A1","Open"))</f>
        <v/>
      </c>
    </row>
    <row r="21" ht="30" customHeight="1">
      <c r="A21" s="33" t="inlineStr">
        <is>
          <t>https://africanmarketingconfederation.org/amc-conference-2023/download-prospectus/</t>
        </is>
      </c>
      <c r="B21" s="6" t="inlineStr">
        <is>
          <t>Content</t>
        </is>
      </c>
      <c r="C21" s="25" t="inlineStr">
        <is>
          <t>Warning</t>
        </is>
      </c>
      <c r="D21" s="6" t="inlineStr">
        <is>
          <t>Low AEO readiness score</t>
        </is>
      </c>
      <c r="E21" s="6" t="n">
        <v>67</v>
      </c>
      <c r="F21" s="6" t="n">
        <v>0</v>
      </c>
      <c r="G21" s="6" t="inlineStr">
        <is>
          <t>&gt;=60</t>
        </is>
      </c>
      <c r="H21" s="6" t="inlineStr">
        <is>
          <t>Add concise answer blocks, question-led subheadings, and clear structured sections.</t>
        </is>
      </c>
      <c r="I21" s="31" t="inlineStr">
        <is>
          <t>AEO</t>
        </is>
      </c>
      <c r="J21" s="6" t="inlineStr">
        <is>
          <t>AEO Readiness Score</t>
        </is>
      </c>
      <c r="K21" s="6" t="inlineStr">
        <is>
          <t>Yes</t>
        </is>
      </c>
      <c r="L21" s="6" t="inlineStr">
        <is>
          <t>Copy Writer</t>
        </is>
      </c>
      <c r="M21" s="25" t="inlineStr">
        <is>
          <t>Open</t>
        </is>
      </c>
      <c r="N21" s="6" t="n">
        <v>4</v>
      </c>
      <c r="O21" s="6" t="inlineStr">
        <is>
          <t>https://africanmarketingconfederation.org/amc-conference-2023/download-prospectus/::aioseo_low_aeo_readiness_score</t>
        </is>
      </c>
      <c r="P21" s="6" t="inlineStr">
        <is>
          <t>Weak answer-style structure lowers AI/answer-engine retrieval potential.</t>
        </is>
      </c>
      <c r="Q21">
        <f>IFERROR(HYPERLINK("#Main!A"&amp;MATCH(A21,Main!A:A,0),"Open"),HYPERLINK("#Main!A1","Open"))</f>
        <v/>
      </c>
      <c r="R21">
        <f>IFERROR(HYPERLINK("#Technical!A"&amp;MATCH(A21,Technical!A:A,0),"Open"),HYPERLINK("#Technical!A1","Open"))</f>
        <v/>
      </c>
    </row>
    <row r="22" ht="30" customHeight="1">
      <c r="A22" s="33" t="inlineStr">
        <is>
          <t>https://africanmarketingconfederation.org/amc-conference-2023/gallery/</t>
        </is>
      </c>
      <c r="B22" s="24" t="inlineStr">
        <is>
          <t>Content</t>
        </is>
      </c>
      <c r="C22" s="25" t="inlineStr">
        <is>
          <t>Warning</t>
        </is>
      </c>
      <c r="D22" s="24" t="inlineStr">
        <is>
          <t>Low AEO readiness score</t>
        </is>
      </c>
      <c r="E22" s="24" t="n">
        <v>67</v>
      </c>
      <c r="F22" s="24" t="n">
        <v>0</v>
      </c>
      <c r="G22" s="24" t="inlineStr">
        <is>
          <t>&gt;=60</t>
        </is>
      </c>
      <c r="H22" s="24" t="inlineStr">
        <is>
          <t>Add concise answer blocks, question-led subheadings, and clear structured sections.</t>
        </is>
      </c>
      <c r="I22" s="28" t="inlineStr">
        <is>
          <t>AEO</t>
        </is>
      </c>
      <c r="J22" s="24" t="inlineStr">
        <is>
          <t>AEO Readiness Score</t>
        </is>
      </c>
      <c r="K22" s="24" t="inlineStr">
        <is>
          <t>Yes</t>
        </is>
      </c>
      <c r="L22" s="24" t="inlineStr">
        <is>
          <t>Copy Writer</t>
        </is>
      </c>
      <c r="M22" s="25" t="inlineStr">
        <is>
          <t>Open</t>
        </is>
      </c>
      <c r="N22" s="24" t="n">
        <v>4</v>
      </c>
      <c r="O22" s="24" t="inlineStr">
        <is>
          <t>https://africanmarketingconfederation.org/amc-conference-2023/gallery/::aioseo_low_aeo_readiness_score</t>
        </is>
      </c>
      <c r="P22" s="24" t="inlineStr">
        <is>
          <t>Weak answer-style structure lowers AI/answer-engine retrieval potential.</t>
        </is>
      </c>
      <c r="Q22">
        <f>IFERROR(HYPERLINK("#Main!A"&amp;MATCH(A22,Main!A:A,0),"Open"),HYPERLINK("#Main!A1","Open"))</f>
        <v/>
      </c>
      <c r="R22">
        <f>IFERROR(HYPERLINK("#Technical!A"&amp;MATCH(A22,Technical!A:A,0),"Open"),HYPERLINK("#Technical!A1","Open"))</f>
        <v/>
      </c>
    </row>
    <row r="23" ht="30" customHeight="1">
      <c r="A23" s="33" t="inlineStr">
        <is>
          <t>https://africanmarketingconfederation.org/amc-conference-2023/partners/</t>
        </is>
      </c>
      <c r="B23" s="6" t="inlineStr">
        <is>
          <t>Content</t>
        </is>
      </c>
      <c r="C23" s="25" t="inlineStr">
        <is>
          <t>Warning</t>
        </is>
      </c>
      <c r="D23" s="6" t="inlineStr">
        <is>
          <t>Low AEO readiness score</t>
        </is>
      </c>
      <c r="E23" s="6" t="n">
        <v>67</v>
      </c>
      <c r="F23" s="6" t="n">
        <v>0</v>
      </c>
      <c r="G23" s="6" t="inlineStr">
        <is>
          <t>&gt;=60</t>
        </is>
      </c>
      <c r="H23" s="6" t="inlineStr">
        <is>
          <t>Add concise answer blocks, question-led subheadings, and clear structured sections.</t>
        </is>
      </c>
      <c r="I23" s="31" t="inlineStr">
        <is>
          <t>AEO</t>
        </is>
      </c>
      <c r="J23" s="6" t="inlineStr">
        <is>
          <t>AEO Readiness Score</t>
        </is>
      </c>
      <c r="K23" s="6" t="inlineStr">
        <is>
          <t>Yes</t>
        </is>
      </c>
      <c r="L23" s="6" t="inlineStr">
        <is>
          <t>Copy Writer</t>
        </is>
      </c>
      <c r="M23" s="25" t="inlineStr">
        <is>
          <t>Open</t>
        </is>
      </c>
      <c r="N23" s="6" t="n">
        <v>4</v>
      </c>
      <c r="O23" s="6" t="inlineStr">
        <is>
          <t>https://africanmarketingconfederation.org/amc-conference-2023/partners/::aioseo_low_aeo_readiness_score</t>
        </is>
      </c>
      <c r="P23" s="6" t="inlineStr">
        <is>
          <t>Weak answer-style structure lowers AI/answer-engine retrieval potential.</t>
        </is>
      </c>
      <c r="Q23">
        <f>IFERROR(HYPERLINK("#Main!A"&amp;MATCH(A23,Main!A:A,0),"Open"),HYPERLINK("#Main!A1","Open"))</f>
        <v/>
      </c>
      <c r="R23">
        <f>IFERROR(HYPERLINK("#Technical!A"&amp;MATCH(A23,Technical!A:A,0),"Open"),HYPERLINK("#Technical!A1","Open"))</f>
        <v/>
      </c>
    </row>
    <row r="24" ht="30" customHeight="1">
      <c r="A24" s="33" t="inlineStr">
        <is>
          <t>https://africanmarketingconfederation.org/amc-conference-2023/programme/</t>
        </is>
      </c>
      <c r="B24" s="24" t="inlineStr">
        <is>
          <t>Content</t>
        </is>
      </c>
      <c r="C24" s="25" t="inlineStr">
        <is>
          <t>Warning</t>
        </is>
      </c>
      <c r="D24" s="24" t="inlineStr">
        <is>
          <t>Low AEO readiness score</t>
        </is>
      </c>
      <c r="E24" s="24" t="n">
        <v>67</v>
      </c>
      <c r="F24" s="24" t="n">
        <v>0</v>
      </c>
      <c r="G24" s="24" t="inlineStr">
        <is>
          <t>&gt;=60</t>
        </is>
      </c>
      <c r="H24" s="24" t="inlineStr">
        <is>
          <t>Add concise answer blocks, question-led subheadings, and clear structured sections.</t>
        </is>
      </c>
      <c r="I24" s="28" t="inlineStr">
        <is>
          <t>AEO</t>
        </is>
      </c>
      <c r="J24" s="24" t="inlineStr">
        <is>
          <t>AEO Readiness Score</t>
        </is>
      </c>
      <c r="K24" s="24" t="inlineStr">
        <is>
          <t>Yes</t>
        </is>
      </c>
      <c r="L24" s="24" t="inlineStr">
        <is>
          <t>Copy Writer</t>
        </is>
      </c>
      <c r="M24" s="25" t="inlineStr">
        <is>
          <t>Open</t>
        </is>
      </c>
      <c r="N24" s="24" t="n">
        <v>4</v>
      </c>
      <c r="O24" s="24" t="inlineStr">
        <is>
          <t>https://africanmarketingconfederation.org/amc-conference-2023/programme/::aioseo_low_aeo_readiness_score</t>
        </is>
      </c>
      <c r="P24" s="24" t="inlineStr">
        <is>
          <t>Weak answer-style structure lowers AI/answer-engine retrieval potential.</t>
        </is>
      </c>
      <c r="Q24">
        <f>IFERROR(HYPERLINK("#Main!A"&amp;MATCH(A24,Main!A:A,0),"Open"),HYPERLINK("#Main!A1","Open"))</f>
        <v/>
      </c>
      <c r="R24">
        <f>IFERROR(HYPERLINK("#Technical!A"&amp;MATCH(A24,Technical!A:A,0),"Open"),HYPERLINK("#Technical!A1","Open"))</f>
        <v/>
      </c>
    </row>
    <row r="25" ht="30" customHeight="1">
      <c r="A25" s="33" t="inlineStr">
        <is>
          <t>https://africanmarketingconfederation.org/amc-conference-2023/speakers/</t>
        </is>
      </c>
      <c r="B25" s="6" t="inlineStr">
        <is>
          <t>Content</t>
        </is>
      </c>
      <c r="C25" s="25" t="inlineStr">
        <is>
          <t>Warning</t>
        </is>
      </c>
      <c r="D25" s="6" t="inlineStr">
        <is>
          <t>Low AEO readiness score</t>
        </is>
      </c>
      <c r="E25" s="6" t="n">
        <v>67</v>
      </c>
      <c r="F25" s="6" t="n">
        <v>0</v>
      </c>
      <c r="G25" s="6" t="inlineStr">
        <is>
          <t>&gt;=60</t>
        </is>
      </c>
      <c r="H25" s="6" t="inlineStr">
        <is>
          <t>Add concise answer blocks, question-led subheadings, and clear structured sections.</t>
        </is>
      </c>
      <c r="I25" s="31" t="inlineStr">
        <is>
          <t>AEO</t>
        </is>
      </c>
      <c r="J25" s="6" t="inlineStr">
        <is>
          <t>AEO Readiness Score</t>
        </is>
      </c>
      <c r="K25" s="6" t="inlineStr">
        <is>
          <t>Yes</t>
        </is>
      </c>
      <c r="L25" s="6" t="inlineStr">
        <is>
          <t>Copy Writer</t>
        </is>
      </c>
      <c r="M25" s="25" t="inlineStr">
        <is>
          <t>Open</t>
        </is>
      </c>
      <c r="N25" s="6" t="n">
        <v>4</v>
      </c>
      <c r="O25" s="6" t="inlineStr">
        <is>
          <t>https://africanmarketingconfederation.org/amc-conference-2023/speakers/::aioseo_low_aeo_readiness_score</t>
        </is>
      </c>
      <c r="P25" s="6" t="inlineStr">
        <is>
          <t>Weak answer-style structure lowers AI/answer-engine retrieval potential.</t>
        </is>
      </c>
      <c r="Q25">
        <f>IFERROR(HYPERLINK("#Main!A"&amp;MATCH(A25,Main!A:A,0),"Open"),HYPERLINK("#Main!A1","Open"))</f>
        <v/>
      </c>
      <c r="R25">
        <f>IFERROR(HYPERLINK("#Technical!A"&amp;MATCH(A25,Technical!A:A,0),"Open"),HYPERLINK("#Technical!A1","Open"))</f>
        <v/>
      </c>
    </row>
    <row r="26" ht="30" customHeight="1">
      <c r="A26" s="33" t="inlineStr">
        <is>
          <t>https://africanmarketingconfederation.org/amc-conference-2024-recap/</t>
        </is>
      </c>
      <c r="B26" s="24" t="inlineStr">
        <is>
          <t>Content</t>
        </is>
      </c>
      <c r="C26" s="25" t="inlineStr">
        <is>
          <t>Warning</t>
        </is>
      </c>
      <c r="D26" s="24" t="inlineStr">
        <is>
          <t>Low AEO readiness score</t>
        </is>
      </c>
      <c r="E26" s="24" t="n">
        <v>67</v>
      </c>
      <c r="F26" s="24" t="n">
        <v>0</v>
      </c>
      <c r="G26" s="24" t="inlineStr">
        <is>
          <t>&gt;=60</t>
        </is>
      </c>
      <c r="H26" s="24" t="inlineStr">
        <is>
          <t>Add concise answer blocks, question-led subheadings, and clear structured sections.</t>
        </is>
      </c>
      <c r="I26" s="28" t="inlineStr">
        <is>
          <t>AEO</t>
        </is>
      </c>
      <c r="J26" s="24" t="inlineStr">
        <is>
          <t>AEO Readiness Score</t>
        </is>
      </c>
      <c r="K26" s="24" t="inlineStr">
        <is>
          <t>Yes</t>
        </is>
      </c>
      <c r="L26" s="24" t="inlineStr">
        <is>
          <t>Copy Writer</t>
        </is>
      </c>
      <c r="M26" s="25" t="inlineStr">
        <is>
          <t>Open</t>
        </is>
      </c>
      <c r="N26" s="24" t="n">
        <v>4</v>
      </c>
      <c r="O26" s="24" t="inlineStr">
        <is>
          <t>https://africanmarketingconfederation.org/amc-conference-2024-recap/::aioseo_low_aeo_readiness_score</t>
        </is>
      </c>
      <c r="P26" s="24" t="inlineStr">
        <is>
          <t>Weak answer-style structure lowers AI/answer-engine retrieval potential.</t>
        </is>
      </c>
      <c r="Q26">
        <f>IFERROR(HYPERLINK("#Main!A"&amp;MATCH(A26,Main!A:A,0),"Open"),HYPERLINK("#Main!A1","Open"))</f>
        <v/>
      </c>
      <c r="R26">
        <f>IFERROR(HYPERLINK("#Technical!A"&amp;MATCH(A26,Technical!A:A,0),"Open"),HYPERLINK("#Technical!A1","Open"))</f>
        <v/>
      </c>
    </row>
    <row r="27" ht="30" customHeight="1">
      <c r="A27" s="33" t="inlineStr">
        <is>
          <t>https://africanmarketingconfederation.org/amc-conference-2024-sponsors-packages/</t>
        </is>
      </c>
      <c r="B27" s="6" t="inlineStr">
        <is>
          <t>Content</t>
        </is>
      </c>
      <c r="C27" s="25" t="inlineStr">
        <is>
          <t>Warning</t>
        </is>
      </c>
      <c r="D27" s="6" t="inlineStr">
        <is>
          <t>Low AEO readiness score</t>
        </is>
      </c>
      <c r="E27" s="6" t="n">
        <v>67</v>
      </c>
      <c r="F27" s="6" t="n">
        <v>0</v>
      </c>
      <c r="G27" s="6" t="inlineStr">
        <is>
          <t>&gt;=60</t>
        </is>
      </c>
      <c r="H27" s="6" t="inlineStr">
        <is>
          <t>Add concise answer blocks, question-led subheadings, and clear structured sections.</t>
        </is>
      </c>
      <c r="I27" s="31" t="inlineStr">
        <is>
          <t>AEO</t>
        </is>
      </c>
      <c r="J27" s="6" t="inlineStr">
        <is>
          <t>AEO Readiness Score</t>
        </is>
      </c>
      <c r="K27" s="6" t="inlineStr">
        <is>
          <t>Yes</t>
        </is>
      </c>
      <c r="L27" s="6" t="inlineStr">
        <is>
          <t>Copy Writer</t>
        </is>
      </c>
      <c r="M27" s="25" t="inlineStr">
        <is>
          <t>Open</t>
        </is>
      </c>
      <c r="N27" s="6" t="n">
        <v>4</v>
      </c>
      <c r="O27" s="6" t="inlineStr">
        <is>
          <t>https://africanmarketingconfederation.org/amc-conference-2024-sponsors-packages/::aioseo_low_aeo_readiness_score</t>
        </is>
      </c>
      <c r="P27" s="6" t="inlineStr">
        <is>
          <t>Weak answer-style structure lowers AI/answer-engine retrieval potential.</t>
        </is>
      </c>
      <c r="Q27">
        <f>IFERROR(HYPERLINK("#Main!A"&amp;MATCH(A27,Main!A:A,0),"Open"),HYPERLINK("#Main!A1","Open"))</f>
        <v/>
      </c>
      <c r="R27">
        <f>IFERROR(HYPERLINK("#Technical!A"&amp;MATCH(A27,Technical!A:A,0),"Open"),HYPERLINK("#Technical!A1","Open"))</f>
        <v/>
      </c>
    </row>
    <row r="28" ht="30" customHeight="1">
      <c r="A28" s="33" t="inlineStr">
        <is>
          <t>https://africanmarketingconfederation.org/amc-conference-2025-highlights/</t>
        </is>
      </c>
      <c r="B28" s="24" t="inlineStr">
        <is>
          <t>Content</t>
        </is>
      </c>
      <c r="C28" s="25" t="inlineStr">
        <is>
          <t>Warning</t>
        </is>
      </c>
      <c r="D28" s="24" t="inlineStr">
        <is>
          <t>Low AEO readiness score</t>
        </is>
      </c>
      <c r="E28" s="24" t="n">
        <v>67</v>
      </c>
      <c r="F28" s="24" t="n">
        <v>0</v>
      </c>
      <c r="G28" s="24" t="inlineStr">
        <is>
          <t>&gt;=60</t>
        </is>
      </c>
      <c r="H28" s="24" t="inlineStr">
        <is>
          <t>Add concise answer blocks, question-led subheadings, and clear structured sections.</t>
        </is>
      </c>
      <c r="I28" s="28" t="inlineStr">
        <is>
          <t>AEO</t>
        </is>
      </c>
      <c r="J28" s="24" t="inlineStr">
        <is>
          <t>AEO Readiness Score</t>
        </is>
      </c>
      <c r="K28" s="24" t="inlineStr">
        <is>
          <t>Yes</t>
        </is>
      </c>
      <c r="L28" s="24" t="inlineStr">
        <is>
          <t>Copy Writer</t>
        </is>
      </c>
      <c r="M28" s="25" t="inlineStr">
        <is>
          <t>Open</t>
        </is>
      </c>
      <c r="N28" s="24" t="n">
        <v>4</v>
      </c>
      <c r="O28" s="24" t="inlineStr">
        <is>
          <t>https://africanmarketingconfederation.org/amc-conference-2025-highlights/::aioseo_low_aeo_readiness_score</t>
        </is>
      </c>
      <c r="P28" s="24" t="inlineStr">
        <is>
          <t>Weak answer-style structure lowers AI/answer-engine retrieval potential.</t>
        </is>
      </c>
      <c r="Q28">
        <f>IFERROR(HYPERLINK("#Main!A"&amp;MATCH(A28,Main!A:A,0),"Open"),HYPERLINK("#Main!A1","Open"))</f>
        <v/>
      </c>
      <c r="R28">
        <f>IFERROR(HYPERLINK("#Technical!A"&amp;MATCH(A28,Technical!A:A,0),"Open"),HYPERLINK("#Technical!A1","Open"))</f>
        <v/>
      </c>
    </row>
    <row r="29" ht="30" customHeight="1">
      <c r="A29" s="33" t="inlineStr">
        <is>
          <t>https://africanmarketingconfederation.org/amc-conference-2025/</t>
        </is>
      </c>
      <c r="B29" s="6" t="inlineStr">
        <is>
          <t>Content</t>
        </is>
      </c>
      <c r="C29" s="25" t="inlineStr">
        <is>
          <t>Warning</t>
        </is>
      </c>
      <c r="D29" s="6" t="inlineStr">
        <is>
          <t>Low AEO readiness score</t>
        </is>
      </c>
      <c r="E29" s="6" t="n">
        <v>67</v>
      </c>
      <c r="F29" s="6" t="n">
        <v>0</v>
      </c>
      <c r="G29" s="6" t="inlineStr">
        <is>
          <t>&gt;=60</t>
        </is>
      </c>
      <c r="H29" s="6" t="inlineStr">
        <is>
          <t>Add concise answer blocks, question-led subheadings, and clear structured sections.</t>
        </is>
      </c>
      <c r="I29" s="31" t="inlineStr">
        <is>
          <t>AEO</t>
        </is>
      </c>
      <c r="J29" s="6" t="inlineStr">
        <is>
          <t>AEO Readiness Score</t>
        </is>
      </c>
      <c r="K29" s="6" t="inlineStr">
        <is>
          <t>Yes</t>
        </is>
      </c>
      <c r="L29" s="6" t="inlineStr">
        <is>
          <t>Copy Writer</t>
        </is>
      </c>
      <c r="M29" s="25" t="inlineStr">
        <is>
          <t>Open</t>
        </is>
      </c>
      <c r="N29" s="6" t="n">
        <v>4</v>
      </c>
      <c r="O29" s="6" t="inlineStr">
        <is>
          <t>https://africanmarketingconfederation.org/amc-conference-2025/::aioseo_low_aeo_readiness_score</t>
        </is>
      </c>
      <c r="P29" s="6" t="inlineStr">
        <is>
          <t>Weak answer-style structure lowers AI/answer-engine retrieval potential.</t>
        </is>
      </c>
      <c r="Q29">
        <f>IFERROR(HYPERLINK("#Main!A"&amp;MATCH(A29,Main!A:A,0),"Open"),HYPERLINK("#Main!A1","Open"))</f>
        <v/>
      </c>
      <c r="R29">
        <f>IFERROR(HYPERLINK("#Technical!A"&amp;MATCH(A29,Technical!A:A,0),"Open"),HYPERLINK("#Technical!A1","Open"))</f>
        <v/>
      </c>
    </row>
    <row r="30" ht="30" customHeight="1">
      <c r="A30" s="33" t="inlineStr">
        <is>
          <t>https://africanmarketingconfederation.org/amc-conference-2026-awards-nominations-thank-you/</t>
        </is>
      </c>
      <c r="B30" s="24" t="inlineStr">
        <is>
          <t>Content</t>
        </is>
      </c>
      <c r="C30" s="25" t="inlineStr">
        <is>
          <t>Warning</t>
        </is>
      </c>
      <c r="D30" s="24" t="inlineStr">
        <is>
          <t>Low AEO readiness score</t>
        </is>
      </c>
      <c r="E30" s="24" t="n">
        <v>67</v>
      </c>
      <c r="F30" s="24" t="n">
        <v>0</v>
      </c>
      <c r="G30" s="24" t="inlineStr">
        <is>
          <t>&gt;=60</t>
        </is>
      </c>
      <c r="H30" s="24" t="inlineStr">
        <is>
          <t>Add concise answer blocks, question-led subheadings, and clear structured sections.</t>
        </is>
      </c>
      <c r="I30" s="28" t="inlineStr">
        <is>
          <t>AEO</t>
        </is>
      </c>
      <c r="J30" s="24" t="inlineStr">
        <is>
          <t>AEO Readiness Score</t>
        </is>
      </c>
      <c r="K30" s="24" t="inlineStr">
        <is>
          <t>Yes</t>
        </is>
      </c>
      <c r="L30" s="24" t="inlineStr">
        <is>
          <t>Copy Writer</t>
        </is>
      </c>
      <c r="M30" s="25" t="inlineStr">
        <is>
          <t>Open</t>
        </is>
      </c>
      <c r="N30" s="24" t="n">
        <v>4</v>
      </c>
      <c r="O30" s="24" t="inlineStr">
        <is>
          <t>https://africanmarketingconfederation.org/amc-conference-2026-awards-nominations-thank-you/::aioseo_low_aeo_readiness_score</t>
        </is>
      </c>
      <c r="P30" s="24" t="inlineStr">
        <is>
          <t>Weak answer-style structure lowers AI/answer-engine retrieval potential.</t>
        </is>
      </c>
      <c r="Q30">
        <f>IFERROR(HYPERLINK("#Main!A"&amp;MATCH(A30,Main!A:A,0),"Open"),HYPERLINK("#Main!A1","Open"))</f>
        <v/>
      </c>
      <c r="R30">
        <f>IFERROR(HYPERLINK("#Technical!A"&amp;MATCH(A30,Technical!A:A,0),"Open"),HYPERLINK("#Technical!A1","Open"))</f>
        <v/>
      </c>
    </row>
    <row r="31" ht="30" customHeight="1">
      <c r="A31" s="33" t="inlineStr">
        <is>
          <t>https://africanmarketingconfederation.org/amc-conference-2026-zambia-thank-you/</t>
        </is>
      </c>
      <c r="B31" s="6" t="inlineStr">
        <is>
          <t>Content</t>
        </is>
      </c>
      <c r="C31" s="25" t="inlineStr">
        <is>
          <t>Warning</t>
        </is>
      </c>
      <c r="D31" s="6" t="inlineStr">
        <is>
          <t>Low AEO readiness score</t>
        </is>
      </c>
      <c r="E31" s="6" t="n">
        <v>67</v>
      </c>
      <c r="F31" s="6" t="n">
        <v>0</v>
      </c>
      <c r="G31" s="6" t="inlineStr">
        <is>
          <t>&gt;=60</t>
        </is>
      </c>
      <c r="H31" s="6" t="inlineStr">
        <is>
          <t>Add concise answer blocks, question-led subheadings, and clear structured sections.</t>
        </is>
      </c>
      <c r="I31" s="31" t="inlineStr">
        <is>
          <t>AEO</t>
        </is>
      </c>
      <c r="J31" s="6" t="inlineStr">
        <is>
          <t>AEO Readiness Score</t>
        </is>
      </c>
      <c r="K31" s="6" t="inlineStr">
        <is>
          <t>Yes</t>
        </is>
      </c>
      <c r="L31" s="6" t="inlineStr">
        <is>
          <t>Copy Writer</t>
        </is>
      </c>
      <c r="M31" s="25" t="inlineStr">
        <is>
          <t>Open</t>
        </is>
      </c>
      <c r="N31" s="6" t="n">
        <v>4</v>
      </c>
      <c r="O31" s="6" t="inlineStr">
        <is>
          <t>https://africanmarketingconfederation.org/amc-conference-2026-zambia-thank-you/::aioseo_low_aeo_readiness_score</t>
        </is>
      </c>
      <c r="P31" s="6" t="inlineStr">
        <is>
          <t>Weak answer-style structure lowers AI/answer-engine retrieval potential.</t>
        </is>
      </c>
      <c r="Q31">
        <f>IFERROR(HYPERLINK("#Main!A"&amp;MATCH(A31,Main!A:A,0),"Open"),HYPERLINK("#Main!A1","Open"))</f>
        <v/>
      </c>
      <c r="R31">
        <f>IFERROR(HYPERLINK("#Technical!A"&amp;MATCH(A31,Technical!A:A,0),"Open"),HYPERLINK("#Technical!A1","Open"))</f>
        <v/>
      </c>
    </row>
    <row r="32" ht="30" customHeight="1">
      <c r="A32" s="33" t="inlineStr">
        <is>
          <t>https://africanmarketingconfederation.org/amc-conference-2026/</t>
        </is>
      </c>
      <c r="B32" s="24" t="inlineStr">
        <is>
          <t>Content</t>
        </is>
      </c>
      <c r="C32" s="25" t="inlineStr">
        <is>
          <t>Warning</t>
        </is>
      </c>
      <c r="D32" s="24" t="inlineStr">
        <is>
          <t>Low AEO readiness score</t>
        </is>
      </c>
      <c r="E32" s="24" t="n">
        <v>67</v>
      </c>
      <c r="F32" s="24" t="n">
        <v>0</v>
      </c>
      <c r="G32" s="24" t="inlineStr">
        <is>
          <t>&gt;=60</t>
        </is>
      </c>
      <c r="H32" s="24" t="inlineStr">
        <is>
          <t>Add concise answer blocks, question-led subheadings, and clear structured sections.</t>
        </is>
      </c>
      <c r="I32" s="28" t="inlineStr">
        <is>
          <t>AEO</t>
        </is>
      </c>
      <c r="J32" s="24" t="inlineStr">
        <is>
          <t>AEO Readiness Score</t>
        </is>
      </c>
      <c r="K32" s="24" t="inlineStr">
        <is>
          <t>Yes</t>
        </is>
      </c>
      <c r="L32" s="24" t="inlineStr">
        <is>
          <t>Copy Writer</t>
        </is>
      </c>
      <c r="M32" s="25" t="inlineStr">
        <is>
          <t>Open</t>
        </is>
      </c>
      <c r="N32" s="24" t="n">
        <v>4</v>
      </c>
      <c r="O32" s="24" t="inlineStr">
        <is>
          <t>https://africanmarketingconfederation.org/amc-conference-2026/::aioseo_low_aeo_readiness_score</t>
        </is>
      </c>
      <c r="P32" s="24" t="inlineStr">
        <is>
          <t>Weak answer-style structure lowers AI/answer-engine retrieval potential.</t>
        </is>
      </c>
      <c r="Q32">
        <f>IFERROR(HYPERLINK("#Main!A"&amp;MATCH(A32,Main!A:A,0),"Open"),HYPERLINK("#Main!A1","Open"))</f>
        <v/>
      </c>
      <c r="R32">
        <f>IFERROR(HYPERLINK("#Technical!A"&amp;MATCH(A32,Technical!A:A,0),"Open"),HYPERLINK("#Technical!A1","Open"))</f>
        <v/>
      </c>
    </row>
    <row r="33" ht="30" customHeight="1">
      <c r="A33" s="33" t="inlineStr">
        <is>
          <t>https://africanmarketingconfederation.org/amc-conference-programme/</t>
        </is>
      </c>
      <c r="B33" s="6" t="inlineStr">
        <is>
          <t>Content</t>
        </is>
      </c>
      <c r="C33" s="25" t="inlineStr">
        <is>
          <t>Warning</t>
        </is>
      </c>
      <c r="D33" s="6" t="inlineStr">
        <is>
          <t>Low AEO readiness score</t>
        </is>
      </c>
      <c r="E33" s="6" t="n">
        <v>67</v>
      </c>
      <c r="F33" s="6" t="n">
        <v>0</v>
      </c>
      <c r="G33" s="6" t="inlineStr">
        <is>
          <t>&gt;=60</t>
        </is>
      </c>
      <c r="H33" s="6" t="inlineStr">
        <is>
          <t>Add concise answer blocks, question-led subheadings, and clear structured sections.</t>
        </is>
      </c>
      <c r="I33" s="31" t="inlineStr">
        <is>
          <t>AEO</t>
        </is>
      </c>
      <c r="J33" s="6" t="inlineStr">
        <is>
          <t>AEO Readiness Score</t>
        </is>
      </c>
      <c r="K33" s="6" t="inlineStr">
        <is>
          <t>Yes</t>
        </is>
      </c>
      <c r="L33" s="6" t="inlineStr">
        <is>
          <t>Copy Writer</t>
        </is>
      </c>
      <c r="M33" s="25" t="inlineStr">
        <is>
          <t>Open</t>
        </is>
      </c>
      <c r="N33" s="6" t="n">
        <v>4</v>
      </c>
      <c r="O33" s="6" t="inlineStr">
        <is>
          <t>https://africanmarketingconfederation.org/amc-conference-programme/::aioseo_low_aeo_readiness_score</t>
        </is>
      </c>
      <c r="P33" s="6" t="inlineStr">
        <is>
          <t>Weak answer-style structure lowers AI/answer-engine retrieval potential.</t>
        </is>
      </c>
      <c r="Q33">
        <f>IFERROR(HYPERLINK("#Main!A"&amp;MATCH(A33,Main!A:A,0),"Open"),HYPERLINK("#Main!A1","Open"))</f>
        <v/>
      </c>
      <c r="R33">
        <f>IFERROR(HYPERLINK("#Technical!A"&amp;MATCH(A33,Technical!A:A,0),"Open"),HYPERLINK("#Technical!A1","Open"))</f>
        <v/>
      </c>
    </row>
    <row r="34" ht="30" customHeight="1">
      <c r="A34" s="33" t="inlineStr">
        <is>
          <t>https://africanmarketingconfederation.org/amc-conference-sponsors/</t>
        </is>
      </c>
      <c r="B34" s="24" t="inlineStr">
        <is>
          <t>Content</t>
        </is>
      </c>
      <c r="C34" s="25" t="inlineStr">
        <is>
          <t>Warning</t>
        </is>
      </c>
      <c r="D34" s="24" t="inlineStr">
        <is>
          <t>Low AEO readiness score</t>
        </is>
      </c>
      <c r="E34" s="24" t="n">
        <v>67</v>
      </c>
      <c r="F34" s="24" t="n">
        <v>0</v>
      </c>
      <c r="G34" s="24" t="inlineStr">
        <is>
          <t>&gt;=60</t>
        </is>
      </c>
      <c r="H34" s="24" t="inlineStr">
        <is>
          <t>Add concise answer blocks, question-led subheadings, and clear structured sections.</t>
        </is>
      </c>
      <c r="I34" s="28" t="inlineStr">
        <is>
          <t>AEO</t>
        </is>
      </c>
      <c r="J34" s="24" t="inlineStr">
        <is>
          <t>AEO Readiness Score</t>
        </is>
      </c>
      <c r="K34" s="24" t="inlineStr">
        <is>
          <t>Yes</t>
        </is>
      </c>
      <c r="L34" s="24" t="inlineStr">
        <is>
          <t>Copy Writer</t>
        </is>
      </c>
      <c r="M34" s="25" t="inlineStr">
        <is>
          <t>Open</t>
        </is>
      </c>
      <c r="N34" s="24" t="n">
        <v>4</v>
      </c>
      <c r="O34" s="24" t="inlineStr">
        <is>
          <t>https://africanmarketingconfederation.org/amc-conference-sponsors/::aioseo_low_aeo_readiness_score</t>
        </is>
      </c>
      <c r="P34" s="24" t="inlineStr">
        <is>
          <t>Weak answer-style structure lowers AI/answer-engine retrieval potential.</t>
        </is>
      </c>
      <c r="Q34">
        <f>IFERROR(HYPERLINK("#Main!A"&amp;MATCH(A34,Main!A:A,0),"Open"),HYPERLINK("#Main!A1","Open"))</f>
        <v/>
      </c>
      <c r="R34">
        <f>IFERROR(HYPERLINK("#Technical!A"&amp;MATCH(A34,Technical!A:A,0),"Open"),HYPERLINK("#Technical!A1","Open"))</f>
        <v/>
      </c>
    </row>
    <row r="35" ht="30" customHeight="1">
      <c r="A35" s="33" t="inlineStr">
        <is>
          <t>https://africanmarketingconfederation.org/amc-conference-thank-you/</t>
        </is>
      </c>
      <c r="B35" s="6" t="inlineStr">
        <is>
          <t>Content</t>
        </is>
      </c>
      <c r="C35" s="25" t="inlineStr">
        <is>
          <t>Warning</t>
        </is>
      </c>
      <c r="D35" s="6" t="inlineStr">
        <is>
          <t>Low AEO readiness score</t>
        </is>
      </c>
      <c r="E35" s="6" t="n">
        <v>67</v>
      </c>
      <c r="F35" s="6" t="n">
        <v>0</v>
      </c>
      <c r="G35" s="6" t="inlineStr">
        <is>
          <t>&gt;=60</t>
        </is>
      </c>
      <c r="H35" s="6" t="inlineStr">
        <is>
          <t>Add concise answer blocks, question-led subheadings, and clear structured sections.</t>
        </is>
      </c>
      <c r="I35" s="31" t="inlineStr">
        <is>
          <t>AEO</t>
        </is>
      </c>
      <c r="J35" s="6" t="inlineStr">
        <is>
          <t>AEO Readiness Score</t>
        </is>
      </c>
      <c r="K35" s="6" t="inlineStr">
        <is>
          <t>Yes</t>
        </is>
      </c>
      <c r="L35" s="6" t="inlineStr">
        <is>
          <t>Copy Writer</t>
        </is>
      </c>
      <c r="M35" s="25" t="inlineStr">
        <is>
          <t>Open</t>
        </is>
      </c>
      <c r="N35" s="6" t="n">
        <v>4</v>
      </c>
      <c r="O35" s="6" t="inlineStr">
        <is>
          <t>https://africanmarketingconfederation.org/amc-conference-thank-you/::aioseo_low_aeo_readiness_score</t>
        </is>
      </c>
      <c r="P35" s="6" t="inlineStr">
        <is>
          <t>Weak answer-style structure lowers AI/answer-engine retrieval potential.</t>
        </is>
      </c>
      <c r="Q35">
        <f>IFERROR(HYPERLINK("#Main!A"&amp;MATCH(A35,Main!A:A,0),"Open"),HYPERLINK("#Main!A1","Open"))</f>
        <v/>
      </c>
      <c r="R35">
        <f>IFERROR(HYPERLINK("#Technical!A"&amp;MATCH(A35,Technical!A:A,0),"Open"),HYPERLINK("#Technical!A1","Open"))</f>
        <v/>
      </c>
    </row>
    <row r="36" ht="30" customHeight="1">
      <c r="A36" s="33" t="inlineStr">
        <is>
          <t>https://africanmarketingconfederation.org/amc-forum-mombasa/</t>
        </is>
      </c>
      <c r="B36" s="24" t="inlineStr">
        <is>
          <t>Content</t>
        </is>
      </c>
      <c r="C36" s="25" t="inlineStr">
        <is>
          <t>Warning</t>
        </is>
      </c>
      <c r="D36" s="24" t="inlineStr">
        <is>
          <t>Low AEO readiness score</t>
        </is>
      </c>
      <c r="E36" s="24" t="n">
        <v>67</v>
      </c>
      <c r="F36" s="24" t="n">
        <v>0</v>
      </c>
      <c r="G36" s="24" t="inlineStr">
        <is>
          <t>&gt;=60</t>
        </is>
      </c>
      <c r="H36" s="24" t="inlineStr">
        <is>
          <t>Add concise answer blocks, question-led subheadings, and clear structured sections.</t>
        </is>
      </c>
      <c r="I36" s="28" t="inlineStr">
        <is>
          <t>AEO</t>
        </is>
      </c>
      <c r="J36" s="24" t="inlineStr">
        <is>
          <t>AEO Readiness Score</t>
        </is>
      </c>
      <c r="K36" s="24" t="inlineStr">
        <is>
          <t>Yes</t>
        </is>
      </c>
      <c r="L36" s="24" t="inlineStr">
        <is>
          <t>Copy Writer</t>
        </is>
      </c>
      <c r="M36" s="25" t="inlineStr">
        <is>
          <t>Open</t>
        </is>
      </c>
      <c r="N36" s="24" t="n">
        <v>4</v>
      </c>
      <c r="O36" s="24" t="inlineStr">
        <is>
          <t>https://africanmarketingconfederation.org/amc-forum-mombasa/::aioseo_low_aeo_readiness_score</t>
        </is>
      </c>
      <c r="P36" s="24" t="inlineStr">
        <is>
          <t>Weak answer-style structure lowers AI/answer-engine retrieval potential.</t>
        </is>
      </c>
      <c r="Q36">
        <f>IFERROR(HYPERLINK("#Main!A"&amp;MATCH(A36,Main!A:A,0),"Open"),HYPERLINK("#Main!A1","Open"))</f>
        <v/>
      </c>
      <c r="R36">
        <f>IFERROR(HYPERLINK("#Technical!A"&amp;MATCH(A36,Technical!A:A,0),"Open"),HYPERLINK("#Technical!A1","Open"))</f>
        <v/>
      </c>
    </row>
    <row r="37" ht="30" customHeight="1">
      <c r="A37" s="33" t="inlineStr">
        <is>
          <t>https://africanmarketingconfederation.org/amc-forum-payments/</t>
        </is>
      </c>
      <c r="B37" s="6" t="inlineStr">
        <is>
          <t>Content</t>
        </is>
      </c>
      <c r="C37" s="25" t="inlineStr">
        <is>
          <t>Warning</t>
        </is>
      </c>
      <c r="D37" s="6" t="inlineStr">
        <is>
          <t>Low AEO readiness score</t>
        </is>
      </c>
      <c r="E37" s="6" t="n">
        <v>67</v>
      </c>
      <c r="F37" s="6" t="n">
        <v>0</v>
      </c>
      <c r="G37" s="6" t="inlineStr">
        <is>
          <t>&gt;=60</t>
        </is>
      </c>
      <c r="H37" s="6" t="inlineStr">
        <is>
          <t>Add concise answer blocks, question-led subheadings, and clear structured sections.</t>
        </is>
      </c>
      <c r="I37" s="31" t="inlineStr">
        <is>
          <t>AEO</t>
        </is>
      </c>
      <c r="J37" s="6" t="inlineStr">
        <is>
          <t>AEO Readiness Score</t>
        </is>
      </c>
      <c r="K37" s="6" t="inlineStr">
        <is>
          <t>Yes</t>
        </is>
      </c>
      <c r="L37" s="6" t="inlineStr">
        <is>
          <t>Copy Writer</t>
        </is>
      </c>
      <c r="M37" s="25" t="inlineStr">
        <is>
          <t>Open</t>
        </is>
      </c>
      <c r="N37" s="6" t="n">
        <v>4</v>
      </c>
      <c r="O37" s="6" t="inlineStr">
        <is>
          <t>https://africanmarketingconfederation.org/amc-forum-payments/::aioseo_low_aeo_readiness_score</t>
        </is>
      </c>
      <c r="P37" s="6" t="inlineStr">
        <is>
          <t>Weak answer-style structure lowers AI/answer-engine retrieval potential.</t>
        </is>
      </c>
      <c r="Q37">
        <f>IFERROR(HYPERLINK("#Main!A"&amp;MATCH(A37,Main!A:A,0),"Open"),HYPERLINK("#Main!A1","Open"))</f>
        <v/>
      </c>
      <c r="R37">
        <f>IFERROR(HYPERLINK("#Technical!A"&amp;MATCH(A37,Technical!A:A,0),"Open"),HYPERLINK("#Technical!A1","Open"))</f>
        <v/>
      </c>
    </row>
    <row r="38" ht="30" customHeight="1">
      <c r="A38" s="33" t="inlineStr">
        <is>
          <t>https://africanmarketingconfederation.org/amc-launch-event-zambia-thank-you-2026/</t>
        </is>
      </c>
      <c r="B38" s="24" t="inlineStr">
        <is>
          <t>Content</t>
        </is>
      </c>
      <c r="C38" s="25" t="inlineStr">
        <is>
          <t>Warning</t>
        </is>
      </c>
      <c r="D38" s="24" t="inlineStr">
        <is>
          <t>Low AEO readiness score</t>
        </is>
      </c>
      <c r="E38" s="24" t="n">
        <v>67</v>
      </c>
      <c r="F38" s="24" t="n">
        <v>0</v>
      </c>
      <c r="G38" s="24" t="inlineStr">
        <is>
          <t>&gt;=60</t>
        </is>
      </c>
      <c r="H38" s="24" t="inlineStr">
        <is>
          <t>Add concise answer blocks, question-led subheadings, and clear structured sections.</t>
        </is>
      </c>
      <c r="I38" s="28" t="inlineStr">
        <is>
          <t>AEO</t>
        </is>
      </c>
      <c r="J38" s="24" t="inlineStr">
        <is>
          <t>AEO Readiness Score</t>
        </is>
      </c>
      <c r="K38" s="24" t="inlineStr">
        <is>
          <t>Yes</t>
        </is>
      </c>
      <c r="L38" s="24" t="inlineStr">
        <is>
          <t>Copy Writer</t>
        </is>
      </c>
      <c r="M38" s="25" t="inlineStr">
        <is>
          <t>Open</t>
        </is>
      </c>
      <c r="N38" s="24" t="n">
        <v>4</v>
      </c>
      <c r="O38" s="24" t="inlineStr">
        <is>
          <t>https://africanmarketingconfederation.org/amc-launch-event-zambia-thank-you-2026/::aioseo_low_aeo_readiness_score</t>
        </is>
      </c>
      <c r="P38" s="24" t="inlineStr">
        <is>
          <t>Weak answer-style structure lowers AI/answer-engine retrieval potential.</t>
        </is>
      </c>
      <c r="Q38">
        <f>IFERROR(HYPERLINK("#Main!A"&amp;MATCH(A38,Main!A:A,0),"Open"),HYPERLINK("#Main!A1","Open"))</f>
        <v/>
      </c>
      <c r="R38">
        <f>IFERROR(HYPERLINK("#Technical!A"&amp;MATCH(A38,Technical!A:A,0),"Open"),HYPERLINK("#Technical!A1","Open"))</f>
        <v/>
      </c>
    </row>
    <row r="39" ht="30" customHeight="1">
      <c r="A39" s="33" t="inlineStr">
        <is>
          <t>https://africanmarketingconfederation.org/amc-marketing-conference-2024/</t>
        </is>
      </c>
      <c r="B39" s="6" t="inlineStr">
        <is>
          <t>Content</t>
        </is>
      </c>
      <c r="C39" s="25" t="inlineStr">
        <is>
          <t>Warning</t>
        </is>
      </c>
      <c r="D39" s="6" t="inlineStr">
        <is>
          <t>Low AEO readiness score</t>
        </is>
      </c>
      <c r="E39" s="6" t="n">
        <v>67</v>
      </c>
      <c r="F39" s="6" t="n">
        <v>0</v>
      </c>
      <c r="G39" s="6" t="inlineStr">
        <is>
          <t>&gt;=60</t>
        </is>
      </c>
      <c r="H39" s="6" t="inlineStr">
        <is>
          <t>Add concise answer blocks, question-led subheadings, and clear structured sections.</t>
        </is>
      </c>
      <c r="I39" s="31" t="inlineStr">
        <is>
          <t>AEO</t>
        </is>
      </c>
      <c r="J39" s="6" t="inlineStr">
        <is>
          <t>AEO Readiness Score</t>
        </is>
      </c>
      <c r="K39" s="6" t="inlineStr">
        <is>
          <t>Yes</t>
        </is>
      </c>
      <c r="L39" s="6" t="inlineStr">
        <is>
          <t>Copy Writer</t>
        </is>
      </c>
      <c r="M39" s="25" t="inlineStr">
        <is>
          <t>Open</t>
        </is>
      </c>
      <c r="N39" s="6" t="n">
        <v>4</v>
      </c>
      <c r="O39" s="6" t="inlineStr">
        <is>
          <t>https://africanmarketingconfederation.org/amc-marketing-conference-2024/::aioseo_low_aeo_readiness_score</t>
        </is>
      </c>
      <c r="P39" s="6" t="inlineStr">
        <is>
          <t>Weak answer-style structure lowers AI/answer-engine retrieval potential.</t>
        </is>
      </c>
      <c r="Q39">
        <f>IFERROR(HYPERLINK("#Main!A"&amp;MATCH(A39,Main!A:A,0),"Open"),HYPERLINK("#Main!A1","Open"))</f>
        <v/>
      </c>
      <c r="R39">
        <f>IFERROR(HYPERLINK("#Technical!A"&amp;MATCH(A39,Technical!A:A,0),"Open"),HYPERLINK("#Technical!A1","Open"))</f>
        <v/>
      </c>
    </row>
    <row r="40" ht="45" customHeight="1">
      <c r="A40" s="33" t="inlineStr">
        <is>
          <t>https://africanmarketingconfederation.org/amc-marketing-conference-2024/amc-conference-2025-ghana-sponsors/</t>
        </is>
      </c>
      <c r="B40" s="24" t="inlineStr">
        <is>
          <t>Content</t>
        </is>
      </c>
      <c r="C40" s="25" t="inlineStr">
        <is>
          <t>Warning</t>
        </is>
      </c>
      <c r="D40" s="24" t="inlineStr">
        <is>
          <t>Low AEO readiness score</t>
        </is>
      </c>
      <c r="E40" s="24" t="n">
        <v>67</v>
      </c>
      <c r="F40" s="24" t="n">
        <v>0</v>
      </c>
      <c r="G40" s="24" t="inlineStr">
        <is>
          <t>&gt;=60</t>
        </is>
      </c>
      <c r="H40" s="24" t="inlineStr">
        <is>
          <t>Add concise answer blocks, question-led subheadings, and clear structured sections.</t>
        </is>
      </c>
      <c r="I40" s="28" t="inlineStr">
        <is>
          <t>AEO</t>
        </is>
      </c>
      <c r="J40" s="24" t="inlineStr">
        <is>
          <t>AEO Readiness Score</t>
        </is>
      </c>
      <c r="K40" s="24" t="inlineStr">
        <is>
          <t>Yes</t>
        </is>
      </c>
      <c r="L40" s="24" t="inlineStr">
        <is>
          <t>Copy Writer</t>
        </is>
      </c>
      <c r="M40" s="25" t="inlineStr">
        <is>
          <t>Open</t>
        </is>
      </c>
      <c r="N40" s="24" t="n">
        <v>4</v>
      </c>
      <c r="O40" s="24" t="inlineStr">
        <is>
          <t>https://africanmarketingconfederation.org/amc-marketing-conference-2024/amc-conference-2025-ghana-sponsors/::aioseo_low_aeo_readiness_score</t>
        </is>
      </c>
      <c r="P40" s="24" t="inlineStr">
        <is>
          <t>Weak answer-style structure lowers AI/answer-engine retrieval potential.</t>
        </is>
      </c>
      <c r="Q40">
        <f>IFERROR(HYPERLINK("#Main!A"&amp;MATCH(A40,Main!A:A,0),"Open"),HYPERLINK("#Main!A1","Open"))</f>
        <v/>
      </c>
      <c r="R40">
        <f>IFERROR(HYPERLINK("#Technical!A"&amp;MATCH(A40,Technical!A:A,0),"Open"),HYPERLINK("#Technical!A1","Open"))</f>
        <v/>
      </c>
    </row>
    <row r="41" ht="30" customHeight="1">
      <c r="A41" s="33" t="inlineStr">
        <is>
          <t>https://africanmarketingconfederation.org/amc-marketing-conference-2024/amc-launch-event-2025/</t>
        </is>
      </c>
      <c r="B41" s="6" t="inlineStr">
        <is>
          <t>Content</t>
        </is>
      </c>
      <c r="C41" s="25" t="inlineStr">
        <is>
          <t>Warning</t>
        </is>
      </c>
      <c r="D41" s="6" t="inlineStr">
        <is>
          <t>Low AEO readiness score</t>
        </is>
      </c>
      <c r="E41" s="6" t="n">
        <v>67</v>
      </c>
      <c r="F41" s="6" t="n">
        <v>0</v>
      </c>
      <c r="G41" s="6" t="inlineStr">
        <is>
          <t>&gt;=60</t>
        </is>
      </c>
      <c r="H41" s="6" t="inlineStr">
        <is>
          <t>Add concise answer blocks, question-led subheadings, and clear structured sections.</t>
        </is>
      </c>
      <c r="I41" s="31" t="inlineStr">
        <is>
          <t>AEO</t>
        </is>
      </c>
      <c r="J41" s="6" t="inlineStr">
        <is>
          <t>AEO Readiness Score</t>
        </is>
      </c>
      <c r="K41" s="6" t="inlineStr">
        <is>
          <t>Yes</t>
        </is>
      </c>
      <c r="L41" s="6" t="inlineStr">
        <is>
          <t>Copy Writer</t>
        </is>
      </c>
      <c r="M41" s="25" t="inlineStr">
        <is>
          <t>Open</t>
        </is>
      </c>
      <c r="N41" s="6" t="n">
        <v>4</v>
      </c>
      <c r="O41" s="6" t="inlineStr">
        <is>
          <t>https://africanmarketingconfederation.org/amc-marketing-conference-2024/amc-launch-event-2025/::aioseo_low_aeo_readiness_score</t>
        </is>
      </c>
      <c r="P41" s="6" t="inlineStr">
        <is>
          <t>Weak answer-style structure lowers AI/answer-engine retrieval potential.</t>
        </is>
      </c>
      <c r="Q41">
        <f>IFERROR(HYPERLINK("#Main!A"&amp;MATCH(A41,Main!A:A,0),"Open"),HYPERLINK("#Main!A1","Open"))</f>
        <v/>
      </c>
      <c r="R41">
        <f>IFERROR(HYPERLINK("#Technical!A"&amp;MATCH(A41,Technical!A:A,0),"Open"),HYPERLINK("#Technical!A1","Open"))</f>
        <v/>
      </c>
    </row>
    <row r="42" ht="30" customHeight="1">
      <c r="A42" s="33" t="inlineStr">
        <is>
          <t>https://africanmarketingconfederation.org/amc-marketing-conference-2024/amc-preregister-2025/</t>
        </is>
      </c>
      <c r="B42" s="24" t="inlineStr">
        <is>
          <t>Content</t>
        </is>
      </c>
      <c r="C42" s="25" t="inlineStr">
        <is>
          <t>Warning</t>
        </is>
      </c>
      <c r="D42" s="24" t="inlineStr">
        <is>
          <t>Low AEO readiness score</t>
        </is>
      </c>
      <c r="E42" s="24" t="n">
        <v>67</v>
      </c>
      <c r="F42" s="24" t="n">
        <v>0</v>
      </c>
      <c r="G42" s="24" t="inlineStr">
        <is>
          <t>&gt;=60</t>
        </is>
      </c>
      <c r="H42" s="24" t="inlineStr">
        <is>
          <t>Add concise answer blocks, question-led subheadings, and clear structured sections.</t>
        </is>
      </c>
      <c r="I42" s="28" t="inlineStr">
        <is>
          <t>AEO</t>
        </is>
      </c>
      <c r="J42" s="24" t="inlineStr">
        <is>
          <t>AEO Readiness Score</t>
        </is>
      </c>
      <c r="K42" s="24" t="inlineStr">
        <is>
          <t>Yes</t>
        </is>
      </c>
      <c r="L42" s="24" t="inlineStr">
        <is>
          <t>Copy Writer</t>
        </is>
      </c>
      <c r="M42" s="25" t="inlineStr">
        <is>
          <t>Open</t>
        </is>
      </c>
      <c r="N42" s="24" t="n">
        <v>4</v>
      </c>
      <c r="O42" s="24" t="inlineStr">
        <is>
          <t>https://africanmarketingconfederation.org/amc-marketing-conference-2024/amc-preregister-2025/::aioseo_low_aeo_readiness_score</t>
        </is>
      </c>
      <c r="P42" s="24" t="inlineStr">
        <is>
          <t>Weak answer-style structure lowers AI/answer-engine retrieval potential.</t>
        </is>
      </c>
      <c r="Q42">
        <f>IFERROR(HYPERLINK("#Main!A"&amp;MATCH(A42,Main!A:A,0),"Open"),HYPERLINK("#Main!A1","Open"))</f>
        <v/>
      </c>
      <c r="R42">
        <f>IFERROR(HYPERLINK("#Technical!A"&amp;MATCH(A42,Technical!A:A,0),"Open"),HYPERLINK("#Technical!A1","Open"))</f>
        <v/>
      </c>
    </row>
    <row r="43" ht="30" customHeight="1">
      <c r="A43" s="33" t="inlineStr">
        <is>
          <t>https://africanmarketingconfederation.org/amc-marketing-conference-2024/amc-programme-2025/</t>
        </is>
      </c>
      <c r="B43" s="6" t="inlineStr">
        <is>
          <t>Content</t>
        </is>
      </c>
      <c r="C43" s="25" t="inlineStr">
        <is>
          <t>Warning</t>
        </is>
      </c>
      <c r="D43" s="6" t="inlineStr">
        <is>
          <t>Low AEO readiness score</t>
        </is>
      </c>
      <c r="E43" s="6" t="n">
        <v>67</v>
      </c>
      <c r="F43" s="6" t="n">
        <v>0</v>
      </c>
      <c r="G43" s="6" t="inlineStr">
        <is>
          <t>&gt;=60</t>
        </is>
      </c>
      <c r="H43" s="6" t="inlineStr">
        <is>
          <t>Add concise answer blocks, question-led subheadings, and clear structured sections.</t>
        </is>
      </c>
      <c r="I43" s="31" t="inlineStr">
        <is>
          <t>AEO</t>
        </is>
      </c>
      <c r="J43" s="6" t="inlineStr">
        <is>
          <t>AEO Readiness Score</t>
        </is>
      </c>
      <c r="K43" s="6" t="inlineStr">
        <is>
          <t>Yes</t>
        </is>
      </c>
      <c r="L43" s="6" t="inlineStr">
        <is>
          <t>Copy Writer</t>
        </is>
      </c>
      <c r="M43" s="25" t="inlineStr">
        <is>
          <t>Open</t>
        </is>
      </c>
      <c r="N43" s="6" t="n">
        <v>4</v>
      </c>
      <c r="O43" s="6" t="inlineStr">
        <is>
          <t>https://africanmarketingconfederation.org/amc-marketing-conference-2024/amc-programme-2025/::aioseo_low_aeo_readiness_score</t>
        </is>
      </c>
      <c r="P43" s="6" t="inlineStr">
        <is>
          <t>Weak answer-style structure lowers AI/answer-engine retrieval potential.</t>
        </is>
      </c>
      <c r="Q43">
        <f>IFERROR(HYPERLINK("#Main!A"&amp;MATCH(A43,Main!A:A,0),"Open"),HYPERLINK("#Main!A1","Open"))</f>
        <v/>
      </c>
      <c r="R43">
        <f>IFERROR(HYPERLINK("#Technical!A"&amp;MATCH(A43,Technical!A:A,0),"Open"),HYPERLINK("#Technical!A1","Open"))</f>
        <v/>
      </c>
    </row>
    <row r="44" ht="45" customHeight="1">
      <c r="A44" s="33" t="inlineStr">
        <is>
          <t>https://africanmarketingconfederation.org/amc-marketing-conference-2024/amc-speakers-presentations-2024/</t>
        </is>
      </c>
      <c r="B44" s="24" t="inlineStr">
        <is>
          <t>Content</t>
        </is>
      </c>
      <c r="C44" s="25" t="inlineStr">
        <is>
          <t>Warning</t>
        </is>
      </c>
      <c r="D44" s="24" t="inlineStr">
        <is>
          <t>Low AEO readiness score</t>
        </is>
      </c>
      <c r="E44" s="24" t="n">
        <v>67</v>
      </c>
      <c r="F44" s="24" t="n">
        <v>0</v>
      </c>
      <c r="G44" s="24" t="inlineStr">
        <is>
          <t>&gt;=60</t>
        </is>
      </c>
      <c r="H44" s="24" t="inlineStr">
        <is>
          <t>Add concise answer blocks, question-led subheadings, and clear structured sections.</t>
        </is>
      </c>
      <c r="I44" s="28" t="inlineStr">
        <is>
          <t>AEO</t>
        </is>
      </c>
      <c r="J44" s="24" t="inlineStr">
        <is>
          <t>AEO Readiness Score</t>
        </is>
      </c>
      <c r="K44" s="24" t="inlineStr">
        <is>
          <t>Yes</t>
        </is>
      </c>
      <c r="L44" s="24" t="inlineStr">
        <is>
          <t>Copy Writer</t>
        </is>
      </c>
      <c r="M44" s="25" t="inlineStr">
        <is>
          <t>Open</t>
        </is>
      </c>
      <c r="N44" s="24" t="n">
        <v>4</v>
      </c>
      <c r="O44" s="24" t="inlineStr">
        <is>
          <t>https://africanmarketingconfederation.org/amc-marketing-conference-2024/amc-speakers-presentations-2024/::aioseo_low_aeo_readiness_score</t>
        </is>
      </c>
      <c r="P44" s="24" t="inlineStr">
        <is>
          <t>Weak answer-style structure lowers AI/answer-engine retrieval potential.</t>
        </is>
      </c>
      <c r="Q44">
        <f>IFERROR(HYPERLINK("#Main!A"&amp;MATCH(A44,Main!A:A,0),"Open"),HYPERLINK("#Main!A1","Open"))</f>
        <v/>
      </c>
      <c r="R44">
        <f>IFERROR(HYPERLINK("#Technical!A"&amp;MATCH(A44,Technical!A:A,0),"Open"),HYPERLINK("#Technical!A1","Open"))</f>
        <v/>
      </c>
    </row>
    <row r="45" ht="30" customHeight="1">
      <c r="A45" s="33" t="inlineStr">
        <is>
          <t>https://africanmarketingconfederation.org/amc-marketing-conference-2024/awards-2025/</t>
        </is>
      </c>
      <c r="B45" s="6" t="inlineStr">
        <is>
          <t>Content</t>
        </is>
      </c>
      <c r="C45" s="25" t="inlineStr">
        <is>
          <t>Warning</t>
        </is>
      </c>
      <c r="D45" s="6" t="inlineStr">
        <is>
          <t>Low AEO readiness score</t>
        </is>
      </c>
      <c r="E45" s="6" t="n">
        <v>67</v>
      </c>
      <c r="F45" s="6" t="n">
        <v>0</v>
      </c>
      <c r="G45" s="6" t="inlineStr">
        <is>
          <t>&gt;=60</t>
        </is>
      </c>
      <c r="H45" s="6" t="inlineStr">
        <is>
          <t>Add concise answer blocks, question-led subheadings, and clear structured sections.</t>
        </is>
      </c>
      <c r="I45" s="31" t="inlineStr">
        <is>
          <t>AEO</t>
        </is>
      </c>
      <c r="J45" s="6" t="inlineStr">
        <is>
          <t>AEO Readiness Score</t>
        </is>
      </c>
      <c r="K45" s="6" t="inlineStr">
        <is>
          <t>Yes</t>
        </is>
      </c>
      <c r="L45" s="6" t="inlineStr">
        <is>
          <t>Copy Writer</t>
        </is>
      </c>
      <c r="M45" s="25" t="inlineStr">
        <is>
          <t>Open</t>
        </is>
      </c>
      <c r="N45" s="6" t="n">
        <v>4</v>
      </c>
      <c r="O45" s="6" t="inlineStr">
        <is>
          <t>https://africanmarketingconfederation.org/amc-marketing-conference-2024/awards-2025/::aioseo_low_aeo_readiness_score</t>
        </is>
      </c>
      <c r="P45" s="6" t="inlineStr">
        <is>
          <t>Weak answer-style structure lowers AI/answer-engine retrieval potential.</t>
        </is>
      </c>
      <c r="Q45">
        <f>IFERROR(HYPERLINK("#Main!A"&amp;MATCH(A45,Main!A:A,0),"Open"),HYPERLINK("#Main!A1","Open"))</f>
        <v/>
      </c>
      <c r="R45">
        <f>IFERROR(HYPERLINK("#Technical!A"&amp;MATCH(A45,Technical!A:A,0),"Open"),HYPERLINK("#Technical!A1","Open"))</f>
        <v/>
      </c>
    </row>
    <row r="46" ht="30" customHeight="1">
      <c r="A46" s="33" t="inlineStr">
        <is>
          <t>https://africanmarketingconfederation.org/amc-marketing-conference-2024/programme-2024/</t>
        </is>
      </c>
      <c r="B46" s="24" t="inlineStr">
        <is>
          <t>Content</t>
        </is>
      </c>
      <c r="C46" s="25" t="inlineStr">
        <is>
          <t>Warning</t>
        </is>
      </c>
      <c r="D46" s="24" t="inlineStr">
        <is>
          <t>Low AEO readiness score</t>
        </is>
      </c>
      <c r="E46" s="24" t="n">
        <v>67</v>
      </c>
      <c r="F46" s="24" t="n">
        <v>0</v>
      </c>
      <c r="G46" s="24" t="inlineStr">
        <is>
          <t>&gt;=60</t>
        </is>
      </c>
      <c r="H46" s="24" t="inlineStr">
        <is>
          <t>Add concise answer blocks, question-led subheadings, and clear structured sections.</t>
        </is>
      </c>
      <c r="I46" s="28" t="inlineStr">
        <is>
          <t>AEO</t>
        </is>
      </c>
      <c r="J46" s="24" t="inlineStr">
        <is>
          <t>AEO Readiness Score</t>
        </is>
      </c>
      <c r="K46" s="24" t="inlineStr">
        <is>
          <t>Yes</t>
        </is>
      </c>
      <c r="L46" s="24" t="inlineStr">
        <is>
          <t>Copy Writer</t>
        </is>
      </c>
      <c r="M46" s="25" t="inlineStr">
        <is>
          <t>Open</t>
        </is>
      </c>
      <c r="N46" s="24" t="n">
        <v>4</v>
      </c>
      <c r="O46" s="24" t="inlineStr">
        <is>
          <t>https://africanmarketingconfederation.org/amc-marketing-conference-2024/programme-2024/::aioseo_low_aeo_readiness_score</t>
        </is>
      </c>
      <c r="P46" s="24" t="inlineStr">
        <is>
          <t>Weak answer-style structure lowers AI/answer-engine retrieval potential.</t>
        </is>
      </c>
      <c r="Q46">
        <f>IFERROR(HYPERLINK("#Main!A"&amp;MATCH(A46,Main!A:A,0),"Open"),HYPERLINK("#Main!A1","Open"))</f>
        <v/>
      </c>
      <c r="R46">
        <f>IFERROR(HYPERLINK("#Technical!A"&amp;MATCH(A46,Technical!A:A,0),"Open"),HYPERLINK("#Technical!A1","Open"))</f>
        <v/>
      </c>
    </row>
    <row r="47" ht="30" customHeight="1">
      <c r="A47" s="33" t="inlineStr">
        <is>
          <t>https://africanmarketingconfederation.org/amc-marketing-conference-2024/speakers-2024/</t>
        </is>
      </c>
      <c r="B47" s="6" t="inlineStr">
        <is>
          <t>Content</t>
        </is>
      </c>
      <c r="C47" s="25" t="inlineStr">
        <is>
          <t>Warning</t>
        </is>
      </c>
      <c r="D47" s="6" t="inlineStr">
        <is>
          <t>Low AEO readiness score</t>
        </is>
      </c>
      <c r="E47" s="6" t="n">
        <v>67</v>
      </c>
      <c r="F47" s="6" t="n">
        <v>0</v>
      </c>
      <c r="G47" s="6" t="inlineStr">
        <is>
          <t>&gt;=60</t>
        </is>
      </c>
      <c r="H47" s="6" t="inlineStr">
        <is>
          <t>Add concise answer blocks, question-led subheadings, and clear structured sections.</t>
        </is>
      </c>
      <c r="I47" s="31" t="inlineStr">
        <is>
          <t>AEO</t>
        </is>
      </c>
      <c r="J47" s="6" t="inlineStr">
        <is>
          <t>AEO Readiness Score</t>
        </is>
      </c>
      <c r="K47" s="6" t="inlineStr">
        <is>
          <t>Yes</t>
        </is>
      </c>
      <c r="L47" s="6" t="inlineStr">
        <is>
          <t>Copy Writer</t>
        </is>
      </c>
      <c r="M47" s="25" t="inlineStr">
        <is>
          <t>Open</t>
        </is>
      </c>
      <c r="N47" s="6" t="n">
        <v>4</v>
      </c>
      <c r="O47" s="6" t="inlineStr">
        <is>
          <t>https://africanmarketingconfederation.org/amc-marketing-conference-2024/speakers-2024/::aioseo_low_aeo_readiness_score</t>
        </is>
      </c>
      <c r="P47" s="6" t="inlineStr">
        <is>
          <t>Weak answer-style structure lowers AI/answer-engine retrieval potential.</t>
        </is>
      </c>
      <c r="Q47">
        <f>IFERROR(HYPERLINK("#Main!A"&amp;MATCH(A47,Main!A:A,0),"Open"),HYPERLINK("#Main!A1","Open"))</f>
        <v/>
      </c>
      <c r="R47">
        <f>IFERROR(HYPERLINK("#Technical!A"&amp;MATCH(A47,Technical!A:A,0),"Open"),HYPERLINK("#Technical!A1","Open"))</f>
        <v/>
      </c>
    </row>
    <row r="48" ht="30" customHeight="1">
      <c r="A48" s="33" t="inlineStr">
        <is>
          <t>https://africanmarketingconfederation.org/amc-marketing-conference-2024/testimony-thank-you-page/</t>
        </is>
      </c>
      <c r="B48" s="24" t="inlineStr">
        <is>
          <t>Content</t>
        </is>
      </c>
      <c r="C48" s="25" t="inlineStr">
        <is>
          <t>Warning</t>
        </is>
      </c>
      <c r="D48" s="24" t="inlineStr">
        <is>
          <t>Low AEO readiness score</t>
        </is>
      </c>
      <c r="E48" s="24" t="n">
        <v>67</v>
      </c>
      <c r="F48" s="24" t="n">
        <v>0</v>
      </c>
      <c r="G48" s="24" t="inlineStr">
        <is>
          <t>&gt;=60</t>
        </is>
      </c>
      <c r="H48" s="24" t="inlineStr">
        <is>
          <t>Add concise answer blocks, question-led subheadings, and clear structured sections.</t>
        </is>
      </c>
      <c r="I48" s="28" t="inlineStr">
        <is>
          <t>AEO</t>
        </is>
      </c>
      <c r="J48" s="24" t="inlineStr">
        <is>
          <t>AEO Readiness Score</t>
        </is>
      </c>
      <c r="K48" s="24" t="inlineStr">
        <is>
          <t>Yes</t>
        </is>
      </c>
      <c r="L48" s="24" t="inlineStr">
        <is>
          <t>Copy Writer</t>
        </is>
      </c>
      <c r="M48" s="25" t="inlineStr">
        <is>
          <t>Open</t>
        </is>
      </c>
      <c r="N48" s="24" t="n">
        <v>4</v>
      </c>
      <c r="O48" s="24" t="inlineStr">
        <is>
          <t>https://africanmarketingconfederation.org/amc-marketing-conference-2024/testimony-thank-you-page/::aioseo_low_aeo_readiness_score</t>
        </is>
      </c>
      <c r="P48" s="24" t="inlineStr">
        <is>
          <t>Weak answer-style structure lowers AI/answer-engine retrieval potential.</t>
        </is>
      </c>
      <c r="Q48">
        <f>IFERROR(HYPERLINK("#Main!A"&amp;MATCH(A48,Main!A:A,0),"Open"),HYPERLINK("#Main!A1","Open"))</f>
        <v/>
      </c>
      <c r="R48">
        <f>IFERROR(HYPERLINK("#Technical!A"&amp;MATCH(A48,Technical!A:A,0),"Open"),HYPERLINK("#Technical!A1","Open"))</f>
        <v/>
      </c>
    </row>
    <row r="49" ht="30" customHeight="1">
      <c r="A49" s="33" t="inlineStr">
        <is>
          <t>https://africanmarketingconfederation.org/amc-masterclass-bookings/</t>
        </is>
      </c>
      <c r="B49" s="6" t="inlineStr">
        <is>
          <t>Content</t>
        </is>
      </c>
      <c r="C49" s="25" t="inlineStr">
        <is>
          <t>Warning</t>
        </is>
      </c>
      <c r="D49" s="6" t="inlineStr">
        <is>
          <t>Low AEO readiness score</t>
        </is>
      </c>
      <c r="E49" s="6" t="n">
        <v>67</v>
      </c>
      <c r="F49" s="6" t="n">
        <v>0</v>
      </c>
      <c r="G49" s="6" t="inlineStr">
        <is>
          <t>&gt;=60</t>
        </is>
      </c>
      <c r="H49" s="6" t="inlineStr">
        <is>
          <t>Add concise answer blocks, question-led subheadings, and clear structured sections.</t>
        </is>
      </c>
      <c r="I49" s="31" t="inlineStr">
        <is>
          <t>AEO</t>
        </is>
      </c>
      <c r="J49" s="6" t="inlineStr">
        <is>
          <t>AEO Readiness Score</t>
        </is>
      </c>
      <c r="K49" s="6" t="inlineStr">
        <is>
          <t>Yes</t>
        </is>
      </c>
      <c r="L49" s="6" t="inlineStr">
        <is>
          <t>Copy Writer</t>
        </is>
      </c>
      <c r="M49" s="25" t="inlineStr">
        <is>
          <t>Open</t>
        </is>
      </c>
      <c r="N49" s="6" t="n">
        <v>4</v>
      </c>
      <c r="O49" s="6" t="inlineStr">
        <is>
          <t>https://africanmarketingconfederation.org/amc-masterclass-bookings/::aioseo_low_aeo_readiness_score</t>
        </is>
      </c>
      <c r="P49" s="6" t="inlineStr">
        <is>
          <t>Weak answer-style structure lowers AI/answer-engine retrieval potential.</t>
        </is>
      </c>
      <c r="Q49">
        <f>IFERROR(HYPERLINK("#Main!A"&amp;MATCH(A49,Main!A:A,0),"Open"),HYPERLINK("#Main!A1","Open"))</f>
        <v/>
      </c>
      <c r="R49">
        <f>IFERROR(HYPERLINK("#Technical!A"&amp;MATCH(A49,Technical!A:A,0),"Open"),HYPERLINK("#Technical!A1","Open"))</f>
        <v/>
      </c>
    </row>
    <row r="50" ht="30" customHeight="1">
      <c r="A50" s="33" t="inlineStr">
        <is>
          <t>https://africanmarketingconfederation.org/amc-masterclass-thank-you/</t>
        </is>
      </c>
      <c r="B50" s="24" t="inlineStr">
        <is>
          <t>Content</t>
        </is>
      </c>
      <c r="C50" s="25" t="inlineStr">
        <is>
          <t>Warning</t>
        </is>
      </c>
      <c r="D50" s="24" t="inlineStr">
        <is>
          <t>Low AEO readiness score</t>
        </is>
      </c>
      <c r="E50" s="24" t="n">
        <v>67</v>
      </c>
      <c r="F50" s="24" t="n">
        <v>0</v>
      </c>
      <c r="G50" s="24" t="inlineStr">
        <is>
          <t>&gt;=60</t>
        </is>
      </c>
      <c r="H50" s="24" t="inlineStr">
        <is>
          <t>Add concise answer blocks, question-led subheadings, and clear structured sections.</t>
        </is>
      </c>
      <c r="I50" s="28" t="inlineStr">
        <is>
          <t>AEO</t>
        </is>
      </c>
      <c r="J50" s="24" t="inlineStr">
        <is>
          <t>AEO Readiness Score</t>
        </is>
      </c>
      <c r="K50" s="24" t="inlineStr">
        <is>
          <t>Yes</t>
        </is>
      </c>
      <c r="L50" s="24" t="inlineStr">
        <is>
          <t>Copy Writer</t>
        </is>
      </c>
      <c r="M50" s="25" t="inlineStr">
        <is>
          <t>Open</t>
        </is>
      </c>
      <c r="N50" s="24" t="n">
        <v>4</v>
      </c>
      <c r="O50" s="24" t="inlineStr">
        <is>
          <t>https://africanmarketingconfederation.org/amc-masterclass-thank-you/::aioseo_low_aeo_readiness_score</t>
        </is>
      </c>
      <c r="P50" s="24" t="inlineStr">
        <is>
          <t>Weak answer-style structure lowers AI/answer-engine retrieval potential.</t>
        </is>
      </c>
      <c r="Q50">
        <f>IFERROR(HYPERLINK("#Main!A"&amp;MATCH(A50,Main!A:A,0),"Open"),HYPERLINK("#Main!A1","Open"))</f>
        <v/>
      </c>
      <c r="R50">
        <f>IFERROR(HYPERLINK("#Technical!A"&amp;MATCH(A50,Technical!A:A,0),"Open"),HYPERLINK("#Technical!A1","Open"))</f>
        <v/>
      </c>
    </row>
    <row r="51" ht="30" customHeight="1">
      <c r="A51" s="33" t="inlineStr">
        <is>
          <t>https://africanmarketingconfederation.org/amc-masterclass/</t>
        </is>
      </c>
      <c r="B51" s="6" t="inlineStr">
        <is>
          <t>Content</t>
        </is>
      </c>
      <c r="C51" s="25" t="inlineStr">
        <is>
          <t>Warning</t>
        </is>
      </c>
      <c r="D51" s="6" t="inlineStr">
        <is>
          <t>Low AEO readiness score</t>
        </is>
      </c>
      <c r="E51" s="6" t="n">
        <v>67</v>
      </c>
      <c r="F51" s="6" t="n">
        <v>0</v>
      </c>
      <c r="G51" s="6" t="inlineStr">
        <is>
          <t>&gt;=60</t>
        </is>
      </c>
      <c r="H51" s="6" t="inlineStr">
        <is>
          <t>Add concise answer blocks, question-led subheadings, and clear structured sections.</t>
        </is>
      </c>
      <c r="I51" s="31" t="inlineStr">
        <is>
          <t>AEO</t>
        </is>
      </c>
      <c r="J51" s="6" t="inlineStr">
        <is>
          <t>AEO Readiness Score</t>
        </is>
      </c>
      <c r="K51" s="6" t="inlineStr">
        <is>
          <t>Yes</t>
        </is>
      </c>
      <c r="L51" s="6" t="inlineStr">
        <is>
          <t>Copy Writer</t>
        </is>
      </c>
      <c r="M51" s="25" t="inlineStr">
        <is>
          <t>Open</t>
        </is>
      </c>
      <c r="N51" s="6" t="n">
        <v>4</v>
      </c>
      <c r="O51" s="6" t="inlineStr">
        <is>
          <t>https://africanmarketingconfederation.org/amc-masterclass/::aioseo_low_aeo_readiness_score</t>
        </is>
      </c>
      <c r="P51" s="6" t="inlineStr">
        <is>
          <t>Weak answer-style structure lowers AI/answer-engine retrieval potential.</t>
        </is>
      </c>
      <c r="Q51">
        <f>IFERROR(HYPERLINK("#Main!A"&amp;MATCH(A51,Main!A:A,0),"Open"),HYPERLINK("#Main!A1","Open"))</f>
        <v/>
      </c>
      <c r="R51">
        <f>IFERROR(HYPERLINK("#Technical!A"&amp;MATCH(A51,Technical!A:A,0),"Open"),HYPERLINK("#Technical!A1","Open"))</f>
        <v/>
      </c>
    </row>
    <row r="52" ht="30" customHeight="1">
      <c r="A52" s="33" t="inlineStr">
        <is>
          <t>https://africanmarketingconfederation.org/amc-relaunch-programme/</t>
        </is>
      </c>
      <c r="B52" s="24" t="inlineStr">
        <is>
          <t>Content</t>
        </is>
      </c>
      <c r="C52" s="25" t="inlineStr">
        <is>
          <t>Warning</t>
        </is>
      </c>
      <c r="D52" s="24" t="inlineStr">
        <is>
          <t>Low AEO readiness score</t>
        </is>
      </c>
      <c r="E52" s="24" t="n">
        <v>67</v>
      </c>
      <c r="F52" s="24" t="n">
        <v>0</v>
      </c>
      <c r="G52" s="24" t="inlineStr">
        <is>
          <t>&gt;=60</t>
        </is>
      </c>
      <c r="H52" s="24" t="inlineStr">
        <is>
          <t>Add concise answer blocks, question-led subheadings, and clear structured sections.</t>
        </is>
      </c>
      <c r="I52" s="28" t="inlineStr">
        <is>
          <t>AEO</t>
        </is>
      </c>
      <c r="J52" s="24" t="inlineStr">
        <is>
          <t>AEO Readiness Score</t>
        </is>
      </c>
      <c r="K52" s="24" t="inlineStr">
        <is>
          <t>Yes</t>
        </is>
      </c>
      <c r="L52" s="24" t="inlineStr">
        <is>
          <t>Copy Writer</t>
        </is>
      </c>
      <c r="M52" s="25" t="inlineStr">
        <is>
          <t>Open</t>
        </is>
      </c>
      <c r="N52" s="24" t="n">
        <v>4</v>
      </c>
      <c r="O52" s="24" t="inlineStr">
        <is>
          <t>https://africanmarketingconfederation.org/amc-relaunch-programme/::aioseo_low_aeo_readiness_score</t>
        </is>
      </c>
      <c r="P52" s="24" t="inlineStr">
        <is>
          <t>Weak answer-style structure lowers AI/answer-engine retrieval potential.</t>
        </is>
      </c>
      <c r="Q52">
        <f>IFERROR(HYPERLINK("#Main!A"&amp;MATCH(A52,Main!A:A,0),"Open"),HYPERLINK("#Main!A1","Open"))</f>
        <v/>
      </c>
      <c r="R52">
        <f>IFERROR(HYPERLINK("#Technical!A"&amp;MATCH(A52,Technical!A:A,0),"Open"),HYPERLINK("#Technical!A1","Open"))</f>
        <v/>
      </c>
    </row>
    <row r="53" ht="30" customHeight="1">
      <c r="A53" s="33" t="inlineStr">
        <is>
          <t>https://africanmarketingconfederation.org/amc-sign-up-now-form-2025/</t>
        </is>
      </c>
      <c r="B53" s="6" t="inlineStr">
        <is>
          <t>Content</t>
        </is>
      </c>
      <c r="C53" s="25" t="inlineStr">
        <is>
          <t>Warning</t>
        </is>
      </c>
      <c r="D53" s="6" t="inlineStr">
        <is>
          <t>Low AEO readiness score</t>
        </is>
      </c>
      <c r="E53" s="6" t="n">
        <v>67</v>
      </c>
      <c r="F53" s="6" t="n">
        <v>0</v>
      </c>
      <c r="G53" s="6" t="inlineStr">
        <is>
          <t>&gt;=60</t>
        </is>
      </c>
      <c r="H53" s="6" t="inlineStr">
        <is>
          <t>Add concise answer blocks, question-led subheadings, and clear structured sections.</t>
        </is>
      </c>
      <c r="I53" s="31" t="inlineStr">
        <is>
          <t>AEO</t>
        </is>
      </c>
      <c r="J53" s="6" t="inlineStr">
        <is>
          <t>AEO Readiness Score</t>
        </is>
      </c>
      <c r="K53" s="6" t="inlineStr">
        <is>
          <t>Yes</t>
        </is>
      </c>
      <c r="L53" s="6" t="inlineStr">
        <is>
          <t>Copy Writer</t>
        </is>
      </c>
      <c r="M53" s="25" t="inlineStr">
        <is>
          <t>Open</t>
        </is>
      </c>
      <c r="N53" s="6" t="n">
        <v>4</v>
      </c>
      <c r="O53" s="6" t="inlineStr">
        <is>
          <t>https://africanmarketingconfederation.org/amc-sign-up-now-form-2025/::aioseo_low_aeo_readiness_score</t>
        </is>
      </c>
      <c r="P53" s="6" t="inlineStr">
        <is>
          <t>Weak answer-style structure lowers AI/answer-engine retrieval potential.</t>
        </is>
      </c>
      <c r="Q53">
        <f>IFERROR(HYPERLINK("#Main!A"&amp;MATCH(A53,Main!A:A,0),"Open"),HYPERLINK("#Main!A1","Open"))</f>
        <v/>
      </c>
      <c r="R53">
        <f>IFERROR(HYPERLINK("#Technical!A"&amp;MATCH(A53,Technical!A:A,0),"Open"),HYPERLINK("#Technical!A1","Open"))</f>
        <v/>
      </c>
    </row>
    <row r="54" ht="30" customHeight="1">
      <c r="A54" s="33" t="inlineStr">
        <is>
          <t>https://africanmarketingconfederation.org/amc-sponsors-2025/</t>
        </is>
      </c>
      <c r="B54" s="24" t="inlineStr">
        <is>
          <t>Content</t>
        </is>
      </c>
      <c r="C54" s="25" t="inlineStr">
        <is>
          <t>Warning</t>
        </is>
      </c>
      <c r="D54" s="24" t="inlineStr">
        <is>
          <t>Low AEO readiness score</t>
        </is>
      </c>
      <c r="E54" s="24" t="n">
        <v>67</v>
      </c>
      <c r="F54" s="24" t="n">
        <v>0</v>
      </c>
      <c r="G54" s="24" t="inlineStr">
        <is>
          <t>&gt;=60</t>
        </is>
      </c>
      <c r="H54" s="24" t="inlineStr">
        <is>
          <t>Add concise answer blocks, question-led subheadings, and clear structured sections.</t>
        </is>
      </c>
      <c r="I54" s="28" t="inlineStr">
        <is>
          <t>AEO</t>
        </is>
      </c>
      <c r="J54" s="24" t="inlineStr">
        <is>
          <t>AEO Readiness Score</t>
        </is>
      </c>
      <c r="K54" s="24" t="inlineStr">
        <is>
          <t>Yes</t>
        </is>
      </c>
      <c r="L54" s="24" t="inlineStr">
        <is>
          <t>Copy Writer</t>
        </is>
      </c>
      <c r="M54" s="25" t="inlineStr">
        <is>
          <t>Open</t>
        </is>
      </c>
      <c r="N54" s="24" t="n">
        <v>4</v>
      </c>
      <c r="O54" s="24" t="inlineStr">
        <is>
          <t>https://africanmarketingconfederation.org/amc-sponsors-2025/::aioseo_low_aeo_readiness_score</t>
        </is>
      </c>
      <c r="P54" s="24" t="inlineStr">
        <is>
          <t>Weak answer-style structure lowers AI/answer-engine retrieval potential.</t>
        </is>
      </c>
      <c r="Q54">
        <f>IFERROR(HYPERLINK("#Main!A"&amp;MATCH(A54,Main!A:A,0),"Open"),HYPERLINK("#Main!A1","Open"))</f>
        <v/>
      </c>
      <c r="R54">
        <f>IFERROR(HYPERLINK("#Technical!A"&amp;MATCH(A54,Technical!A:A,0),"Open"),HYPERLINK("#Technical!A1","Open"))</f>
        <v/>
      </c>
    </row>
    <row r="55" ht="30" customHeight="1">
      <c r="A55" s="33" t="inlineStr">
        <is>
          <t>https://africanmarketingconfederation.org/amc-testimony-page-2024/</t>
        </is>
      </c>
      <c r="B55" s="6" t="inlineStr">
        <is>
          <t>Content</t>
        </is>
      </c>
      <c r="C55" s="25" t="inlineStr">
        <is>
          <t>Warning</t>
        </is>
      </c>
      <c r="D55" s="6" t="inlineStr">
        <is>
          <t>Low AEO readiness score</t>
        </is>
      </c>
      <c r="E55" s="6" t="n">
        <v>67</v>
      </c>
      <c r="F55" s="6" t="n">
        <v>0</v>
      </c>
      <c r="G55" s="6" t="inlineStr">
        <is>
          <t>&gt;=60</t>
        </is>
      </c>
      <c r="H55" s="6" t="inlineStr">
        <is>
          <t>Add concise answer blocks, question-led subheadings, and clear structured sections.</t>
        </is>
      </c>
      <c r="I55" s="31" t="inlineStr">
        <is>
          <t>AEO</t>
        </is>
      </c>
      <c r="J55" s="6" t="inlineStr">
        <is>
          <t>AEO Readiness Score</t>
        </is>
      </c>
      <c r="K55" s="6" t="inlineStr">
        <is>
          <t>Yes</t>
        </is>
      </c>
      <c r="L55" s="6" t="inlineStr">
        <is>
          <t>Copy Writer</t>
        </is>
      </c>
      <c r="M55" s="25" t="inlineStr">
        <is>
          <t>Open</t>
        </is>
      </c>
      <c r="N55" s="6" t="n">
        <v>4</v>
      </c>
      <c r="O55" s="6" t="inlineStr">
        <is>
          <t>https://africanmarketingconfederation.org/amc-testimony-page-2024/::aioseo_low_aeo_readiness_score</t>
        </is>
      </c>
      <c r="P55" s="6" t="inlineStr">
        <is>
          <t>Weak answer-style structure lowers AI/answer-engine retrieval potential.</t>
        </is>
      </c>
      <c r="Q55">
        <f>IFERROR(HYPERLINK("#Main!A"&amp;MATCH(A55,Main!A:A,0),"Open"),HYPERLINK("#Main!A1","Open"))</f>
        <v/>
      </c>
      <c r="R55">
        <f>IFERROR(HYPERLINK("#Technical!A"&amp;MATCH(A55,Technical!A:A,0),"Open"),HYPERLINK("#Technical!A1","Open"))</f>
        <v/>
      </c>
    </row>
    <row r="56" ht="30" customHeight="1">
      <c r="A56" s="33" t="inlineStr">
        <is>
          <t>https://africanmarketingconfederation.org/awards-2026-1/</t>
        </is>
      </c>
      <c r="B56" s="24" t="inlineStr">
        <is>
          <t>Content</t>
        </is>
      </c>
      <c r="C56" s="25" t="inlineStr">
        <is>
          <t>Warning</t>
        </is>
      </c>
      <c r="D56" s="24" t="inlineStr">
        <is>
          <t>Low AEO readiness score</t>
        </is>
      </c>
      <c r="E56" s="24" t="n">
        <v>67</v>
      </c>
      <c r="F56" s="24" t="n">
        <v>0</v>
      </c>
      <c r="G56" s="24" t="inlineStr">
        <is>
          <t>&gt;=60</t>
        </is>
      </c>
      <c r="H56" s="24" t="inlineStr">
        <is>
          <t>Add concise answer blocks, question-led subheadings, and clear structured sections.</t>
        </is>
      </c>
      <c r="I56" s="28" t="inlineStr">
        <is>
          <t>AEO</t>
        </is>
      </c>
      <c r="J56" s="24" t="inlineStr">
        <is>
          <t>AEO Readiness Score</t>
        </is>
      </c>
      <c r="K56" s="24" t="inlineStr">
        <is>
          <t>Yes</t>
        </is>
      </c>
      <c r="L56" s="24" t="inlineStr">
        <is>
          <t>Copy Writer</t>
        </is>
      </c>
      <c r="M56" s="25" t="inlineStr">
        <is>
          <t>Open</t>
        </is>
      </c>
      <c r="N56" s="24" t="n">
        <v>4</v>
      </c>
      <c r="O56" s="24" t="inlineStr">
        <is>
          <t>https://africanmarketingconfederation.org/awards-2026-1/::aioseo_low_aeo_readiness_score</t>
        </is>
      </c>
      <c r="P56" s="24" t="inlineStr">
        <is>
          <t>Weak answer-style structure lowers AI/answer-engine retrieval potential.</t>
        </is>
      </c>
      <c r="Q56">
        <f>IFERROR(HYPERLINK("#Main!A"&amp;MATCH(A56,Main!A:A,0),"Open"),HYPERLINK("#Main!A1","Open"))</f>
        <v/>
      </c>
      <c r="R56">
        <f>IFERROR(HYPERLINK("#Technical!A"&amp;MATCH(A56,Technical!A:A,0),"Open"),HYPERLINK("#Technical!A1","Open"))</f>
        <v/>
      </c>
    </row>
    <row r="57" ht="30" customHeight="1">
      <c r="A57" s="33" t="inlineStr">
        <is>
          <t>https://africanmarketingconfederation.org/awards-2026-test/</t>
        </is>
      </c>
      <c r="B57" s="6" t="inlineStr">
        <is>
          <t>Content</t>
        </is>
      </c>
      <c r="C57" s="25" t="inlineStr">
        <is>
          <t>Warning</t>
        </is>
      </c>
      <c r="D57" s="6" t="inlineStr">
        <is>
          <t>Low AEO readiness score</t>
        </is>
      </c>
      <c r="E57" s="6" t="n">
        <v>67</v>
      </c>
      <c r="F57" s="6" t="n">
        <v>0</v>
      </c>
      <c r="G57" s="6" t="inlineStr">
        <is>
          <t>&gt;=60</t>
        </is>
      </c>
      <c r="H57" s="6" t="inlineStr">
        <is>
          <t>Add concise answer blocks, question-led subheadings, and clear structured sections.</t>
        </is>
      </c>
      <c r="I57" s="31" t="inlineStr">
        <is>
          <t>AEO</t>
        </is>
      </c>
      <c r="J57" s="6" t="inlineStr">
        <is>
          <t>AEO Readiness Score</t>
        </is>
      </c>
      <c r="K57" s="6" t="inlineStr">
        <is>
          <t>Yes</t>
        </is>
      </c>
      <c r="L57" s="6" t="inlineStr">
        <is>
          <t>Copy Writer</t>
        </is>
      </c>
      <c r="M57" s="25" t="inlineStr">
        <is>
          <t>Open</t>
        </is>
      </c>
      <c r="N57" s="6" t="n">
        <v>4</v>
      </c>
      <c r="O57" s="6" t="inlineStr">
        <is>
          <t>https://africanmarketingconfederation.org/awards-2026-test/::aioseo_low_aeo_readiness_score</t>
        </is>
      </c>
      <c r="P57" s="6" t="inlineStr">
        <is>
          <t>Weak answer-style structure lowers AI/answer-engine retrieval potential.</t>
        </is>
      </c>
      <c r="Q57">
        <f>IFERROR(HYPERLINK("#Main!A"&amp;MATCH(A57,Main!A:A,0),"Open"),HYPERLINK("#Main!A1","Open"))</f>
        <v/>
      </c>
      <c r="R57">
        <f>IFERROR(HYPERLINK("#Technical!A"&amp;MATCH(A57,Technical!A:A,0),"Open"),HYPERLINK("#Technical!A1","Open"))</f>
        <v/>
      </c>
    </row>
    <row r="58" ht="30" customHeight="1">
      <c r="A58" s="33" t="inlineStr">
        <is>
          <t>https://africanmarketingconfederation.org/awards-2026/</t>
        </is>
      </c>
      <c r="B58" s="24" t="inlineStr">
        <is>
          <t>Content</t>
        </is>
      </c>
      <c r="C58" s="25" t="inlineStr">
        <is>
          <t>Warning</t>
        </is>
      </c>
      <c r="D58" s="24" t="inlineStr">
        <is>
          <t>Low AEO readiness score</t>
        </is>
      </c>
      <c r="E58" s="24" t="n">
        <v>67</v>
      </c>
      <c r="F58" s="24" t="n">
        <v>0</v>
      </c>
      <c r="G58" s="24" t="inlineStr">
        <is>
          <t>&gt;=60</t>
        </is>
      </c>
      <c r="H58" s="24" t="inlineStr">
        <is>
          <t>Add concise answer blocks, question-led subheadings, and clear structured sections.</t>
        </is>
      </c>
      <c r="I58" s="28" t="inlineStr">
        <is>
          <t>AEO</t>
        </is>
      </c>
      <c r="J58" s="24" t="inlineStr">
        <is>
          <t>AEO Readiness Score</t>
        </is>
      </c>
      <c r="K58" s="24" t="inlineStr">
        <is>
          <t>Yes</t>
        </is>
      </c>
      <c r="L58" s="24" t="inlineStr">
        <is>
          <t>Copy Writer</t>
        </is>
      </c>
      <c r="M58" s="25" t="inlineStr">
        <is>
          <t>Open</t>
        </is>
      </c>
      <c r="N58" s="24" t="n">
        <v>4</v>
      </c>
      <c r="O58" s="24" t="inlineStr">
        <is>
          <t>https://africanmarketingconfederation.org/awards-2026/::aioseo_low_aeo_readiness_score</t>
        </is>
      </c>
      <c r="P58" s="24" t="inlineStr">
        <is>
          <t>Weak answer-style structure lowers AI/answer-engine retrieval potential.</t>
        </is>
      </c>
      <c r="Q58">
        <f>IFERROR(HYPERLINK("#Main!A"&amp;MATCH(A58,Main!A:A,0),"Open"),HYPERLINK("#Main!A1","Open"))</f>
        <v/>
      </c>
      <c r="R58">
        <f>IFERROR(HYPERLINK("#Technical!A"&amp;MATCH(A58,Technical!A:A,0),"Open"),HYPERLINK("#Technical!A1","Open"))</f>
        <v/>
      </c>
    </row>
    <row r="59" ht="30" customHeight="1">
      <c r="A59" s="33" t="inlineStr">
        <is>
          <t>https://africanmarketingconfederation.org/certified-professional-marketer-africa/</t>
        </is>
      </c>
      <c r="B59" s="6" t="inlineStr">
        <is>
          <t>Content</t>
        </is>
      </c>
      <c r="C59" s="25" t="inlineStr">
        <is>
          <t>Warning</t>
        </is>
      </c>
      <c r="D59" s="6" t="inlineStr">
        <is>
          <t>Low AEO readiness score</t>
        </is>
      </c>
      <c r="E59" s="6" t="n">
        <v>67</v>
      </c>
      <c r="F59" s="6" t="n">
        <v>0</v>
      </c>
      <c r="G59" s="6" t="inlineStr">
        <is>
          <t>&gt;=60</t>
        </is>
      </c>
      <c r="H59" s="6" t="inlineStr">
        <is>
          <t>Add concise answer blocks, question-led subheadings, and clear structured sections.</t>
        </is>
      </c>
      <c r="I59" s="31" t="inlineStr">
        <is>
          <t>AEO</t>
        </is>
      </c>
      <c r="J59" s="6" t="inlineStr">
        <is>
          <t>AEO Readiness Score</t>
        </is>
      </c>
      <c r="K59" s="6" t="inlineStr">
        <is>
          <t>Yes</t>
        </is>
      </c>
      <c r="L59" s="6" t="inlineStr">
        <is>
          <t>Copy Writer</t>
        </is>
      </c>
      <c r="M59" s="25" t="inlineStr">
        <is>
          <t>Open</t>
        </is>
      </c>
      <c r="N59" s="6" t="n">
        <v>4</v>
      </c>
      <c r="O59" s="6" t="inlineStr">
        <is>
          <t>https://africanmarketingconfederation.org/certified-professional-marketer-africa/::aioseo_low_aeo_readiness_score</t>
        </is>
      </c>
      <c r="P59" s="6" t="inlineStr">
        <is>
          <t>Weak answer-style structure lowers AI/answer-engine retrieval potential.</t>
        </is>
      </c>
      <c r="Q59">
        <f>IFERROR(HYPERLINK("#Main!A"&amp;MATCH(A59,Main!A:A,0),"Open"),HYPERLINK("#Main!A1","Open"))</f>
        <v/>
      </c>
      <c r="R59">
        <f>IFERROR(HYPERLINK("#Technical!A"&amp;MATCH(A59,Technical!A:A,0),"Open"),HYPERLINK("#Technical!A1","Open"))</f>
        <v/>
      </c>
    </row>
    <row r="60" ht="30" customHeight="1">
      <c r="A60" s="33" t="inlineStr">
        <is>
          <t>https://africanmarketingconfederation.org/chartered-marketer-africa-final-submission-fee/</t>
        </is>
      </c>
      <c r="B60" s="24" t="inlineStr">
        <is>
          <t>Content</t>
        </is>
      </c>
      <c r="C60" s="25" t="inlineStr">
        <is>
          <t>Warning</t>
        </is>
      </c>
      <c r="D60" s="24" t="inlineStr">
        <is>
          <t>Low AEO readiness score</t>
        </is>
      </c>
      <c r="E60" s="24" t="n">
        <v>67</v>
      </c>
      <c r="F60" s="24" t="n">
        <v>0</v>
      </c>
      <c r="G60" s="24" t="inlineStr">
        <is>
          <t>&gt;=60</t>
        </is>
      </c>
      <c r="H60" s="24" t="inlineStr">
        <is>
          <t>Add concise answer blocks, question-led subheadings, and clear structured sections.</t>
        </is>
      </c>
      <c r="I60" s="28" t="inlineStr">
        <is>
          <t>AEO</t>
        </is>
      </c>
      <c r="J60" s="24" t="inlineStr">
        <is>
          <t>AEO Readiness Score</t>
        </is>
      </c>
      <c r="K60" s="24" t="inlineStr">
        <is>
          <t>Yes</t>
        </is>
      </c>
      <c r="L60" s="24" t="inlineStr">
        <is>
          <t>Copy Writer</t>
        </is>
      </c>
      <c r="M60" s="25" t="inlineStr">
        <is>
          <t>Open</t>
        </is>
      </c>
      <c r="N60" s="24" t="n">
        <v>4</v>
      </c>
      <c r="O60" s="24" t="inlineStr">
        <is>
          <t>https://africanmarketingconfederation.org/chartered-marketer-africa-final-submission-fee/::aioseo_low_aeo_readiness_score</t>
        </is>
      </c>
      <c r="P60" s="24" t="inlineStr">
        <is>
          <t>Weak answer-style structure lowers AI/answer-engine retrieval potential.</t>
        </is>
      </c>
      <c r="Q60">
        <f>IFERROR(HYPERLINK("#Main!A"&amp;MATCH(A60,Main!A:A,0),"Open"),HYPERLINK("#Main!A1","Open"))</f>
        <v/>
      </c>
      <c r="R60">
        <f>IFERROR(HYPERLINK("#Technical!A"&amp;MATCH(A60,Technical!A:A,0),"Open"),HYPERLINK("#Technical!A1","Open"))</f>
        <v/>
      </c>
    </row>
    <row r="61" ht="30" customHeight="1">
      <c r="A61" s="33" t="inlineStr">
        <is>
          <t>https://africanmarketingconfederation.org/chartered-marketer-africa-programme-fee/</t>
        </is>
      </c>
      <c r="B61" s="6" t="inlineStr">
        <is>
          <t>Content</t>
        </is>
      </c>
      <c r="C61" s="25" t="inlineStr">
        <is>
          <t>Warning</t>
        </is>
      </c>
      <c r="D61" s="6" t="inlineStr">
        <is>
          <t>Low AEO readiness score</t>
        </is>
      </c>
      <c r="E61" s="6" t="n">
        <v>67</v>
      </c>
      <c r="F61" s="6" t="n">
        <v>0</v>
      </c>
      <c r="G61" s="6" t="inlineStr">
        <is>
          <t>&gt;=60</t>
        </is>
      </c>
      <c r="H61" s="6" t="inlineStr">
        <is>
          <t>Add concise answer blocks, question-led subheadings, and clear structured sections.</t>
        </is>
      </c>
      <c r="I61" s="31" t="inlineStr">
        <is>
          <t>AEO</t>
        </is>
      </c>
      <c r="J61" s="6" t="inlineStr">
        <is>
          <t>AEO Readiness Score</t>
        </is>
      </c>
      <c r="K61" s="6" t="inlineStr">
        <is>
          <t>Yes</t>
        </is>
      </c>
      <c r="L61" s="6" t="inlineStr">
        <is>
          <t>Copy Writer</t>
        </is>
      </c>
      <c r="M61" s="25" t="inlineStr">
        <is>
          <t>Open</t>
        </is>
      </c>
      <c r="N61" s="6" t="n">
        <v>4</v>
      </c>
      <c r="O61" s="6" t="inlineStr">
        <is>
          <t>https://africanmarketingconfederation.org/chartered-marketer-africa-programme-fee/::aioseo_low_aeo_readiness_score</t>
        </is>
      </c>
      <c r="P61" s="6" t="inlineStr">
        <is>
          <t>Weak answer-style structure lowers AI/answer-engine retrieval potential.</t>
        </is>
      </c>
      <c r="Q61">
        <f>IFERROR(HYPERLINK("#Main!A"&amp;MATCH(A61,Main!A:A,0),"Open"),HYPERLINK("#Main!A1","Open"))</f>
        <v/>
      </c>
      <c r="R61">
        <f>IFERROR(HYPERLINK("#Technical!A"&amp;MATCH(A61,Technical!A:A,0),"Open"),HYPERLINK("#Technical!A1","Open"))</f>
        <v/>
      </c>
    </row>
    <row r="62" ht="30" customHeight="1">
      <c r="A62" s="33" t="inlineStr">
        <is>
          <t>https://africanmarketingconfederation.org/chartered-marketer-africa-thank-you/</t>
        </is>
      </c>
      <c r="B62" s="24" t="inlineStr">
        <is>
          <t>Content</t>
        </is>
      </c>
      <c r="C62" s="25" t="inlineStr">
        <is>
          <t>Warning</t>
        </is>
      </c>
      <c r="D62" s="24" t="inlineStr">
        <is>
          <t>Low AEO readiness score</t>
        </is>
      </c>
      <c r="E62" s="24" t="n">
        <v>67</v>
      </c>
      <c r="F62" s="24" t="n">
        <v>0</v>
      </c>
      <c r="G62" s="24" t="inlineStr">
        <is>
          <t>&gt;=60</t>
        </is>
      </c>
      <c r="H62" s="24" t="inlineStr">
        <is>
          <t>Add concise answer blocks, question-led subheadings, and clear structured sections.</t>
        </is>
      </c>
      <c r="I62" s="28" t="inlineStr">
        <is>
          <t>AEO</t>
        </is>
      </c>
      <c r="J62" s="24" t="inlineStr">
        <is>
          <t>AEO Readiness Score</t>
        </is>
      </c>
      <c r="K62" s="24" t="inlineStr">
        <is>
          <t>Yes</t>
        </is>
      </c>
      <c r="L62" s="24" t="inlineStr">
        <is>
          <t>Copy Writer</t>
        </is>
      </c>
      <c r="M62" s="25" t="inlineStr">
        <is>
          <t>Open</t>
        </is>
      </c>
      <c r="N62" s="24" t="n">
        <v>4</v>
      </c>
      <c r="O62" s="24" t="inlineStr">
        <is>
          <t>https://africanmarketingconfederation.org/chartered-marketer-africa-thank-you/::aioseo_low_aeo_readiness_score</t>
        </is>
      </c>
      <c r="P62" s="24" t="inlineStr">
        <is>
          <t>Weak answer-style structure lowers AI/answer-engine retrieval potential.</t>
        </is>
      </c>
      <c r="Q62">
        <f>IFERROR(HYPERLINK("#Main!A"&amp;MATCH(A62,Main!A:A,0),"Open"),HYPERLINK("#Main!A1","Open"))</f>
        <v/>
      </c>
      <c r="R62">
        <f>IFERROR(HYPERLINK("#Technical!A"&amp;MATCH(A62,Technical!A:A,0),"Open"),HYPERLINK("#Technical!A1","Open"))</f>
        <v/>
      </c>
    </row>
    <row r="63" ht="30" customHeight="1">
      <c r="A63" s="33" t="inlineStr">
        <is>
          <t>https://africanmarketingconfederation.org/chartered-marketer-africa/</t>
        </is>
      </c>
      <c r="B63" s="6" t="inlineStr">
        <is>
          <t>Content</t>
        </is>
      </c>
      <c r="C63" s="25" t="inlineStr">
        <is>
          <t>Warning</t>
        </is>
      </c>
      <c r="D63" s="6" t="inlineStr">
        <is>
          <t>Low AEO readiness score</t>
        </is>
      </c>
      <c r="E63" s="6" t="n">
        <v>67</v>
      </c>
      <c r="F63" s="6" t="n">
        <v>0</v>
      </c>
      <c r="G63" s="6" t="inlineStr">
        <is>
          <t>&gt;=60</t>
        </is>
      </c>
      <c r="H63" s="6" t="inlineStr">
        <is>
          <t>Add concise answer blocks, question-led subheadings, and clear structured sections.</t>
        </is>
      </c>
      <c r="I63" s="31" t="inlineStr">
        <is>
          <t>AEO</t>
        </is>
      </c>
      <c r="J63" s="6" t="inlineStr">
        <is>
          <t>AEO Readiness Score</t>
        </is>
      </c>
      <c r="K63" s="6" t="inlineStr">
        <is>
          <t>Yes</t>
        </is>
      </c>
      <c r="L63" s="6" t="inlineStr">
        <is>
          <t>Copy Writer</t>
        </is>
      </c>
      <c r="M63" s="25" t="inlineStr">
        <is>
          <t>Open</t>
        </is>
      </c>
      <c r="N63" s="6" t="n">
        <v>4</v>
      </c>
      <c r="O63" s="6" t="inlineStr">
        <is>
          <t>https://africanmarketingconfederation.org/chartered-marketer-africa/::aioseo_low_aeo_readiness_score</t>
        </is>
      </c>
      <c r="P63" s="6" t="inlineStr">
        <is>
          <t>Weak answer-style structure lowers AI/answer-engine retrieval potential.</t>
        </is>
      </c>
      <c r="Q63">
        <f>IFERROR(HYPERLINK("#Main!A"&amp;MATCH(A63,Main!A:A,0),"Open"),HYPERLINK("#Main!A1","Open"))</f>
        <v/>
      </c>
      <c r="R63">
        <f>IFERROR(HYPERLINK("#Technical!A"&amp;MATCH(A63,Technical!A:A,0),"Open"),HYPERLINK("#Technical!A1","Open"))</f>
        <v/>
      </c>
    </row>
    <row r="64" ht="30" customHeight="1">
      <c r="A64" s="33" t="inlineStr">
        <is>
          <t>https://africanmarketingconfederation.org/checkout/</t>
        </is>
      </c>
      <c r="B64" s="24" t="inlineStr">
        <is>
          <t>Content</t>
        </is>
      </c>
      <c r="C64" s="25" t="inlineStr">
        <is>
          <t>Warning</t>
        </is>
      </c>
      <c r="D64" s="24" t="inlineStr">
        <is>
          <t>Low AEO readiness score</t>
        </is>
      </c>
      <c r="E64" s="24" t="n">
        <v>67</v>
      </c>
      <c r="F64" s="24" t="n">
        <v>0</v>
      </c>
      <c r="G64" s="24" t="inlineStr">
        <is>
          <t>&gt;=60</t>
        </is>
      </c>
      <c r="H64" s="24" t="inlineStr">
        <is>
          <t>Add concise answer blocks, question-led subheadings, and clear structured sections.</t>
        </is>
      </c>
      <c r="I64" s="28" t="inlineStr">
        <is>
          <t>AEO</t>
        </is>
      </c>
      <c r="J64" s="24" t="inlineStr">
        <is>
          <t>AEO Readiness Score</t>
        </is>
      </c>
      <c r="K64" s="24" t="inlineStr">
        <is>
          <t>Yes</t>
        </is>
      </c>
      <c r="L64" s="24" t="inlineStr">
        <is>
          <t>Copy Writer</t>
        </is>
      </c>
      <c r="M64" s="25" t="inlineStr">
        <is>
          <t>Open</t>
        </is>
      </c>
      <c r="N64" s="24" t="n">
        <v>4</v>
      </c>
      <c r="O64" s="24" t="inlineStr">
        <is>
          <t>https://africanmarketingconfederation.org/checkout/::aioseo_low_aeo_readiness_score</t>
        </is>
      </c>
      <c r="P64" s="24" t="inlineStr">
        <is>
          <t>Weak answer-style structure lowers AI/answer-engine retrieval potential.</t>
        </is>
      </c>
      <c r="Q64">
        <f>IFERROR(HYPERLINK("#Main!A"&amp;MATCH(A64,Main!A:A,0),"Open"),HYPERLINK("#Main!A1","Open"))</f>
        <v/>
      </c>
      <c r="R64">
        <f>IFERROR(HYPERLINK("#Technical!A"&amp;MATCH(A64,Technical!A:A,0),"Open"),HYPERLINK("#Technical!A1","Open"))</f>
        <v/>
      </c>
    </row>
    <row r="65" ht="30" customHeight="1">
      <c r="A65" s="33" t="inlineStr">
        <is>
          <t>https://africanmarketingconfederation.org/conference-faq-2025/</t>
        </is>
      </c>
      <c r="B65" s="6" t="inlineStr">
        <is>
          <t>Content</t>
        </is>
      </c>
      <c r="C65" s="25" t="inlineStr">
        <is>
          <t>Warning</t>
        </is>
      </c>
      <c r="D65" s="6" t="inlineStr">
        <is>
          <t>Low AEO readiness score</t>
        </is>
      </c>
      <c r="E65" s="6" t="n">
        <v>67</v>
      </c>
      <c r="F65" s="6" t="n">
        <v>0</v>
      </c>
      <c r="G65" s="6" t="inlineStr">
        <is>
          <t>&gt;=60</t>
        </is>
      </c>
      <c r="H65" s="6" t="inlineStr">
        <is>
          <t>Add concise answer blocks, question-led subheadings, and clear structured sections.</t>
        </is>
      </c>
      <c r="I65" s="31" t="inlineStr">
        <is>
          <t>AEO</t>
        </is>
      </c>
      <c r="J65" s="6" t="inlineStr">
        <is>
          <t>AEO Readiness Score</t>
        </is>
      </c>
      <c r="K65" s="6" t="inlineStr">
        <is>
          <t>Yes</t>
        </is>
      </c>
      <c r="L65" s="6" t="inlineStr">
        <is>
          <t>Copy Writer</t>
        </is>
      </c>
      <c r="M65" s="25" t="inlineStr">
        <is>
          <t>Open</t>
        </is>
      </c>
      <c r="N65" s="6" t="n">
        <v>4</v>
      </c>
      <c r="O65" s="6" t="inlineStr">
        <is>
          <t>https://africanmarketingconfederation.org/conference-faq-2025/::aioseo_low_aeo_readiness_score</t>
        </is>
      </c>
      <c r="P65" s="6" t="inlineStr">
        <is>
          <t>Weak answer-style structure lowers AI/answer-engine retrieval potential.</t>
        </is>
      </c>
      <c r="Q65">
        <f>IFERROR(HYPERLINK("#Main!A"&amp;MATCH(A65,Main!A:A,0),"Open"),HYPERLINK("#Main!A1","Open"))</f>
        <v/>
      </c>
      <c r="R65">
        <f>IFERROR(HYPERLINK("#Technical!A"&amp;MATCH(A65,Technical!A:A,0),"Open"),HYPERLINK("#Technical!A1","Open"))</f>
        <v/>
      </c>
    </row>
    <row r="66" ht="30" customHeight="1">
      <c r="A66" s="33" t="inlineStr">
        <is>
          <t>https://africanmarketingconfederation.org/conference-registrations-2024/</t>
        </is>
      </c>
      <c r="B66" s="24" t="inlineStr">
        <is>
          <t>Content</t>
        </is>
      </c>
      <c r="C66" s="25" t="inlineStr">
        <is>
          <t>Warning</t>
        </is>
      </c>
      <c r="D66" s="24" t="inlineStr">
        <is>
          <t>Low AEO readiness score</t>
        </is>
      </c>
      <c r="E66" s="24" t="n">
        <v>67</v>
      </c>
      <c r="F66" s="24" t="n">
        <v>0</v>
      </c>
      <c r="G66" s="24" t="inlineStr">
        <is>
          <t>&gt;=60</t>
        </is>
      </c>
      <c r="H66" s="24" t="inlineStr">
        <is>
          <t>Add concise answer blocks, question-led subheadings, and clear structured sections.</t>
        </is>
      </c>
      <c r="I66" s="28" t="inlineStr">
        <is>
          <t>AEO</t>
        </is>
      </c>
      <c r="J66" s="24" t="inlineStr">
        <is>
          <t>AEO Readiness Score</t>
        </is>
      </c>
      <c r="K66" s="24" t="inlineStr">
        <is>
          <t>Yes</t>
        </is>
      </c>
      <c r="L66" s="24" t="inlineStr">
        <is>
          <t>Copy Writer</t>
        </is>
      </c>
      <c r="M66" s="25" t="inlineStr">
        <is>
          <t>Open</t>
        </is>
      </c>
      <c r="N66" s="24" t="n">
        <v>4</v>
      </c>
      <c r="O66" s="24" t="inlineStr">
        <is>
          <t>https://africanmarketingconfederation.org/conference-registrations-2024/::aioseo_low_aeo_readiness_score</t>
        </is>
      </c>
      <c r="P66" s="24" t="inlineStr">
        <is>
          <t>Weak answer-style structure lowers AI/answer-engine retrieval potential.</t>
        </is>
      </c>
      <c r="Q66">
        <f>IFERROR(HYPERLINK("#Main!A"&amp;MATCH(A66,Main!A:A,0),"Open"),HYPERLINK("#Main!A1","Open"))</f>
        <v/>
      </c>
      <c r="R66">
        <f>IFERROR(HYPERLINK("#Technical!A"&amp;MATCH(A66,Technical!A:A,0),"Open"),HYPERLINK("#Technical!A1","Open"))</f>
        <v/>
      </c>
    </row>
    <row r="67" ht="30" customHeight="1">
      <c r="A67" s="33" t="inlineStr">
        <is>
          <t>https://africanmarketingconfederation.org/contact-us/</t>
        </is>
      </c>
      <c r="B67" s="6" t="inlineStr">
        <is>
          <t>Content</t>
        </is>
      </c>
      <c r="C67" s="25" t="inlineStr">
        <is>
          <t>Warning</t>
        </is>
      </c>
      <c r="D67" s="6" t="inlineStr">
        <is>
          <t>Low AEO readiness score</t>
        </is>
      </c>
      <c r="E67" s="6" t="n">
        <v>67</v>
      </c>
      <c r="F67" s="6" t="n">
        <v>0</v>
      </c>
      <c r="G67" s="6" t="inlineStr">
        <is>
          <t>&gt;=60</t>
        </is>
      </c>
      <c r="H67" s="6" t="inlineStr">
        <is>
          <t>Add concise answer blocks, question-led subheadings, and clear structured sections.</t>
        </is>
      </c>
      <c r="I67" s="31" t="inlineStr">
        <is>
          <t>AEO</t>
        </is>
      </c>
      <c r="J67" s="6" t="inlineStr">
        <is>
          <t>AEO Readiness Score</t>
        </is>
      </c>
      <c r="K67" s="6" t="inlineStr">
        <is>
          <t>Yes</t>
        </is>
      </c>
      <c r="L67" s="6" t="inlineStr">
        <is>
          <t>Copy Writer</t>
        </is>
      </c>
      <c r="M67" s="25" t="inlineStr">
        <is>
          <t>Open</t>
        </is>
      </c>
      <c r="N67" s="6" t="n">
        <v>4</v>
      </c>
      <c r="O67" s="6" t="inlineStr">
        <is>
          <t>https://africanmarketingconfederation.org/contact-us/::aioseo_low_aeo_readiness_score</t>
        </is>
      </c>
      <c r="P67" s="6" t="inlineStr">
        <is>
          <t>Weak answer-style structure lowers AI/answer-engine retrieval potential.</t>
        </is>
      </c>
      <c r="Q67">
        <f>IFERROR(HYPERLINK("#Main!A"&amp;MATCH(A67,Main!A:A,0),"Open"),HYPERLINK("#Main!A1","Open"))</f>
        <v/>
      </c>
      <c r="R67">
        <f>IFERROR(HYPERLINK("#Technical!A"&amp;MATCH(A67,Technical!A:A,0),"Open"),HYPERLINK("#Technical!A1","Open"))</f>
        <v/>
      </c>
    </row>
    <row r="68" ht="30" customHeight="1">
      <c r="A68" s="33" t="inlineStr">
        <is>
          <t>https://africanmarketingconfederation.org/download-brochure/</t>
        </is>
      </c>
      <c r="B68" s="24" t="inlineStr">
        <is>
          <t>Content</t>
        </is>
      </c>
      <c r="C68" s="25" t="inlineStr">
        <is>
          <t>Warning</t>
        </is>
      </c>
      <c r="D68" s="24" t="inlineStr">
        <is>
          <t>Low AEO readiness score</t>
        </is>
      </c>
      <c r="E68" s="24" t="n">
        <v>67</v>
      </c>
      <c r="F68" s="24" t="n">
        <v>0</v>
      </c>
      <c r="G68" s="24" t="inlineStr">
        <is>
          <t>&gt;=60</t>
        </is>
      </c>
      <c r="H68" s="24" t="inlineStr">
        <is>
          <t>Add concise answer blocks, question-led subheadings, and clear structured sections.</t>
        </is>
      </c>
      <c r="I68" s="28" t="inlineStr">
        <is>
          <t>AEO</t>
        </is>
      </c>
      <c r="J68" s="24" t="inlineStr">
        <is>
          <t>AEO Readiness Score</t>
        </is>
      </c>
      <c r="K68" s="24" t="inlineStr">
        <is>
          <t>Yes</t>
        </is>
      </c>
      <c r="L68" s="24" t="inlineStr">
        <is>
          <t>Copy Writer</t>
        </is>
      </c>
      <c r="M68" s="25" t="inlineStr">
        <is>
          <t>Open</t>
        </is>
      </c>
      <c r="N68" s="24" t="n">
        <v>4</v>
      </c>
      <c r="O68" s="24" t="inlineStr">
        <is>
          <t>https://africanmarketingconfederation.org/download-brochure/::aioseo_low_aeo_readiness_score</t>
        </is>
      </c>
      <c r="P68" s="24" t="inlineStr">
        <is>
          <t>Weak answer-style structure lowers AI/answer-engine retrieval potential.</t>
        </is>
      </c>
      <c r="Q68">
        <f>IFERROR(HYPERLINK("#Main!A"&amp;MATCH(A68,Main!A:A,0),"Open"),HYPERLINK("#Main!A1","Open"))</f>
        <v/>
      </c>
      <c r="R68">
        <f>IFERROR(HYPERLINK("#Technical!A"&amp;MATCH(A68,Technical!A:A,0),"Open"),HYPERLINK("#Technical!A1","Open"))</f>
        <v/>
      </c>
    </row>
    <row r="69" ht="30" customHeight="1">
      <c r="A69" s="33" t="inlineStr">
        <is>
          <t>https://africanmarketingconfederation.org/download-prospectus-2024/</t>
        </is>
      </c>
      <c r="B69" s="6" t="inlineStr">
        <is>
          <t>Content</t>
        </is>
      </c>
      <c r="C69" s="25" t="inlineStr">
        <is>
          <t>Warning</t>
        </is>
      </c>
      <c r="D69" s="6" t="inlineStr">
        <is>
          <t>Low AEO readiness score</t>
        </is>
      </c>
      <c r="E69" s="6" t="n">
        <v>67</v>
      </c>
      <c r="F69" s="6" t="n">
        <v>0</v>
      </c>
      <c r="G69" s="6" t="inlineStr">
        <is>
          <t>&gt;=60</t>
        </is>
      </c>
      <c r="H69" s="6" t="inlineStr">
        <is>
          <t>Add concise answer blocks, question-led subheadings, and clear structured sections.</t>
        </is>
      </c>
      <c r="I69" s="31" t="inlineStr">
        <is>
          <t>AEO</t>
        </is>
      </c>
      <c r="J69" s="6" t="inlineStr">
        <is>
          <t>AEO Readiness Score</t>
        </is>
      </c>
      <c r="K69" s="6" t="inlineStr">
        <is>
          <t>Yes</t>
        </is>
      </c>
      <c r="L69" s="6" t="inlineStr">
        <is>
          <t>Copy Writer</t>
        </is>
      </c>
      <c r="M69" s="25" t="inlineStr">
        <is>
          <t>Open</t>
        </is>
      </c>
      <c r="N69" s="6" t="n">
        <v>4</v>
      </c>
      <c r="O69" s="6" t="inlineStr">
        <is>
          <t>https://africanmarketingconfederation.org/download-prospectus-2024/::aioseo_low_aeo_readiness_score</t>
        </is>
      </c>
      <c r="P69" s="6" t="inlineStr">
        <is>
          <t>Weak answer-style structure lowers AI/answer-engine retrieval potential.</t>
        </is>
      </c>
      <c r="Q69">
        <f>IFERROR(HYPERLINK("#Main!A"&amp;MATCH(A69,Main!A:A,0),"Open"),HYPERLINK("#Main!A1","Open"))</f>
        <v/>
      </c>
      <c r="R69">
        <f>IFERROR(HYPERLINK("#Technical!A"&amp;MATCH(A69,Technical!A:A,0),"Open"),HYPERLINK("#Technical!A1","Open"))</f>
        <v/>
      </c>
    </row>
    <row r="70" ht="30" customHeight="1">
      <c r="A70" s="33" t="inlineStr">
        <is>
          <t>https://africanmarketingconfederation.org/education/</t>
        </is>
      </c>
      <c r="B70" s="24" t="inlineStr">
        <is>
          <t>Content</t>
        </is>
      </c>
      <c r="C70" s="25" t="inlineStr">
        <is>
          <t>Warning</t>
        </is>
      </c>
      <c r="D70" s="24" t="inlineStr">
        <is>
          <t>Low AEO readiness score</t>
        </is>
      </c>
      <c r="E70" s="24" t="n">
        <v>67</v>
      </c>
      <c r="F70" s="24" t="n">
        <v>0</v>
      </c>
      <c r="G70" s="24" t="inlineStr">
        <is>
          <t>&gt;=60</t>
        </is>
      </c>
      <c r="H70" s="24" t="inlineStr">
        <is>
          <t>Add concise answer blocks, question-led subheadings, and clear structured sections.</t>
        </is>
      </c>
      <c r="I70" s="28" t="inlineStr">
        <is>
          <t>AEO</t>
        </is>
      </c>
      <c r="J70" s="24" t="inlineStr">
        <is>
          <t>AEO Readiness Score</t>
        </is>
      </c>
      <c r="K70" s="24" t="inlineStr">
        <is>
          <t>Yes</t>
        </is>
      </c>
      <c r="L70" s="24" t="inlineStr">
        <is>
          <t>Copy Writer</t>
        </is>
      </c>
      <c r="M70" s="25" t="inlineStr">
        <is>
          <t>Open</t>
        </is>
      </c>
      <c r="N70" s="24" t="n">
        <v>4</v>
      </c>
      <c r="O70" s="24" t="inlineStr">
        <is>
          <t>https://africanmarketingconfederation.org/education/::aioseo_low_aeo_readiness_score</t>
        </is>
      </c>
      <c r="P70" s="24" t="inlineStr">
        <is>
          <t>Weak answer-style structure lowers AI/answer-engine retrieval potential.</t>
        </is>
      </c>
      <c r="Q70">
        <f>IFERROR(HYPERLINK("#Main!A"&amp;MATCH(A70,Main!A:A,0),"Open"),HYPERLINK("#Main!A1","Open"))</f>
        <v/>
      </c>
      <c r="R70">
        <f>IFERROR(HYPERLINK("#Technical!A"&amp;MATCH(A70,Technical!A:A,0),"Open"),HYPERLINK("#Technical!A1","Open"))</f>
        <v/>
      </c>
    </row>
    <row r="71" ht="30" customHeight="1">
      <c r="A71" s="33" t="inlineStr">
        <is>
          <t>https://africanmarketingconfederation.org/elementor-16548/</t>
        </is>
      </c>
      <c r="B71" s="6" t="inlineStr">
        <is>
          <t>Content</t>
        </is>
      </c>
      <c r="C71" s="25" t="inlineStr">
        <is>
          <t>Warning</t>
        </is>
      </c>
      <c r="D71" s="6" t="inlineStr">
        <is>
          <t>Low AEO readiness score</t>
        </is>
      </c>
      <c r="E71" s="6" t="n">
        <v>67</v>
      </c>
      <c r="F71" s="6" t="n">
        <v>0</v>
      </c>
      <c r="G71" s="6" t="inlineStr">
        <is>
          <t>&gt;=60</t>
        </is>
      </c>
      <c r="H71" s="6" t="inlineStr">
        <is>
          <t>Add concise answer blocks, question-led subheadings, and clear structured sections.</t>
        </is>
      </c>
      <c r="I71" s="31" t="inlineStr">
        <is>
          <t>AEO</t>
        </is>
      </c>
      <c r="J71" s="6" t="inlineStr">
        <is>
          <t>AEO Readiness Score</t>
        </is>
      </c>
      <c r="K71" s="6" t="inlineStr">
        <is>
          <t>Yes</t>
        </is>
      </c>
      <c r="L71" s="6" t="inlineStr">
        <is>
          <t>Copy Writer</t>
        </is>
      </c>
      <c r="M71" s="25" t="inlineStr">
        <is>
          <t>Open</t>
        </is>
      </c>
      <c r="N71" s="6" t="n">
        <v>4</v>
      </c>
      <c r="O71" s="6" t="inlineStr">
        <is>
          <t>https://africanmarketingconfederation.org/elementor-16548/::aioseo_low_aeo_readiness_score</t>
        </is>
      </c>
      <c r="P71" s="6" t="inlineStr">
        <is>
          <t>Weak answer-style structure lowers AI/answer-engine retrieval potential.</t>
        </is>
      </c>
      <c r="Q71">
        <f>IFERROR(HYPERLINK("#Main!A"&amp;MATCH(A71,Main!A:A,0),"Open"),HYPERLINK("#Main!A1","Open"))</f>
        <v/>
      </c>
      <c r="R71">
        <f>IFERROR(HYPERLINK("#Technical!A"&amp;MATCH(A71,Technical!A:A,0),"Open"),HYPERLINK("#Technical!A1","Open"))</f>
        <v/>
      </c>
    </row>
    <row r="72" ht="30" customHeight="1">
      <c r="A72" s="33" t="inlineStr">
        <is>
          <t>https://africanmarketingconfederation.org/elementor-20341/</t>
        </is>
      </c>
      <c r="B72" s="24" t="inlineStr">
        <is>
          <t>Content</t>
        </is>
      </c>
      <c r="C72" s="25" t="inlineStr">
        <is>
          <t>Warning</t>
        </is>
      </c>
      <c r="D72" s="24" t="inlineStr">
        <is>
          <t>Low AEO readiness score</t>
        </is>
      </c>
      <c r="E72" s="24" t="n">
        <v>67</v>
      </c>
      <c r="F72" s="24" t="n">
        <v>0</v>
      </c>
      <c r="G72" s="24" t="inlineStr">
        <is>
          <t>&gt;=60</t>
        </is>
      </c>
      <c r="H72" s="24" t="inlineStr">
        <is>
          <t>Add concise answer blocks, question-led subheadings, and clear structured sections.</t>
        </is>
      </c>
      <c r="I72" s="28" t="inlineStr">
        <is>
          <t>AEO</t>
        </is>
      </c>
      <c r="J72" s="24" t="inlineStr">
        <is>
          <t>AEO Readiness Score</t>
        </is>
      </c>
      <c r="K72" s="24" t="inlineStr">
        <is>
          <t>Yes</t>
        </is>
      </c>
      <c r="L72" s="24" t="inlineStr">
        <is>
          <t>Copy Writer</t>
        </is>
      </c>
      <c r="M72" s="25" t="inlineStr">
        <is>
          <t>Open</t>
        </is>
      </c>
      <c r="N72" s="24" t="n">
        <v>4</v>
      </c>
      <c r="O72" s="24" t="inlineStr">
        <is>
          <t>https://africanmarketingconfederation.org/elementor-20341/::aioseo_low_aeo_readiness_score</t>
        </is>
      </c>
      <c r="P72" s="24" t="inlineStr">
        <is>
          <t>Weak answer-style structure lowers AI/answer-engine retrieval potential.</t>
        </is>
      </c>
      <c r="Q72">
        <f>IFERROR(HYPERLINK("#Main!A"&amp;MATCH(A72,Main!A:A,0),"Open"),HYPERLINK("#Main!A1","Open"))</f>
        <v/>
      </c>
      <c r="R72">
        <f>IFERROR(HYPERLINK("#Technical!A"&amp;MATCH(A72,Technical!A:A,0),"Open"),HYPERLINK("#Technical!A1","Open"))</f>
        <v/>
      </c>
    </row>
    <row r="73" ht="30" customHeight="1">
      <c r="A73" s="33" t="inlineStr">
        <is>
          <t>https://africanmarketingconfederation.org/elementor-31820/</t>
        </is>
      </c>
      <c r="B73" s="6" t="inlineStr">
        <is>
          <t>Content</t>
        </is>
      </c>
      <c r="C73" s="25" t="inlineStr">
        <is>
          <t>Warning</t>
        </is>
      </c>
      <c r="D73" s="6" t="inlineStr">
        <is>
          <t>Low AEO readiness score</t>
        </is>
      </c>
      <c r="E73" s="6" t="n">
        <v>67</v>
      </c>
      <c r="F73" s="6" t="n">
        <v>0</v>
      </c>
      <c r="G73" s="6" t="inlineStr">
        <is>
          <t>&gt;=60</t>
        </is>
      </c>
      <c r="H73" s="6" t="inlineStr">
        <is>
          <t>Add concise answer blocks, question-led subheadings, and clear structured sections.</t>
        </is>
      </c>
      <c r="I73" s="31" t="inlineStr">
        <is>
          <t>AEO</t>
        </is>
      </c>
      <c r="J73" s="6" t="inlineStr">
        <is>
          <t>AEO Readiness Score</t>
        </is>
      </c>
      <c r="K73" s="6" t="inlineStr">
        <is>
          <t>Yes</t>
        </is>
      </c>
      <c r="L73" s="6" t="inlineStr">
        <is>
          <t>Copy Writer</t>
        </is>
      </c>
      <c r="M73" s="25" t="inlineStr">
        <is>
          <t>Open</t>
        </is>
      </c>
      <c r="N73" s="6" t="n">
        <v>4</v>
      </c>
      <c r="O73" s="6" t="inlineStr">
        <is>
          <t>https://africanmarketingconfederation.org/elementor-31820/::aioseo_low_aeo_readiness_score</t>
        </is>
      </c>
      <c r="P73" s="6" t="inlineStr">
        <is>
          <t>Weak answer-style structure lowers AI/answer-engine retrieval potential.</t>
        </is>
      </c>
      <c r="Q73">
        <f>IFERROR(HYPERLINK("#Main!A"&amp;MATCH(A73,Main!A:A,0),"Open"),HYPERLINK("#Main!A1","Open"))</f>
        <v/>
      </c>
      <c r="R73">
        <f>IFERROR(HYPERLINK("#Technical!A"&amp;MATCH(A73,Technical!A:A,0),"Open"),HYPERLINK("#Technical!A1","Open"))</f>
        <v/>
      </c>
    </row>
    <row r="74" ht="30" customHeight="1">
      <c r="A74" s="33" t="inlineStr">
        <is>
          <t>https://africanmarketingconfederation.org/general-enquiry-form-thank-you/</t>
        </is>
      </c>
      <c r="B74" s="24" t="inlineStr">
        <is>
          <t>Content</t>
        </is>
      </c>
      <c r="C74" s="25" t="inlineStr">
        <is>
          <t>Warning</t>
        </is>
      </c>
      <c r="D74" s="24" t="inlineStr">
        <is>
          <t>Low AEO readiness score</t>
        </is>
      </c>
      <c r="E74" s="24" t="n">
        <v>67</v>
      </c>
      <c r="F74" s="24" t="n">
        <v>0</v>
      </c>
      <c r="G74" s="24" t="inlineStr">
        <is>
          <t>&gt;=60</t>
        </is>
      </c>
      <c r="H74" s="24" t="inlineStr">
        <is>
          <t>Add concise answer blocks, question-led subheadings, and clear structured sections.</t>
        </is>
      </c>
      <c r="I74" s="28" t="inlineStr">
        <is>
          <t>AEO</t>
        </is>
      </c>
      <c r="J74" s="24" t="inlineStr">
        <is>
          <t>AEO Readiness Score</t>
        </is>
      </c>
      <c r="K74" s="24" t="inlineStr">
        <is>
          <t>Yes</t>
        </is>
      </c>
      <c r="L74" s="24" t="inlineStr">
        <is>
          <t>Copy Writer</t>
        </is>
      </c>
      <c r="M74" s="25" t="inlineStr">
        <is>
          <t>Open</t>
        </is>
      </c>
      <c r="N74" s="24" t="n">
        <v>4</v>
      </c>
      <c r="O74" s="24" t="inlineStr">
        <is>
          <t>https://africanmarketingconfederation.org/general-enquiry-form-thank-you/::aioseo_low_aeo_readiness_score</t>
        </is>
      </c>
      <c r="P74" s="24" t="inlineStr">
        <is>
          <t>Weak answer-style structure lowers AI/answer-engine retrieval potential.</t>
        </is>
      </c>
      <c r="Q74">
        <f>IFERROR(HYPERLINK("#Main!A"&amp;MATCH(A74,Main!A:A,0),"Open"),HYPERLINK("#Main!A1","Open"))</f>
        <v/>
      </c>
      <c r="R74">
        <f>IFERROR(HYPERLINK("#Technical!A"&amp;MATCH(A74,Technical!A:A,0),"Open"),HYPERLINK("#Technical!A1","Open"))</f>
        <v/>
      </c>
    </row>
    <row r="75" ht="30" customHeight="1">
      <c r="A75" s="33" t="inlineStr">
        <is>
          <t>https://africanmarketingconfederation.org/launch-event-2026-amc-conference/</t>
        </is>
      </c>
      <c r="B75" s="6" t="inlineStr">
        <is>
          <t>Content</t>
        </is>
      </c>
      <c r="C75" s="25" t="inlineStr">
        <is>
          <t>Warning</t>
        </is>
      </c>
      <c r="D75" s="6" t="inlineStr">
        <is>
          <t>Low AEO readiness score</t>
        </is>
      </c>
      <c r="E75" s="6" t="n">
        <v>67</v>
      </c>
      <c r="F75" s="6" t="n">
        <v>0</v>
      </c>
      <c r="G75" s="6" t="inlineStr">
        <is>
          <t>&gt;=60</t>
        </is>
      </c>
      <c r="H75" s="6" t="inlineStr">
        <is>
          <t>Add concise answer blocks, question-led subheadings, and clear structured sections.</t>
        </is>
      </c>
      <c r="I75" s="31" t="inlineStr">
        <is>
          <t>AEO</t>
        </is>
      </c>
      <c r="J75" s="6" t="inlineStr">
        <is>
          <t>AEO Readiness Score</t>
        </is>
      </c>
      <c r="K75" s="6" t="inlineStr">
        <is>
          <t>Yes</t>
        </is>
      </c>
      <c r="L75" s="6" t="inlineStr">
        <is>
          <t>Copy Writer</t>
        </is>
      </c>
      <c r="M75" s="25" t="inlineStr">
        <is>
          <t>Open</t>
        </is>
      </c>
      <c r="N75" s="6" t="n">
        <v>4</v>
      </c>
      <c r="O75" s="6" t="inlineStr">
        <is>
          <t>https://africanmarketingconfederation.org/launch-event-2026-amc-conference/::aioseo_low_aeo_readiness_score</t>
        </is>
      </c>
      <c r="P75" s="6" t="inlineStr">
        <is>
          <t>Weak answer-style structure lowers AI/answer-engine retrieval potential.</t>
        </is>
      </c>
      <c r="Q75">
        <f>IFERROR(HYPERLINK("#Main!A"&amp;MATCH(A75,Main!A:A,0),"Open"),HYPERLINK("#Main!A1","Open"))</f>
        <v/>
      </c>
      <c r="R75">
        <f>IFERROR(HYPERLINK("#Technical!A"&amp;MATCH(A75,Technical!A:A,0),"Open"),HYPERLINK("#Technical!A1","Open"))</f>
        <v/>
      </c>
    </row>
    <row r="76" ht="30" customHeight="1">
      <c r="A76" s="33" t="inlineStr">
        <is>
          <t>https://africanmarketingconfederation.org/members/</t>
        </is>
      </c>
      <c r="B76" s="24" t="inlineStr">
        <is>
          <t>Content</t>
        </is>
      </c>
      <c r="C76" s="25" t="inlineStr">
        <is>
          <t>Warning</t>
        </is>
      </c>
      <c r="D76" s="24" t="inlineStr">
        <is>
          <t>Low AEO readiness score</t>
        </is>
      </c>
      <c r="E76" s="24" t="n">
        <v>67</v>
      </c>
      <c r="F76" s="24" t="n">
        <v>0</v>
      </c>
      <c r="G76" s="24" t="inlineStr">
        <is>
          <t>&gt;=60</t>
        </is>
      </c>
      <c r="H76" s="24" t="inlineStr">
        <is>
          <t>Add concise answer blocks, question-led subheadings, and clear structured sections.</t>
        </is>
      </c>
      <c r="I76" s="28" t="inlineStr">
        <is>
          <t>AEO</t>
        </is>
      </c>
      <c r="J76" s="24" t="inlineStr">
        <is>
          <t>AEO Readiness Score</t>
        </is>
      </c>
      <c r="K76" s="24" t="inlineStr">
        <is>
          <t>Yes</t>
        </is>
      </c>
      <c r="L76" s="24" t="inlineStr">
        <is>
          <t>Copy Writer</t>
        </is>
      </c>
      <c r="M76" s="25" t="inlineStr">
        <is>
          <t>Open</t>
        </is>
      </c>
      <c r="N76" s="24" t="n">
        <v>4</v>
      </c>
      <c r="O76" s="24" t="inlineStr">
        <is>
          <t>https://africanmarketingconfederation.org/members/::aioseo_low_aeo_readiness_score</t>
        </is>
      </c>
      <c r="P76" s="24" t="inlineStr">
        <is>
          <t>Weak answer-style structure lowers AI/answer-engine retrieval potential.</t>
        </is>
      </c>
      <c r="Q76">
        <f>IFERROR(HYPERLINK("#Main!A"&amp;MATCH(A76,Main!A:A,0),"Open"),HYPERLINK("#Main!A1","Open"))</f>
        <v/>
      </c>
      <c r="R76">
        <f>IFERROR(HYPERLINK("#Technical!A"&amp;MATCH(A76,Technical!A:A,0),"Open"),HYPERLINK("#Technical!A1","Open"))</f>
        <v/>
      </c>
    </row>
    <row r="77" ht="30" customHeight="1">
      <c r="A77" s="33" t="inlineStr">
        <is>
          <t>https://africanmarketingconfederation.org/news-articles/</t>
        </is>
      </c>
      <c r="B77" s="6" t="inlineStr">
        <is>
          <t>Content</t>
        </is>
      </c>
      <c r="C77" s="25" t="inlineStr">
        <is>
          <t>Warning</t>
        </is>
      </c>
      <c r="D77" s="6" t="inlineStr">
        <is>
          <t>Low AEO readiness score</t>
        </is>
      </c>
      <c r="E77" s="6" t="n">
        <v>67</v>
      </c>
      <c r="F77" s="6" t="n">
        <v>0</v>
      </c>
      <c r="G77" s="6" t="inlineStr">
        <is>
          <t>&gt;=60</t>
        </is>
      </c>
      <c r="H77" s="6" t="inlineStr">
        <is>
          <t>Add concise answer blocks, question-led subheadings, and clear structured sections.</t>
        </is>
      </c>
      <c r="I77" s="31" t="inlineStr">
        <is>
          <t>AEO</t>
        </is>
      </c>
      <c r="J77" s="6" t="inlineStr">
        <is>
          <t>AEO Readiness Score</t>
        </is>
      </c>
      <c r="K77" s="6" t="inlineStr">
        <is>
          <t>Yes</t>
        </is>
      </c>
      <c r="L77" s="6" t="inlineStr">
        <is>
          <t>Copy Writer</t>
        </is>
      </c>
      <c r="M77" s="25" t="inlineStr">
        <is>
          <t>Open</t>
        </is>
      </c>
      <c r="N77" s="6" t="n">
        <v>4</v>
      </c>
      <c r="O77" s="6" t="inlineStr">
        <is>
          <t>https://africanmarketingconfederation.org/news-articles/::aioseo_low_aeo_readiness_score</t>
        </is>
      </c>
      <c r="P77" s="6" t="inlineStr">
        <is>
          <t>Weak answer-style structure lowers AI/answer-engine retrieval potential.</t>
        </is>
      </c>
      <c r="Q77">
        <f>IFERROR(HYPERLINK("#Main!A"&amp;MATCH(A77,Main!A:A,0),"Open"),HYPERLINK("#Main!A1","Open"))</f>
        <v/>
      </c>
      <c r="R77">
        <f>IFERROR(HYPERLINK("#Technical!A"&amp;MATCH(A77,Technical!A:A,0),"Open"),HYPERLINK("#Technical!A1","Open"))</f>
        <v/>
      </c>
    </row>
    <row r="78" ht="30" customHeight="1">
      <c r="A78" s="33" t="inlineStr">
        <is>
          <t>https://africanmarketingconfederation.org/privacy-policy/</t>
        </is>
      </c>
      <c r="B78" s="24" t="inlineStr">
        <is>
          <t>Content</t>
        </is>
      </c>
      <c r="C78" s="25" t="inlineStr">
        <is>
          <t>Warning</t>
        </is>
      </c>
      <c r="D78" s="24" t="inlineStr">
        <is>
          <t>Low AEO readiness score</t>
        </is>
      </c>
      <c r="E78" s="24" t="n">
        <v>67</v>
      </c>
      <c r="F78" s="24" t="n">
        <v>0</v>
      </c>
      <c r="G78" s="24" t="inlineStr">
        <is>
          <t>&gt;=60</t>
        </is>
      </c>
      <c r="H78" s="24" t="inlineStr">
        <is>
          <t>Add concise answer blocks, question-led subheadings, and clear structured sections.</t>
        </is>
      </c>
      <c r="I78" s="28" t="inlineStr">
        <is>
          <t>AEO</t>
        </is>
      </c>
      <c r="J78" s="24" t="inlineStr">
        <is>
          <t>AEO Readiness Score</t>
        </is>
      </c>
      <c r="K78" s="24" t="inlineStr">
        <is>
          <t>Yes</t>
        </is>
      </c>
      <c r="L78" s="24" t="inlineStr">
        <is>
          <t>Copy Writer</t>
        </is>
      </c>
      <c r="M78" s="25" t="inlineStr">
        <is>
          <t>Open</t>
        </is>
      </c>
      <c r="N78" s="24" t="n">
        <v>4</v>
      </c>
      <c r="O78" s="24" t="inlineStr">
        <is>
          <t>https://africanmarketingconfederation.org/privacy-policy/::aioseo_low_aeo_readiness_score</t>
        </is>
      </c>
      <c r="P78" s="24" t="inlineStr">
        <is>
          <t>Weak answer-style structure lowers AI/answer-engine retrieval potential.</t>
        </is>
      </c>
      <c r="Q78">
        <f>IFERROR(HYPERLINK("#Main!A"&amp;MATCH(A78,Main!A:A,0),"Open"),HYPERLINK("#Main!A1","Open"))</f>
        <v/>
      </c>
      <c r="R78">
        <f>IFERROR(HYPERLINK("#Technical!A"&amp;MATCH(A78,Technical!A:A,0),"Open"),HYPERLINK("#Technical!A1","Open"))</f>
        <v/>
      </c>
    </row>
    <row r="79" ht="30" customHeight="1">
      <c r="A79" s="33" t="inlineStr">
        <is>
          <t>https://africanmarketingconfederation.org/publication-download-list/</t>
        </is>
      </c>
      <c r="B79" s="6" t="inlineStr">
        <is>
          <t>Content</t>
        </is>
      </c>
      <c r="C79" s="25" t="inlineStr">
        <is>
          <t>Warning</t>
        </is>
      </c>
      <c r="D79" s="6" t="inlineStr">
        <is>
          <t>Low AEO readiness score</t>
        </is>
      </c>
      <c r="E79" s="6" t="n">
        <v>67</v>
      </c>
      <c r="F79" s="6" t="n">
        <v>0</v>
      </c>
      <c r="G79" s="6" t="inlineStr">
        <is>
          <t>&gt;=60</t>
        </is>
      </c>
      <c r="H79" s="6" t="inlineStr">
        <is>
          <t>Add concise answer blocks, question-led subheadings, and clear structured sections.</t>
        </is>
      </c>
      <c r="I79" s="31" t="inlineStr">
        <is>
          <t>AEO</t>
        </is>
      </c>
      <c r="J79" s="6" t="inlineStr">
        <is>
          <t>AEO Readiness Score</t>
        </is>
      </c>
      <c r="K79" s="6" t="inlineStr">
        <is>
          <t>Yes</t>
        </is>
      </c>
      <c r="L79" s="6" t="inlineStr">
        <is>
          <t>Copy Writer</t>
        </is>
      </c>
      <c r="M79" s="25" t="inlineStr">
        <is>
          <t>Open</t>
        </is>
      </c>
      <c r="N79" s="6" t="n">
        <v>4</v>
      </c>
      <c r="O79" s="6" t="inlineStr">
        <is>
          <t>https://africanmarketingconfederation.org/publication-download-list/::aioseo_low_aeo_readiness_score</t>
        </is>
      </c>
      <c r="P79" s="6" t="inlineStr">
        <is>
          <t>Weak answer-style structure lowers AI/answer-engine retrieval potential.</t>
        </is>
      </c>
      <c r="Q79">
        <f>IFERROR(HYPERLINK("#Main!A"&amp;MATCH(A79,Main!A:A,0),"Open"),HYPERLINK("#Main!A1","Open"))</f>
        <v/>
      </c>
      <c r="R79">
        <f>IFERROR(HYPERLINK("#Technical!A"&amp;MATCH(A79,Technical!A:A,0),"Open"),HYPERLINK("#Technical!A1","Open"))</f>
        <v/>
      </c>
    </row>
    <row r="80" ht="30" customHeight="1">
      <c r="A80" s="33" t="inlineStr">
        <is>
          <t>https://africanmarketingconfederation.org/publications-2/</t>
        </is>
      </c>
      <c r="B80" s="24" t="inlineStr">
        <is>
          <t>Content</t>
        </is>
      </c>
      <c r="C80" s="25" t="inlineStr">
        <is>
          <t>Warning</t>
        </is>
      </c>
      <c r="D80" s="24" t="inlineStr">
        <is>
          <t>Low AEO readiness score</t>
        </is>
      </c>
      <c r="E80" s="24" t="n">
        <v>67</v>
      </c>
      <c r="F80" s="24" t="n">
        <v>0</v>
      </c>
      <c r="G80" s="24" t="inlineStr">
        <is>
          <t>&gt;=60</t>
        </is>
      </c>
      <c r="H80" s="24" t="inlineStr">
        <is>
          <t>Add concise answer blocks, question-led subheadings, and clear structured sections.</t>
        </is>
      </c>
      <c r="I80" s="28" t="inlineStr">
        <is>
          <t>AEO</t>
        </is>
      </c>
      <c r="J80" s="24" t="inlineStr">
        <is>
          <t>AEO Readiness Score</t>
        </is>
      </c>
      <c r="K80" s="24" t="inlineStr">
        <is>
          <t>Yes</t>
        </is>
      </c>
      <c r="L80" s="24" t="inlineStr">
        <is>
          <t>Copy Writer</t>
        </is>
      </c>
      <c r="M80" s="25" t="inlineStr">
        <is>
          <t>Open</t>
        </is>
      </c>
      <c r="N80" s="24" t="n">
        <v>4</v>
      </c>
      <c r="O80" s="24" t="inlineStr">
        <is>
          <t>https://africanmarketingconfederation.org/publications-2/::aioseo_low_aeo_readiness_score</t>
        </is>
      </c>
      <c r="P80" s="24" t="inlineStr">
        <is>
          <t>Weak answer-style structure lowers AI/answer-engine retrieval potential.</t>
        </is>
      </c>
      <c r="Q80">
        <f>IFERROR(HYPERLINK("#Main!A"&amp;MATCH(A80,Main!A:A,0),"Open"),HYPERLINK("#Main!A1","Open"))</f>
        <v/>
      </c>
      <c r="R80">
        <f>IFERROR(HYPERLINK("#Technical!A"&amp;MATCH(A80,Technical!A:A,0),"Open"),HYPERLINK("#Technical!A1","Open"))</f>
        <v/>
      </c>
    </row>
    <row r="81" ht="30" customHeight="1">
      <c r="A81" s="33" t="inlineStr">
        <is>
          <t>https://africanmarketingconfederation.org/speakers-2025/</t>
        </is>
      </c>
      <c r="B81" s="6" t="inlineStr">
        <is>
          <t>Content</t>
        </is>
      </c>
      <c r="C81" s="25" t="inlineStr">
        <is>
          <t>Warning</t>
        </is>
      </c>
      <c r="D81" s="6" t="inlineStr">
        <is>
          <t>Low AEO readiness score</t>
        </is>
      </c>
      <c r="E81" s="6" t="n">
        <v>67</v>
      </c>
      <c r="F81" s="6" t="n">
        <v>0</v>
      </c>
      <c r="G81" s="6" t="inlineStr">
        <is>
          <t>&gt;=60</t>
        </is>
      </c>
      <c r="H81" s="6" t="inlineStr">
        <is>
          <t>Add concise answer blocks, question-led subheadings, and clear structured sections.</t>
        </is>
      </c>
      <c r="I81" s="31" t="inlineStr">
        <is>
          <t>AEO</t>
        </is>
      </c>
      <c r="J81" s="6" t="inlineStr">
        <is>
          <t>AEO Readiness Score</t>
        </is>
      </c>
      <c r="K81" s="6" t="inlineStr">
        <is>
          <t>Yes</t>
        </is>
      </c>
      <c r="L81" s="6" t="inlineStr">
        <is>
          <t>Copy Writer</t>
        </is>
      </c>
      <c r="M81" s="25" t="inlineStr">
        <is>
          <t>Open</t>
        </is>
      </c>
      <c r="N81" s="6" t="n">
        <v>4</v>
      </c>
      <c r="O81" s="6" t="inlineStr">
        <is>
          <t>https://africanmarketingconfederation.org/speakers-2025/::aioseo_low_aeo_readiness_score</t>
        </is>
      </c>
      <c r="P81" s="6" t="inlineStr">
        <is>
          <t>Weak answer-style structure lowers AI/answer-engine retrieval potential.</t>
        </is>
      </c>
      <c r="Q81">
        <f>IFERROR(HYPERLINK("#Main!A"&amp;MATCH(A81,Main!A:A,0),"Open"),HYPERLINK("#Main!A1","Open"))</f>
        <v/>
      </c>
      <c r="R81">
        <f>IFERROR(HYPERLINK("#Technical!A"&amp;MATCH(A81,Technical!A:A,0),"Open"),HYPERLINK("#Technical!A1","Open"))</f>
        <v/>
      </c>
    </row>
    <row r="82" ht="30" customHeight="1">
      <c r="A82" s="33" t="inlineStr">
        <is>
          <t>https://africanmarketingconfederation.org/speakers/</t>
        </is>
      </c>
      <c r="B82" s="24" t="inlineStr">
        <is>
          <t>Content</t>
        </is>
      </c>
      <c r="C82" s="25" t="inlineStr">
        <is>
          <t>Warning</t>
        </is>
      </c>
      <c r="D82" s="24" t="inlineStr">
        <is>
          <t>Low AEO readiness score</t>
        </is>
      </c>
      <c r="E82" s="24" t="n">
        <v>67</v>
      </c>
      <c r="F82" s="24" t="n">
        <v>0</v>
      </c>
      <c r="G82" s="24" t="inlineStr">
        <is>
          <t>&gt;=60</t>
        </is>
      </c>
      <c r="H82" s="24" t="inlineStr">
        <is>
          <t>Add concise answer blocks, question-led subheadings, and clear structured sections.</t>
        </is>
      </c>
      <c r="I82" s="28" t="inlineStr">
        <is>
          <t>AEO</t>
        </is>
      </c>
      <c r="J82" s="24" t="inlineStr">
        <is>
          <t>AEO Readiness Score</t>
        </is>
      </c>
      <c r="K82" s="24" t="inlineStr">
        <is>
          <t>Yes</t>
        </is>
      </c>
      <c r="L82" s="24" t="inlineStr">
        <is>
          <t>Copy Writer</t>
        </is>
      </c>
      <c r="M82" s="25" t="inlineStr">
        <is>
          <t>Open</t>
        </is>
      </c>
      <c r="N82" s="24" t="n">
        <v>4</v>
      </c>
      <c r="O82" s="24" t="inlineStr">
        <is>
          <t>https://africanmarketingconfederation.org/speakers/::aioseo_low_aeo_readiness_score</t>
        </is>
      </c>
      <c r="P82" s="24" t="inlineStr">
        <is>
          <t>Weak answer-style structure lowers AI/answer-engine retrieval potential.</t>
        </is>
      </c>
      <c r="Q82">
        <f>IFERROR(HYPERLINK("#Main!A"&amp;MATCH(A82,Main!A:A,0),"Open"),HYPERLINK("#Main!A1","Open"))</f>
        <v/>
      </c>
      <c r="R82">
        <f>IFERROR(HYPERLINK("#Technical!A"&amp;MATCH(A82,Technical!A:A,0),"Open"),HYPERLINK("#Technical!A1","Open"))</f>
        <v/>
      </c>
    </row>
    <row r="83" ht="30" customHeight="1">
      <c r="A83" s="33" t="inlineStr">
        <is>
          <t>https://africanmarketingconfederation.org/sub-committees/</t>
        </is>
      </c>
      <c r="B83" s="6" t="inlineStr">
        <is>
          <t>Content</t>
        </is>
      </c>
      <c r="C83" s="25" t="inlineStr">
        <is>
          <t>Warning</t>
        </is>
      </c>
      <c r="D83" s="6" t="inlineStr">
        <is>
          <t>Low AEO readiness score</t>
        </is>
      </c>
      <c r="E83" s="6" t="n">
        <v>67</v>
      </c>
      <c r="F83" s="6" t="n">
        <v>0</v>
      </c>
      <c r="G83" s="6" t="inlineStr">
        <is>
          <t>&gt;=60</t>
        </is>
      </c>
      <c r="H83" s="6" t="inlineStr">
        <is>
          <t>Add concise answer blocks, question-led subheadings, and clear structured sections.</t>
        </is>
      </c>
      <c r="I83" s="31" t="inlineStr">
        <is>
          <t>AEO</t>
        </is>
      </c>
      <c r="J83" s="6" t="inlineStr">
        <is>
          <t>AEO Readiness Score</t>
        </is>
      </c>
      <c r="K83" s="6" t="inlineStr">
        <is>
          <t>Yes</t>
        </is>
      </c>
      <c r="L83" s="6" t="inlineStr">
        <is>
          <t>Copy Writer</t>
        </is>
      </c>
      <c r="M83" s="25" t="inlineStr">
        <is>
          <t>Open</t>
        </is>
      </c>
      <c r="N83" s="6" t="n">
        <v>4</v>
      </c>
      <c r="O83" s="6" t="inlineStr">
        <is>
          <t>https://africanmarketingconfederation.org/sub-committees/::aioseo_low_aeo_readiness_score</t>
        </is>
      </c>
      <c r="P83" s="6" t="inlineStr">
        <is>
          <t>Weak answer-style structure lowers AI/answer-engine retrieval potential.</t>
        </is>
      </c>
      <c r="Q83">
        <f>IFERROR(HYPERLINK("#Main!A"&amp;MATCH(A83,Main!A:A,0),"Open"),HYPERLINK("#Main!A1","Open"))</f>
        <v/>
      </c>
      <c r="R83">
        <f>IFERROR(HYPERLINK("#Technical!A"&amp;MATCH(A83,Technical!A:A,0),"Open"),HYPERLINK("#Technical!A1","Open"))</f>
        <v/>
      </c>
    </row>
    <row r="84" ht="30" customHeight="1">
      <c r="A84" s="33" t="inlineStr">
        <is>
          <t>https://africanmarketingconfederation.org/subscribe/</t>
        </is>
      </c>
      <c r="B84" s="24" t="inlineStr">
        <is>
          <t>Content</t>
        </is>
      </c>
      <c r="C84" s="25" t="inlineStr">
        <is>
          <t>Warning</t>
        </is>
      </c>
      <c r="D84" s="24" t="inlineStr">
        <is>
          <t>Low AEO readiness score</t>
        </is>
      </c>
      <c r="E84" s="24" t="n">
        <v>67</v>
      </c>
      <c r="F84" s="24" t="n">
        <v>0</v>
      </c>
      <c r="G84" s="24" t="inlineStr">
        <is>
          <t>&gt;=60</t>
        </is>
      </c>
      <c r="H84" s="24" t="inlineStr">
        <is>
          <t>Add concise answer blocks, question-led subheadings, and clear structured sections.</t>
        </is>
      </c>
      <c r="I84" s="28" t="inlineStr">
        <is>
          <t>AEO</t>
        </is>
      </c>
      <c r="J84" s="24" t="inlineStr">
        <is>
          <t>AEO Readiness Score</t>
        </is>
      </c>
      <c r="K84" s="24" t="inlineStr">
        <is>
          <t>Yes</t>
        </is>
      </c>
      <c r="L84" s="24" t="inlineStr">
        <is>
          <t>Copy Writer</t>
        </is>
      </c>
      <c r="M84" s="25" t="inlineStr">
        <is>
          <t>Open</t>
        </is>
      </c>
      <c r="N84" s="24" t="n">
        <v>4</v>
      </c>
      <c r="O84" s="24" t="inlineStr">
        <is>
          <t>https://africanmarketingconfederation.org/subscribe/::aioseo_low_aeo_readiness_score</t>
        </is>
      </c>
      <c r="P84" s="24" t="inlineStr">
        <is>
          <t>Weak answer-style structure lowers AI/answer-engine retrieval potential.</t>
        </is>
      </c>
      <c r="Q84">
        <f>IFERROR(HYPERLINK("#Main!A"&amp;MATCH(A84,Main!A:A,0),"Open"),HYPERLINK("#Main!A1","Open"))</f>
        <v/>
      </c>
      <c r="R84">
        <f>IFERROR(HYPERLINK("#Technical!A"&amp;MATCH(A84,Technical!A:A,0),"Open"),HYPERLINK("#Technical!A1","Open"))</f>
        <v/>
      </c>
    </row>
    <row r="85" ht="30" customHeight="1">
      <c r="A85" s="33" t="inlineStr">
        <is>
          <t>https://africanmarketingconfederation.org/test-homeslider/</t>
        </is>
      </c>
      <c r="B85" s="6" t="inlineStr">
        <is>
          <t>Content</t>
        </is>
      </c>
      <c r="C85" s="25" t="inlineStr">
        <is>
          <t>Warning</t>
        </is>
      </c>
      <c r="D85" s="6" t="inlineStr">
        <is>
          <t>Low AEO readiness score</t>
        </is>
      </c>
      <c r="E85" s="6" t="n">
        <v>67</v>
      </c>
      <c r="F85" s="6" t="n">
        <v>0</v>
      </c>
      <c r="G85" s="6" t="inlineStr">
        <is>
          <t>&gt;=60</t>
        </is>
      </c>
      <c r="H85" s="6" t="inlineStr">
        <is>
          <t>Add concise answer blocks, question-led subheadings, and clear structured sections.</t>
        </is>
      </c>
      <c r="I85" s="31" t="inlineStr">
        <is>
          <t>AEO</t>
        </is>
      </c>
      <c r="J85" s="6" t="inlineStr">
        <is>
          <t>AEO Readiness Score</t>
        </is>
      </c>
      <c r="K85" s="6" t="inlineStr">
        <is>
          <t>Yes</t>
        </is>
      </c>
      <c r="L85" s="6" t="inlineStr">
        <is>
          <t>Copy Writer</t>
        </is>
      </c>
      <c r="M85" s="25" t="inlineStr">
        <is>
          <t>Open</t>
        </is>
      </c>
      <c r="N85" s="6" t="n">
        <v>4</v>
      </c>
      <c r="O85" s="6" t="inlineStr">
        <is>
          <t>https://africanmarketingconfederation.org/test-homeslider/::aioseo_low_aeo_readiness_score</t>
        </is>
      </c>
      <c r="P85" s="6" t="inlineStr">
        <is>
          <t>Weak answer-style structure lowers AI/answer-engine retrieval potential.</t>
        </is>
      </c>
      <c r="Q85">
        <f>IFERROR(HYPERLINK("#Main!A"&amp;MATCH(A85,Main!A:A,0),"Open"),HYPERLINK("#Main!A1","Open"))</f>
        <v/>
      </c>
      <c r="R85">
        <f>IFERROR(HYPERLINK("#Technical!A"&amp;MATCH(A85,Technical!A:A,0),"Open"),HYPERLINK("#Technical!A1","Open"))</f>
        <v/>
      </c>
    </row>
    <row r="86" ht="30" customHeight="1">
      <c r="A86" s="33" t="inlineStr">
        <is>
          <t>https://africanmarketingconfederation.org/test-payment-gate/</t>
        </is>
      </c>
      <c r="B86" s="24" t="inlineStr">
        <is>
          <t>Content</t>
        </is>
      </c>
      <c r="C86" s="25" t="inlineStr">
        <is>
          <t>Warning</t>
        </is>
      </c>
      <c r="D86" s="24" t="inlineStr">
        <is>
          <t>Low AEO readiness score</t>
        </is>
      </c>
      <c r="E86" s="24" t="n">
        <v>67</v>
      </c>
      <c r="F86" s="24" t="n">
        <v>0</v>
      </c>
      <c r="G86" s="24" t="inlineStr">
        <is>
          <t>&gt;=60</t>
        </is>
      </c>
      <c r="H86" s="24" t="inlineStr">
        <is>
          <t>Add concise answer blocks, question-led subheadings, and clear structured sections.</t>
        </is>
      </c>
      <c r="I86" s="28" t="inlineStr">
        <is>
          <t>AEO</t>
        </is>
      </c>
      <c r="J86" s="24" t="inlineStr">
        <is>
          <t>AEO Readiness Score</t>
        </is>
      </c>
      <c r="K86" s="24" t="inlineStr">
        <is>
          <t>Yes</t>
        </is>
      </c>
      <c r="L86" s="24" t="inlineStr">
        <is>
          <t>Copy Writer</t>
        </is>
      </c>
      <c r="M86" s="25" t="inlineStr">
        <is>
          <t>Open</t>
        </is>
      </c>
      <c r="N86" s="24" t="n">
        <v>4</v>
      </c>
      <c r="O86" s="24" t="inlineStr">
        <is>
          <t>https://africanmarketingconfederation.org/test-payment-gate/::aioseo_low_aeo_readiness_score</t>
        </is>
      </c>
      <c r="P86" s="24" t="inlineStr">
        <is>
          <t>Weak answer-style structure lowers AI/answer-engine retrieval potential.</t>
        </is>
      </c>
      <c r="Q86">
        <f>IFERROR(HYPERLINK("#Main!A"&amp;MATCH(A86,Main!A:A,0),"Open"),HYPERLINK("#Main!A1","Open"))</f>
        <v/>
      </c>
      <c r="R86">
        <f>IFERROR(HYPERLINK("#Technical!A"&amp;MATCH(A86,Technical!A:A,0),"Open"),HYPERLINK("#Technical!A1","Open"))</f>
        <v/>
      </c>
    </row>
    <row r="87" ht="30" customHeight="1">
      <c r="A87" s="33" t="inlineStr">
        <is>
          <t>https://africanmarketingconfederation.org/thank-you-for-registering-2024-registrations-kenya/</t>
        </is>
      </c>
      <c r="B87" s="6" t="inlineStr">
        <is>
          <t>Content</t>
        </is>
      </c>
      <c r="C87" s="25" t="inlineStr">
        <is>
          <t>Warning</t>
        </is>
      </c>
      <c r="D87" s="6" t="inlineStr">
        <is>
          <t>Low AEO readiness score</t>
        </is>
      </c>
      <c r="E87" s="6" t="n">
        <v>67</v>
      </c>
      <c r="F87" s="6" t="n">
        <v>0</v>
      </c>
      <c r="G87" s="6" t="inlineStr">
        <is>
          <t>&gt;=60</t>
        </is>
      </c>
      <c r="H87" s="6" t="inlineStr">
        <is>
          <t>Add concise answer blocks, question-led subheadings, and clear structured sections.</t>
        </is>
      </c>
      <c r="I87" s="31" t="inlineStr">
        <is>
          <t>AEO</t>
        </is>
      </c>
      <c r="J87" s="6" t="inlineStr">
        <is>
          <t>AEO Readiness Score</t>
        </is>
      </c>
      <c r="K87" s="6" t="inlineStr">
        <is>
          <t>Yes</t>
        </is>
      </c>
      <c r="L87" s="6" t="inlineStr">
        <is>
          <t>Copy Writer</t>
        </is>
      </c>
      <c r="M87" s="25" t="inlineStr">
        <is>
          <t>Open</t>
        </is>
      </c>
      <c r="N87" s="6" t="n">
        <v>4</v>
      </c>
      <c r="O87" s="6" t="inlineStr">
        <is>
          <t>https://africanmarketingconfederation.org/thank-you-for-registering-2024-registrations-kenya/::aioseo_low_aeo_readiness_score</t>
        </is>
      </c>
      <c r="P87" s="6" t="inlineStr">
        <is>
          <t>Weak answer-style structure lowers AI/answer-engine retrieval potential.</t>
        </is>
      </c>
      <c r="Q87">
        <f>IFERROR(HYPERLINK("#Main!A"&amp;MATCH(A87,Main!A:A,0),"Open"),HYPERLINK("#Main!A1","Open"))</f>
        <v/>
      </c>
      <c r="R87">
        <f>IFERROR(HYPERLINK("#Technical!A"&amp;MATCH(A87,Technical!A:A,0),"Open"),HYPERLINK("#Technical!A1","Open"))</f>
        <v/>
      </c>
    </row>
    <row r="88" ht="30" customHeight="1">
      <c r="A88" s="33" t="inlineStr">
        <is>
          <t>https://africanmarketingconfederation.org/thank-you-for-registering-2024-registrations/</t>
        </is>
      </c>
      <c r="B88" s="24" t="inlineStr">
        <is>
          <t>Content</t>
        </is>
      </c>
      <c r="C88" s="25" t="inlineStr">
        <is>
          <t>Warning</t>
        </is>
      </c>
      <c r="D88" s="24" t="inlineStr">
        <is>
          <t>Low AEO readiness score</t>
        </is>
      </c>
      <c r="E88" s="24" t="n">
        <v>67</v>
      </c>
      <c r="F88" s="24" t="n">
        <v>0</v>
      </c>
      <c r="G88" s="24" t="inlineStr">
        <is>
          <t>&gt;=60</t>
        </is>
      </c>
      <c r="H88" s="24" t="inlineStr">
        <is>
          <t>Add concise answer blocks, question-led subheadings, and clear structured sections.</t>
        </is>
      </c>
      <c r="I88" s="28" t="inlineStr">
        <is>
          <t>AEO</t>
        </is>
      </c>
      <c r="J88" s="24" t="inlineStr">
        <is>
          <t>AEO Readiness Score</t>
        </is>
      </c>
      <c r="K88" s="24" t="inlineStr">
        <is>
          <t>Yes</t>
        </is>
      </c>
      <c r="L88" s="24" t="inlineStr">
        <is>
          <t>Copy Writer</t>
        </is>
      </c>
      <c r="M88" s="25" t="inlineStr">
        <is>
          <t>Open</t>
        </is>
      </c>
      <c r="N88" s="24" t="n">
        <v>4</v>
      </c>
      <c r="O88" s="24" t="inlineStr">
        <is>
          <t>https://africanmarketingconfederation.org/thank-you-for-registering-2024-registrations/::aioseo_low_aeo_readiness_score</t>
        </is>
      </c>
      <c r="P88" s="24" t="inlineStr">
        <is>
          <t>Weak answer-style structure lowers AI/answer-engine retrieval potential.</t>
        </is>
      </c>
      <c r="Q88">
        <f>IFERROR(HYPERLINK("#Main!A"&amp;MATCH(A88,Main!A:A,0),"Open"),HYPERLINK("#Main!A1","Open"))</f>
        <v/>
      </c>
      <c r="R88">
        <f>IFERROR(HYPERLINK("#Technical!A"&amp;MATCH(A88,Technical!A:A,0),"Open"),HYPERLINK("#Technical!A1","Open"))</f>
        <v/>
      </c>
    </row>
    <row r="89" ht="30" customHeight="1">
      <c r="A89" s="33" t="inlineStr">
        <is>
          <t>https://africanmarketingconfederation.org/thank-you-for-subscribing/</t>
        </is>
      </c>
      <c r="B89" s="6" t="inlineStr">
        <is>
          <t>Content</t>
        </is>
      </c>
      <c r="C89" s="25" t="inlineStr">
        <is>
          <t>Warning</t>
        </is>
      </c>
      <c r="D89" s="6" t="inlineStr">
        <is>
          <t>Low AEO readiness score</t>
        </is>
      </c>
      <c r="E89" s="6" t="n">
        <v>67</v>
      </c>
      <c r="F89" s="6" t="n">
        <v>0</v>
      </c>
      <c r="G89" s="6" t="inlineStr">
        <is>
          <t>&gt;=60</t>
        </is>
      </c>
      <c r="H89" s="6" t="inlineStr">
        <is>
          <t>Add concise answer blocks, question-led subheadings, and clear structured sections.</t>
        </is>
      </c>
      <c r="I89" s="31" t="inlineStr">
        <is>
          <t>AEO</t>
        </is>
      </c>
      <c r="J89" s="6" t="inlineStr">
        <is>
          <t>AEO Readiness Score</t>
        </is>
      </c>
      <c r="K89" s="6" t="inlineStr">
        <is>
          <t>Yes</t>
        </is>
      </c>
      <c r="L89" s="6" t="inlineStr">
        <is>
          <t>Copy Writer</t>
        </is>
      </c>
      <c r="M89" s="25" t="inlineStr">
        <is>
          <t>Open</t>
        </is>
      </c>
      <c r="N89" s="6" t="n">
        <v>4</v>
      </c>
      <c r="O89" s="6" t="inlineStr">
        <is>
          <t>https://africanmarketingconfederation.org/thank-you-for-subscribing/::aioseo_low_aeo_readiness_score</t>
        </is>
      </c>
      <c r="P89" s="6" t="inlineStr">
        <is>
          <t>Weak answer-style structure lowers AI/answer-engine retrieval potential.</t>
        </is>
      </c>
      <c r="Q89">
        <f>IFERROR(HYPERLINK("#Main!A"&amp;MATCH(A89,Main!A:A,0),"Open"),HYPERLINK("#Main!A1","Open"))</f>
        <v/>
      </c>
      <c r="R89">
        <f>IFERROR(HYPERLINK("#Technical!A"&amp;MATCH(A89,Technical!A:A,0),"Open"),HYPERLINK("#Technical!A1","Open"))</f>
        <v/>
      </c>
    </row>
    <row r="90" ht="30" customHeight="1">
      <c r="A90" s="33" t="inlineStr">
        <is>
          <t>https://africanmarketingconfederation.org/thank-you-for-the-nomination-2024/</t>
        </is>
      </c>
      <c r="B90" s="24" t="inlineStr">
        <is>
          <t>Content</t>
        </is>
      </c>
      <c r="C90" s="25" t="inlineStr">
        <is>
          <t>Warning</t>
        </is>
      </c>
      <c r="D90" s="24" t="inlineStr">
        <is>
          <t>Low AEO readiness score</t>
        </is>
      </c>
      <c r="E90" s="24" t="n">
        <v>67</v>
      </c>
      <c r="F90" s="24" t="n">
        <v>0</v>
      </c>
      <c r="G90" s="24" t="inlineStr">
        <is>
          <t>&gt;=60</t>
        </is>
      </c>
      <c r="H90" s="24" t="inlineStr">
        <is>
          <t>Add concise answer blocks, question-led subheadings, and clear structured sections.</t>
        </is>
      </c>
      <c r="I90" s="28" t="inlineStr">
        <is>
          <t>AEO</t>
        </is>
      </c>
      <c r="J90" s="24" t="inlineStr">
        <is>
          <t>AEO Readiness Score</t>
        </is>
      </c>
      <c r="K90" s="24" t="inlineStr">
        <is>
          <t>Yes</t>
        </is>
      </c>
      <c r="L90" s="24" t="inlineStr">
        <is>
          <t>Copy Writer</t>
        </is>
      </c>
      <c r="M90" s="25" t="inlineStr">
        <is>
          <t>Open</t>
        </is>
      </c>
      <c r="N90" s="24" t="n">
        <v>4</v>
      </c>
      <c r="O90" s="24" t="inlineStr">
        <is>
          <t>https://africanmarketingconfederation.org/thank-you-for-the-nomination-2024/::aioseo_low_aeo_readiness_score</t>
        </is>
      </c>
      <c r="P90" s="24" t="inlineStr">
        <is>
          <t>Weak answer-style structure lowers AI/answer-engine retrieval potential.</t>
        </is>
      </c>
      <c r="Q90">
        <f>IFERROR(HYPERLINK("#Main!A"&amp;MATCH(A90,Main!A:A,0),"Open"),HYPERLINK("#Main!A1","Open"))</f>
        <v/>
      </c>
      <c r="R90">
        <f>IFERROR(HYPERLINK("#Technical!A"&amp;MATCH(A90,Technical!A:A,0),"Open"),HYPERLINK("#Technical!A1","Open"))</f>
        <v/>
      </c>
    </row>
    <row r="91" ht="30" customHeight="1">
      <c r="A91" s="33" t="inlineStr">
        <is>
          <t>https://africanmarketingconfederation.org/thank-you-for-the-submission-2024/</t>
        </is>
      </c>
      <c r="B91" s="6" t="inlineStr">
        <is>
          <t>Content</t>
        </is>
      </c>
      <c r="C91" s="25" t="inlineStr">
        <is>
          <t>Warning</t>
        </is>
      </c>
      <c r="D91" s="6" t="inlineStr">
        <is>
          <t>Low AEO readiness score</t>
        </is>
      </c>
      <c r="E91" s="6" t="n">
        <v>67</v>
      </c>
      <c r="F91" s="6" t="n">
        <v>0</v>
      </c>
      <c r="G91" s="6" t="inlineStr">
        <is>
          <t>&gt;=60</t>
        </is>
      </c>
      <c r="H91" s="6" t="inlineStr">
        <is>
          <t>Add concise answer blocks, question-led subheadings, and clear structured sections.</t>
        </is>
      </c>
      <c r="I91" s="31" t="inlineStr">
        <is>
          <t>AEO</t>
        </is>
      </c>
      <c r="J91" s="6" t="inlineStr">
        <is>
          <t>AEO Readiness Score</t>
        </is>
      </c>
      <c r="K91" s="6" t="inlineStr">
        <is>
          <t>Yes</t>
        </is>
      </c>
      <c r="L91" s="6" t="inlineStr">
        <is>
          <t>Copy Writer</t>
        </is>
      </c>
      <c r="M91" s="25" t="inlineStr">
        <is>
          <t>Open</t>
        </is>
      </c>
      <c r="N91" s="6" t="n">
        <v>4</v>
      </c>
      <c r="O91" s="6" t="inlineStr">
        <is>
          <t>https://africanmarketingconfederation.org/thank-you-for-the-submission-2024/::aioseo_low_aeo_readiness_score</t>
        </is>
      </c>
      <c r="P91" s="6" t="inlineStr">
        <is>
          <t>Weak answer-style structure lowers AI/answer-engine retrieval potential.</t>
        </is>
      </c>
      <c r="Q91">
        <f>IFERROR(HYPERLINK("#Main!A"&amp;MATCH(A91,Main!A:A,0),"Open"),HYPERLINK("#Main!A1","Open"))</f>
        <v/>
      </c>
      <c r="R91">
        <f>IFERROR(HYPERLINK("#Technical!A"&amp;MATCH(A91,Technical!A:A,0),"Open"),HYPERLINK("#Technical!A1","Open"))</f>
        <v/>
      </c>
    </row>
    <row r="92" ht="30" customHeight="1">
      <c r="A92" s="33" t="inlineStr">
        <is>
          <t>https://africanmarketingconfederation.org/upcoming-events/</t>
        </is>
      </c>
      <c r="B92" s="24" t="inlineStr">
        <is>
          <t>Content</t>
        </is>
      </c>
      <c r="C92" s="25" t="inlineStr">
        <is>
          <t>Warning</t>
        </is>
      </c>
      <c r="D92" s="24" t="inlineStr">
        <is>
          <t>Low AEO readiness score</t>
        </is>
      </c>
      <c r="E92" s="24" t="n">
        <v>67</v>
      </c>
      <c r="F92" s="24" t="n">
        <v>0</v>
      </c>
      <c r="G92" s="24" t="inlineStr">
        <is>
          <t>&gt;=60</t>
        </is>
      </c>
      <c r="H92" s="24" t="inlineStr">
        <is>
          <t>Add concise answer blocks, question-led subheadings, and clear structured sections.</t>
        </is>
      </c>
      <c r="I92" s="28" t="inlineStr">
        <is>
          <t>AEO</t>
        </is>
      </c>
      <c r="J92" s="24" t="inlineStr">
        <is>
          <t>AEO Readiness Score</t>
        </is>
      </c>
      <c r="K92" s="24" t="inlineStr">
        <is>
          <t>Yes</t>
        </is>
      </c>
      <c r="L92" s="24" t="inlineStr">
        <is>
          <t>Copy Writer</t>
        </is>
      </c>
      <c r="M92" s="25" t="inlineStr">
        <is>
          <t>Open</t>
        </is>
      </c>
      <c r="N92" s="24" t="n">
        <v>4</v>
      </c>
      <c r="O92" s="24" t="inlineStr">
        <is>
          <t>https://africanmarketingconfederation.org/upcoming-events/::aioseo_low_aeo_readiness_score</t>
        </is>
      </c>
      <c r="P92" s="24" t="inlineStr">
        <is>
          <t>Weak answer-style structure lowers AI/answer-engine retrieval potential.</t>
        </is>
      </c>
      <c r="Q92">
        <f>IFERROR(HYPERLINK("#Main!A"&amp;MATCH(A92,Main!A:A,0),"Open"),HYPERLINK("#Main!A1","Open"))</f>
        <v/>
      </c>
      <c r="R92">
        <f>IFERROR(HYPERLINK("#Technical!A"&amp;MATCH(A92,Technical!A:A,0),"Open"),HYPERLINK("#Technical!A1","Open"))</f>
        <v/>
      </c>
    </row>
    <row r="93" ht="30" customHeight="1">
      <c r="A93" s="33" t="inlineStr">
        <is>
          <t>https://africanmarketingconfederation.org/virtual-programme/</t>
        </is>
      </c>
      <c r="B93" s="6" t="inlineStr">
        <is>
          <t>Content</t>
        </is>
      </c>
      <c r="C93" s="25" t="inlineStr">
        <is>
          <t>Warning</t>
        </is>
      </c>
      <c r="D93" s="6" t="inlineStr">
        <is>
          <t>Low AEO readiness score</t>
        </is>
      </c>
      <c r="E93" s="6" t="n">
        <v>67</v>
      </c>
      <c r="F93" s="6" t="n">
        <v>0</v>
      </c>
      <c r="G93" s="6" t="inlineStr">
        <is>
          <t>&gt;=60</t>
        </is>
      </c>
      <c r="H93" s="6" t="inlineStr">
        <is>
          <t>Add concise answer blocks, question-led subheadings, and clear structured sections.</t>
        </is>
      </c>
      <c r="I93" s="31" t="inlineStr">
        <is>
          <t>AEO</t>
        </is>
      </c>
      <c r="J93" s="6" t="inlineStr">
        <is>
          <t>AEO Readiness Score</t>
        </is>
      </c>
      <c r="K93" s="6" t="inlineStr">
        <is>
          <t>Yes</t>
        </is>
      </c>
      <c r="L93" s="6" t="inlineStr">
        <is>
          <t>Copy Writer</t>
        </is>
      </c>
      <c r="M93" s="25" t="inlineStr">
        <is>
          <t>Open</t>
        </is>
      </c>
      <c r="N93" s="6" t="n">
        <v>4</v>
      </c>
      <c r="O93" s="6" t="inlineStr">
        <is>
          <t>https://africanmarketingconfederation.org/virtual-programme/::aioseo_low_aeo_readiness_score</t>
        </is>
      </c>
      <c r="P93" s="6" t="inlineStr">
        <is>
          <t>Weak answer-style structure lowers AI/answer-engine retrieval potential.</t>
        </is>
      </c>
      <c r="Q93">
        <f>IFERROR(HYPERLINK("#Main!A"&amp;MATCH(A93,Main!A:A,0),"Open"),HYPERLINK("#Main!A1","Open"))</f>
        <v/>
      </c>
      <c r="R93">
        <f>IFERROR(HYPERLINK("#Technical!A"&amp;MATCH(A93,Technical!A:A,0),"Open"),HYPERLINK("#Technical!A1","Open"))</f>
        <v/>
      </c>
    </row>
    <row r="94" ht="30" customHeight="1">
      <c r="A94" s="33" t="inlineStr">
        <is>
          <t>https://africanmarketingconfederation.org/about-us/</t>
        </is>
      </c>
      <c r="B94" s="24" t="inlineStr">
        <is>
          <t>Readability</t>
        </is>
      </c>
      <c r="C94" s="25" t="inlineStr">
        <is>
          <t>Warning</t>
        </is>
      </c>
      <c r="D94" s="24" t="inlineStr">
        <is>
          <t>Thin content</t>
        </is>
      </c>
      <c r="E94" s="24" t="n">
        <v>67</v>
      </c>
      <c r="F94" s="24" t="n">
        <v>283</v>
      </c>
      <c r="G94" s="24" t="inlineStr">
        <is>
          <t>&gt;=300 words (quality first)</t>
        </is>
      </c>
      <c r="H94" s="24" t="inlineStr">
        <is>
          <t>Expand page copy with useful, unique sections that answer key user questions.</t>
        </is>
      </c>
      <c r="I94" s="28" t="inlineStr">
        <is>
          <t>Content</t>
        </is>
      </c>
      <c r="J94" s="24" t="inlineStr">
        <is>
          <t>Word Count</t>
        </is>
      </c>
      <c r="K94" s="24" t="inlineStr">
        <is>
          <t>Yes</t>
        </is>
      </c>
      <c r="L94" s="24" t="inlineStr">
        <is>
          <t>Copy Writer</t>
        </is>
      </c>
      <c r="M94" s="25" t="inlineStr">
        <is>
          <t>Open</t>
        </is>
      </c>
      <c r="N94" s="24" t="n">
        <v>4</v>
      </c>
      <c r="O94" s="24" t="inlineStr">
        <is>
          <t>https://africanmarketingconfederation.org/about-us/::aioseo_thin_content</t>
        </is>
      </c>
      <c r="P94" s="24" t="inlineStr">
        <is>
          <t>Low-content pages can struggle to satisfy intent and rank competitively.</t>
        </is>
      </c>
      <c r="Q94">
        <f>IFERROR(HYPERLINK("#Main!A"&amp;MATCH(A94,Main!A:A,0),"Open"),HYPERLINK("#Main!A1","Open"))</f>
        <v/>
      </c>
      <c r="R94">
        <f>IFERROR(HYPERLINK("#Technical!A"&amp;MATCH(A94,Technical!A:A,0),"Open"),HYPERLINK("#Technical!A1","Open"))</f>
        <v/>
      </c>
    </row>
    <row r="95" ht="30" customHeight="1">
      <c r="A95" s="33" t="inlineStr">
        <is>
          <t>https://africanmarketingconfederation.org/amc-conference-2022-prospectus/</t>
        </is>
      </c>
      <c r="B95" s="6" t="inlineStr">
        <is>
          <t>Readability</t>
        </is>
      </c>
      <c r="C95" s="25" t="inlineStr">
        <is>
          <t>Warning</t>
        </is>
      </c>
      <c r="D95" s="6" t="inlineStr">
        <is>
          <t>Missing H1 heading</t>
        </is>
      </c>
      <c r="E95" s="6" t="n">
        <v>67</v>
      </c>
      <c r="F95" s="6" t="n">
        <v>0</v>
      </c>
      <c r="G95" s="6" t="inlineStr">
        <is>
          <t>Exactly 1 descriptive H1</t>
        </is>
      </c>
      <c r="H95" s="6" t="inlineStr">
        <is>
          <t>Update page content to include a single descriptive H1 aligned to primary intent.</t>
        </is>
      </c>
      <c r="I95" s="31" t="inlineStr">
        <is>
          <t>Content</t>
        </is>
      </c>
      <c r="J95" s="6" t="inlineStr">
        <is>
          <t>Missing H1 Flag</t>
        </is>
      </c>
      <c r="K95" s="6" t="inlineStr">
        <is>
          <t>Yes</t>
        </is>
      </c>
      <c r="L95" s="6" t="inlineStr">
        <is>
          <t>Copy Writer</t>
        </is>
      </c>
      <c r="M95" s="25" t="inlineStr">
        <is>
          <t>Open</t>
        </is>
      </c>
      <c r="N95" s="6" t="n">
        <v>4</v>
      </c>
      <c r="O95" s="6" t="inlineStr">
        <is>
          <t>https://africanmarketingconfederation.org/amc-conference-2022-prospectus/::aioseo_missing_h1_heading</t>
        </is>
      </c>
      <c r="P95" s="6" t="inlineStr">
        <is>
          <t>A missing H1 weakens topical clarity for users and crawlers.</t>
        </is>
      </c>
      <c r="Q95">
        <f>IFERROR(HYPERLINK("#Main!A"&amp;MATCH(A95,Main!A:A,0),"Open"),HYPERLINK("#Main!A1","Open"))</f>
        <v/>
      </c>
      <c r="R95">
        <f>IFERROR(HYPERLINK("#Technical!A"&amp;MATCH(A95,Technical!A:A,0),"Open"),HYPERLINK("#Technical!A1","Open"))</f>
        <v/>
      </c>
    </row>
    <row r="96" ht="30" customHeight="1">
      <c r="A96" s="33" t="inlineStr">
        <is>
          <t>https://africanmarketingconfederation.org/amc-conference-2022-prospectus/</t>
        </is>
      </c>
      <c r="B96" s="24" t="inlineStr">
        <is>
          <t>Readability</t>
        </is>
      </c>
      <c r="C96" s="25" t="inlineStr">
        <is>
          <t>Warning</t>
        </is>
      </c>
      <c r="D96" s="24" t="inlineStr">
        <is>
          <t>Thin content</t>
        </is>
      </c>
      <c r="E96" s="24" t="n">
        <v>67</v>
      </c>
      <c r="F96" s="24" t="n">
        <v>164</v>
      </c>
      <c r="G96" s="24" t="inlineStr">
        <is>
          <t>&gt;=300 words (quality first)</t>
        </is>
      </c>
      <c r="H96" s="24" t="inlineStr">
        <is>
          <t>Expand page copy with useful, unique sections that answer key user questions.</t>
        </is>
      </c>
      <c r="I96" s="28" t="inlineStr">
        <is>
          <t>Content</t>
        </is>
      </c>
      <c r="J96" s="24" t="inlineStr">
        <is>
          <t>Word Count</t>
        </is>
      </c>
      <c r="K96" s="24" t="inlineStr">
        <is>
          <t>Yes</t>
        </is>
      </c>
      <c r="L96" s="24" t="inlineStr">
        <is>
          <t>Copy Writer</t>
        </is>
      </c>
      <c r="M96" s="25" t="inlineStr">
        <is>
          <t>Open</t>
        </is>
      </c>
      <c r="N96" s="24" t="n">
        <v>4</v>
      </c>
      <c r="O96" s="24" t="inlineStr">
        <is>
          <t>https://africanmarketingconfederation.org/amc-conference-2022-prospectus/::aioseo_thin_content</t>
        </is>
      </c>
      <c r="P96" s="24" t="inlineStr">
        <is>
          <t>Low-content pages can struggle to satisfy intent and rank competitively.</t>
        </is>
      </c>
      <c r="Q96">
        <f>IFERROR(HYPERLINK("#Main!A"&amp;MATCH(A96,Main!A:A,0),"Open"),HYPERLINK("#Main!A1","Open"))</f>
        <v/>
      </c>
      <c r="R96">
        <f>IFERROR(HYPERLINK("#Technical!A"&amp;MATCH(A96,Technical!A:A,0),"Open"),HYPERLINK("#Technical!A1","Open"))</f>
        <v/>
      </c>
    </row>
    <row r="97" ht="30" customHeight="1">
      <c r="A97" s="33" t="inlineStr">
        <is>
          <t>https://africanmarketingconfederation.org/amc-conference-2022-thank-you/</t>
        </is>
      </c>
      <c r="B97" s="6" t="inlineStr">
        <is>
          <t>Readability</t>
        </is>
      </c>
      <c r="C97" s="25" t="inlineStr">
        <is>
          <t>Warning</t>
        </is>
      </c>
      <c r="D97" s="6" t="inlineStr">
        <is>
          <t>Missing H1 heading</t>
        </is>
      </c>
      <c r="E97" s="6" t="n">
        <v>67</v>
      </c>
      <c r="F97" s="6" t="n">
        <v>0</v>
      </c>
      <c r="G97" s="6" t="inlineStr">
        <is>
          <t>Exactly 1 descriptive H1</t>
        </is>
      </c>
      <c r="H97" s="6" t="inlineStr">
        <is>
          <t>Update page content to include a single descriptive H1 aligned to primary intent.</t>
        </is>
      </c>
      <c r="I97" s="31" t="inlineStr">
        <is>
          <t>Content</t>
        </is>
      </c>
      <c r="J97" s="6" t="inlineStr">
        <is>
          <t>Missing H1 Flag</t>
        </is>
      </c>
      <c r="K97" s="6" t="inlineStr">
        <is>
          <t>Yes</t>
        </is>
      </c>
      <c r="L97" s="6" t="inlineStr">
        <is>
          <t>Copy Writer</t>
        </is>
      </c>
      <c r="M97" s="25" t="inlineStr">
        <is>
          <t>Open</t>
        </is>
      </c>
      <c r="N97" s="6" t="n">
        <v>4</v>
      </c>
      <c r="O97" s="6" t="inlineStr">
        <is>
          <t>https://africanmarketingconfederation.org/amc-conference-2022-thank-you/::aioseo_missing_h1_heading</t>
        </is>
      </c>
      <c r="P97" s="6" t="inlineStr">
        <is>
          <t>A missing H1 weakens topical clarity for users and crawlers.</t>
        </is>
      </c>
      <c r="Q97">
        <f>IFERROR(HYPERLINK("#Main!A"&amp;MATCH(A97,Main!A:A,0),"Open"),HYPERLINK("#Main!A1","Open"))</f>
        <v/>
      </c>
      <c r="R97">
        <f>IFERROR(HYPERLINK("#Technical!A"&amp;MATCH(A97,Technical!A:A,0),"Open"),HYPERLINK("#Technical!A1","Open"))</f>
        <v/>
      </c>
    </row>
    <row r="98" ht="30" customHeight="1">
      <c r="A98" s="33" t="inlineStr">
        <is>
          <t>https://africanmarketingconfederation.org/amc-conference-2022/</t>
        </is>
      </c>
      <c r="B98" s="24" t="inlineStr">
        <is>
          <t>Readability</t>
        </is>
      </c>
      <c r="C98" s="25" t="inlineStr">
        <is>
          <t>Warning</t>
        </is>
      </c>
      <c r="D98" s="24" t="inlineStr">
        <is>
          <t>Missing H1 heading</t>
        </is>
      </c>
      <c r="E98" s="24" t="n">
        <v>67</v>
      </c>
      <c r="F98" s="24" t="n">
        <v>0</v>
      </c>
      <c r="G98" s="24" t="inlineStr">
        <is>
          <t>Exactly 1 descriptive H1</t>
        </is>
      </c>
      <c r="H98" s="24" t="inlineStr">
        <is>
          <t>Update page content to include a single descriptive H1 aligned to primary intent.</t>
        </is>
      </c>
      <c r="I98" s="28" t="inlineStr">
        <is>
          <t>Content</t>
        </is>
      </c>
      <c r="J98" s="24" t="inlineStr">
        <is>
          <t>Missing H1 Flag</t>
        </is>
      </c>
      <c r="K98" s="24" t="inlineStr">
        <is>
          <t>Yes</t>
        </is>
      </c>
      <c r="L98" s="24" t="inlineStr">
        <is>
          <t>Copy Writer</t>
        </is>
      </c>
      <c r="M98" s="25" t="inlineStr">
        <is>
          <t>Open</t>
        </is>
      </c>
      <c r="N98" s="24" t="n">
        <v>4</v>
      </c>
      <c r="O98" s="24" t="inlineStr">
        <is>
          <t>https://africanmarketingconfederation.org/amc-conference-2022/::aioseo_missing_h1_heading</t>
        </is>
      </c>
      <c r="P98" s="24" t="inlineStr">
        <is>
          <t>A missing H1 weakens topical clarity for users and crawlers.</t>
        </is>
      </c>
      <c r="Q98">
        <f>IFERROR(HYPERLINK("#Main!A"&amp;MATCH(A98,Main!A:A,0),"Open"),HYPERLINK("#Main!A1","Open"))</f>
        <v/>
      </c>
      <c r="R98">
        <f>IFERROR(HYPERLINK("#Technical!A"&amp;MATCH(A98,Technical!A:A,0),"Open"),HYPERLINK("#Technical!A1","Open"))</f>
        <v/>
      </c>
    </row>
    <row r="99" ht="30" customHeight="1">
      <c r="A99" s="33" t="inlineStr">
        <is>
          <t>https://africanmarketingconfederation.org/amc-conference-2023/amc-awards-book-now/</t>
        </is>
      </c>
      <c r="B99" s="6" t="inlineStr">
        <is>
          <t>Readability</t>
        </is>
      </c>
      <c r="C99" s="25" t="inlineStr">
        <is>
          <t>Warning</t>
        </is>
      </c>
      <c r="D99" s="6" t="inlineStr">
        <is>
          <t>Missing H1 heading</t>
        </is>
      </c>
      <c r="E99" s="6" t="n">
        <v>67</v>
      </c>
      <c r="F99" s="6" t="n">
        <v>0</v>
      </c>
      <c r="G99" s="6" t="inlineStr">
        <is>
          <t>Exactly 1 descriptive H1</t>
        </is>
      </c>
      <c r="H99" s="6" t="inlineStr">
        <is>
          <t>Update page content to include a single descriptive H1 aligned to primary intent.</t>
        </is>
      </c>
      <c r="I99" s="31" t="inlineStr">
        <is>
          <t>Content</t>
        </is>
      </c>
      <c r="J99" s="6" t="inlineStr">
        <is>
          <t>Missing H1 Flag</t>
        </is>
      </c>
      <c r="K99" s="6" t="inlineStr">
        <is>
          <t>Yes</t>
        </is>
      </c>
      <c r="L99" s="6" t="inlineStr">
        <is>
          <t>Copy Writer</t>
        </is>
      </c>
      <c r="M99" s="25" t="inlineStr">
        <is>
          <t>Open</t>
        </is>
      </c>
      <c r="N99" s="6" t="n">
        <v>4</v>
      </c>
      <c r="O99" s="6" t="inlineStr">
        <is>
          <t>https://africanmarketingconfederation.org/amc-conference-2023/amc-awards-book-now/::aioseo_missing_h1_heading</t>
        </is>
      </c>
      <c r="P99" s="6" t="inlineStr">
        <is>
          <t>A missing H1 weakens topical clarity for users and crawlers.</t>
        </is>
      </c>
      <c r="Q99">
        <f>IFERROR(HYPERLINK("#Main!A"&amp;MATCH(A99,Main!A:A,0),"Open"),HYPERLINK("#Main!A1","Open"))</f>
        <v/>
      </c>
      <c r="R99">
        <f>IFERROR(HYPERLINK("#Technical!A"&amp;MATCH(A99,Technical!A:A,0),"Open"),HYPERLINK("#Technical!A1","Open"))</f>
        <v/>
      </c>
    </row>
    <row r="100" ht="30" customHeight="1">
      <c r="A100" s="33" t="inlineStr">
        <is>
          <t>https://africanmarketingconfederation.org/amc-conference-2023/amc-awards-book-now/</t>
        </is>
      </c>
      <c r="B100" s="24" t="inlineStr">
        <is>
          <t>Readability</t>
        </is>
      </c>
      <c r="C100" s="25" t="inlineStr">
        <is>
          <t>Warning</t>
        </is>
      </c>
      <c r="D100" s="24" t="inlineStr">
        <is>
          <t>Thin content</t>
        </is>
      </c>
      <c r="E100" s="24" t="n">
        <v>67</v>
      </c>
      <c r="F100" s="24" t="n">
        <v>67</v>
      </c>
      <c r="G100" s="24" t="inlineStr">
        <is>
          <t>&gt;=300 words (quality first)</t>
        </is>
      </c>
      <c r="H100" s="24" t="inlineStr">
        <is>
          <t>Expand page copy with useful, unique sections that answer key user questions.</t>
        </is>
      </c>
      <c r="I100" s="28" t="inlineStr">
        <is>
          <t>Content</t>
        </is>
      </c>
      <c r="J100" s="24" t="inlineStr">
        <is>
          <t>Word Count</t>
        </is>
      </c>
      <c r="K100" s="24" t="inlineStr">
        <is>
          <t>Yes</t>
        </is>
      </c>
      <c r="L100" s="24" t="inlineStr">
        <is>
          <t>Copy Writer</t>
        </is>
      </c>
      <c r="M100" s="25" t="inlineStr">
        <is>
          <t>Open</t>
        </is>
      </c>
      <c r="N100" s="24" t="n">
        <v>4</v>
      </c>
      <c r="O100" s="24" t="inlineStr">
        <is>
          <t>https://africanmarketingconfederation.org/amc-conference-2023/amc-awards-book-now/::aioseo_thin_content</t>
        </is>
      </c>
      <c r="P100" s="24" t="inlineStr">
        <is>
          <t>Low-content pages can struggle to satisfy intent and rank competitively.</t>
        </is>
      </c>
      <c r="Q100">
        <f>IFERROR(HYPERLINK("#Main!A"&amp;MATCH(A100,Main!A:A,0),"Open"),HYPERLINK("#Main!A1","Open"))</f>
        <v/>
      </c>
      <c r="R100">
        <f>IFERROR(HYPERLINK("#Technical!A"&amp;MATCH(A100,Technical!A:A,0),"Open"),HYPERLINK("#Technical!A1","Open"))</f>
        <v/>
      </c>
    </row>
    <row r="101" ht="30" customHeight="1">
      <c r="A101" s="33" t="inlineStr">
        <is>
          <t>https://africanmarketingconfederation.org/amc-conference-2023/book-now-thank-you/</t>
        </is>
      </c>
      <c r="B101" s="6" t="inlineStr">
        <is>
          <t>Readability</t>
        </is>
      </c>
      <c r="C101" s="25" t="inlineStr">
        <is>
          <t>Warning</t>
        </is>
      </c>
      <c r="D101" s="6" t="inlineStr">
        <is>
          <t>Missing H1 heading</t>
        </is>
      </c>
      <c r="E101" s="6" t="n">
        <v>67</v>
      </c>
      <c r="F101" s="6" t="n">
        <v>0</v>
      </c>
      <c r="G101" s="6" t="inlineStr">
        <is>
          <t>Exactly 1 descriptive H1</t>
        </is>
      </c>
      <c r="H101" s="6" t="inlineStr">
        <is>
          <t>Update page content to include a single descriptive H1 aligned to primary intent.</t>
        </is>
      </c>
      <c r="I101" s="31" t="inlineStr">
        <is>
          <t>Content</t>
        </is>
      </c>
      <c r="J101" s="6" t="inlineStr">
        <is>
          <t>Missing H1 Flag</t>
        </is>
      </c>
      <c r="K101" s="6" t="inlineStr">
        <is>
          <t>Yes</t>
        </is>
      </c>
      <c r="L101" s="6" t="inlineStr">
        <is>
          <t>Copy Writer</t>
        </is>
      </c>
      <c r="M101" s="25" t="inlineStr">
        <is>
          <t>Open</t>
        </is>
      </c>
      <c r="N101" s="6" t="n">
        <v>4</v>
      </c>
      <c r="O101" s="6" t="inlineStr">
        <is>
          <t>https://africanmarketingconfederation.org/amc-conference-2023/book-now-thank-you/::aioseo_missing_h1_heading</t>
        </is>
      </c>
      <c r="P101" s="6" t="inlineStr">
        <is>
          <t>A missing H1 weakens topical clarity for users and crawlers.</t>
        </is>
      </c>
      <c r="Q101">
        <f>IFERROR(HYPERLINK("#Main!A"&amp;MATCH(A101,Main!A:A,0),"Open"),HYPERLINK("#Main!A1","Open"))</f>
        <v/>
      </c>
      <c r="R101">
        <f>IFERROR(HYPERLINK("#Technical!A"&amp;MATCH(A101,Technical!A:A,0),"Open"),HYPERLINK("#Technical!A1","Open"))</f>
        <v/>
      </c>
    </row>
    <row r="102" ht="30" customHeight="1">
      <c r="A102" s="33" t="inlineStr">
        <is>
          <t>https://africanmarketingconfederation.org/amc-conference-2023/book-now-thank-you/</t>
        </is>
      </c>
      <c r="B102" s="24" t="inlineStr">
        <is>
          <t>Readability</t>
        </is>
      </c>
      <c r="C102" s="25" t="inlineStr">
        <is>
          <t>Warning</t>
        </is>
      </c>
      <c r="D102" s="24" t="inlineStr">
        <is>
          <t>Thin content</t>
        </is>
      </c>
      <c r="E102" s="24" t="n">
        <v>67</v>
      </c>
      <c r="F102" s="24" t="n">
        <v>81</v>
      </c>
      <c r="G102" s="24" t="inlineStr">
        <is>
          <t>&gt;=300 words (quality first)</t>
        </is>
      </c>
      <c r="H102" s="24" t="inlineStr">
        <is>
          <t>Expand page copy with useful, unique sections that answer key user questions.</t>
        </is>
      </c>
      <c r="I102" s="28" t="inlineStr">
        <is>
          <t>Content</t>
        </is>
      </c>
      <c r="J102" s="24" t="inlineStr">
        <is>
          <t>Word Count</t>
        </is>
      </c>
      <c r="K102" s="24" t="inlineStr">
        <is>
          <t>Yes</t>
        </is>
      </c>
      <c r="L102" s="24" t="inlineStr">
        <is>
          <t>Copy Writer</t>
        </is>
      </c>
      <c r="M102" s="25" t="inlineStr">
        <is>
          <t>Open</t>
        </is>
      </c>
      <c r="N102" s="24" t="n">
        <v>4</v>
      </c>
      <c r="O102" s="24" t="inlineStr">
        <is>
          <t>https://africanmarketingconfederation.org/amc-conference-2023/book-now-thank-you/::aioseo_thin_content</t>
        </is>
      </c>
      <c r="P102" s="24" t="inlineStr">
        <is>
          <t>Low-content pages can struggle to satisfy intent and rank competitively.</t>
        </is>
      </c>
      <c r="Q102">
        <f>IFERROR(HYPERLINK("#Main!A"&amp;MATCH(A102,Main!A:A,0),"Open"),HYPERLINK("#Main!A1","Open"))</f>
        <v/>
      </c>
      <c r="R102">
        <f>IFERROR(HYPERLINK("#Technical!A"&amp;MATCH(A102,Technical!A:A,0),"Open"),HYPERLINK("#Technical!A1","Open"))</f>
        <v/>
      </c>
    </row>
    <row r="103" ht="30" customHeight="1">
      <c r="A103" s="33" t="inlineStr">
        <is>
          <t>https://africanmarketingconfederation.org/amc-conference-2023/book-now/</t>
        </is>
      </c>
      <c r="B103" s="6" t="inlineStr">
        <is>
          <t>Readability</t>
        </is>
      </c>
      <c r="C103" s="25" t="inlineStr">
        <is>
          <t>Warning</t>
        </is>
      </c>
      <c r="D103" s="6" t="inlineStr">
        <is>
          <t>Thin content</t>
        </is>
      </c>
      <c r="E103" s="6" t="n">
        <v>67</v>
      </c>
      <c r="F103" s="6" t="n">
        <v>231</v>
      </c>
      <c r="G103" s="6" t="inlineStr">
        <is>
          <t>&gt;=300 words (quality first)</t>
        </is>
      </c>
      <c r="H103" s="6" t="inlineStr">
        <is>
          <t>Expand page copy with useful, unique sections that answer key user questions.</t>
        </is>
      </c>
      <c r="I103" s="31" t="inlineStr">
        <is>
          <t>Content</t>
        </is>
      </c>
      <c r="J103" s="6" t="inlineStr">
        <is>
          <t>Word Count</t>
        </is>
      </c>
      <c r="K103" s="6" t="inlineStr">
        <is>
          <t>Yes</t>
        </is>
      </c>
      <c r="L103" s="6" t="inlineStr">
        <is>
          <t>Copy Writer</t>
        </is>
      </c>
      <c r="M103" s="25" t="inlineStr">
        <is>
          <t>Open</t>
        </is>
      </c>
      <c r="N103" s="6" t="n">
        <v>4</v>
      </c>
      <c r="O103" s="6" t="inlineStr">
        <is>
          <t>https://africanmarketingconfederation.org/amc-conference-2023/book-now/::aioseo_thin_content</t>
        </is>
      </c>
      <c r="P103" s="6" t="inlineStr">
        <is>
          <t>Low-content pages can struggle to satisfy intent and rank competitively.</t>
        </is>
      </c>
      <c r="Q103">
        <f>IFERROR(HYPERLINK("#Main!A"&amp;MATCH(A103,Main!A:A,0),"Open"),HYPERLINK("#Main!A1","Open"))</f>
        <v/>
      </c>
      <c r="R103">
        <f>IFERROR(HYPERLINK("#Technical!A"&amp;MATCH(A103,Technical!A:A,0),"Open"),HYPERLINK("#Technical!A1","Open"))</f>
        <v/>
      </c>
    </row>
    <row r="104" ht="30" customHeight="1">
      <c r="A104" s="33" t="inlineStr">
        <is>
          <t>https://africanmarketingconfederation.org/amc-conference-2023/download-prospectus/</t>
        </is>
      </c>
      <c r="B104" s="24" t="inlineStr">
        <is>
          <t>Readability</t>
        </is>
      </c>
      <c r="C104" s="25" t="inlineStr">
        <is>
          <t>Warning</t>
        </is>
      </c>
      <c r="D104" s="24" t="inlineStr">
        <is>
          <t>Thin content</t>
        </is>
      </c>
      <c r="E104" s="24" t="n">
        <v>67</v>
      </c>
      <c r="F104" s="24" t="n">
        <v>136</v>
      </c>
      <c r="G104" s="24" t="inlineStr">
        <is>
          <t>&gt;=300 words (quality first)</t>
        </is>
      </c>
      <c r="H104" s="24" t="inlineStr">
        <is>
          <t>Expand page copy with useful, unique sections that answer key user questions.</t>
        </is>
      </c>
      <c r="I104" s="28" t="inlineStr">
        <is>
          <t>Content</t>
        </is>
      </c>
      <c r="J104" s="24" t="inlineStr">
        <is>
          <t>Word Count</t>
        </is>
      </c>
      <c r="K104" s="24" t="inlineStr">
        <is>
          <t>Yes</t>
        </is>
      </c>
      <c r="L104" s="24" t="inlineStr">
        <is>
          <t>Copy Writer</t>
        </is>
      </c>
      <c r="M104" s="25" t="inlineStr">
        <is>
          <t>Open</t>
        </is>
      </c>
      <c r="N104" s="24" t="n">
        <v>4</v>
      </c>
      <c r="O104" s="24" t="inlineStr">
        <is>
          <t>https://africanmarketingconfederation.org/amc-conference-2023/download-prospectus/::aioseo_thin_content</t>
        </is>
      </c>
      <c r="P104" s="24" t="inlineStr">
        <is>
          <t>Low-content pages can struggle to satisfy intent and rank competitively.</t>
        </is>
      </c>
      <c r="Q104">
        <f>IFERROR(HYPERLINK("#Main!A"&amp;MATCH(A104,Main!A:A,0),"Open"),HYPERLINK("#Main!A1","Open"))</f>
        <v/>
      </c>
      <c r="R104">
        <f>IFERROR(HYPERLINK("#Technical!A"&amp;MATCH(A104,Technical!A:A,0),"Open"),HYPERLINK("#Technical!A1","Open"))</f>
        <v/>
      </c>
    </row>
    <row r="105" ht="30" customHeight="1">
      <c r="A105" s="33" t="inlineStr">
        <is>
          <t>https://africanmarketingconfederation.org/amc-conference-2023/gallery/</t>
        </is>
      </c>
      <c r="B105" s="6" t="inlineStr">
        <is>
          <t>Readability</t>
        </is>
      </c>
      <c r="C105" s="25" t="inlineStr">
        <is>
          <t>Warning</t>
        </is>
      </c>
      <c r="D105" s="6" t="inlineStr">
        <is>
          <t>Thin content</t>
        </is>
      </c>
      <c r="E105" s="6" t="n">
        <v>67</v>
      </c>
      <c r="F105" s="6" t="n">
        <v>82</v>
      </c>
      <c r="G105" s="6" t="inlineStr">
        <is>
          <t>&gt;=300 words (quality first)</t>
        </is>
      </c>
      <c r="H105" s="6" t="inlineStr">
        <is>
          <t>Expand page copy with useful, unique sections that answer key user questions.</t>
        </is>
      </c>
      <c r="I105" s="31" t="inlineStr">
        <is>
          <t>Content</t>
        </is>
      </c>
      <c r="J105" s="6" t="inlineStr">
        <is>
          <t>Word Count</t>
        </is>
      </c>
      <c r="K105" s="6" t="inlineStr">
        <is>
          <t>Yes</t>
        </is>
      </c>
      <c r="L105" s="6" t="inlineStr">
        <is>
          <t>Copy Writer</t>
        </is>
      </c>
      <c r="M105" s="25" t="inlineStr">
        <is>
          <t>Open</t>
        </is>
      </c>
      <c r="N105" s="6" t="n">
        <v>4</v>
      </c>
      <c r="O105" s="6" t="inlineStr">
        <is>
          <t>https://africanmarketingconfederation.org/amc-conference-2023/gallery/::aioseo_thin_content</t>
        </is>
      </c>
      <c r="P105" s="6" t="inlineStr">
        <is>
          <t>Low-content pages can struggle to satisfy intent and rank competitively.</t>
        </is>
      </c>
      <c r="Q105">
        <f>IFERROR(HYPERLINK("#Main!A"&amp;MATCH(A105,Main!A:A,0),"Open"),HYPERLINK("#Main!A1","Open"))</f>
        <v/>
      </c>
      <c r="R105">
        <f>IFERROR(HYPERLINK("#Technical!A"&amp;MATCH(A105,Technical!A:A,0),"Open"),HYPERLINK("#Technical!A1","Open"))</f>
        <v/>
      </c>
    </row>
    <row r="106" ht="30" customHeight="1">
      <c r="A106" s="33" t="inlineStr">
        <is>
          <t>https://africanmarketingconfederation.org/amc-conference-2023/partners/</t>
        </is>
      </c>
      <c r="B106" s="24" t="inlineStr">
        <is>
          <t>Readability</t>
        </is>
      </c>
      <c r="C106" s="25" t="inlineStr">
        <is>
          <t>Warning</t>
        </is>
      </c>
      <c r="D106" s="24" t="inlineStr">
        <is>
          <t>Thin content</t>
        </is>
      </c>
      <c r="E106" s="24" t="n">
        <v>67</v>
      </c>
      <c r="F106" s="24" t="n">
        <v>72</v>
      </c>
      <c r="G106" s="24" t="inlineStr">
        <is>
          <t>&gt;=300 words (quality first)</t>
        </is>
      </c>
      <c r="H106" s="24" t="inlineStr">
        <is>
          <t>Expand page copy with useful, unique sections that answer key user questions.</t>
        </is>
      </c>
      <c r="I106" s="28" t="inlineStr">
        <is>
          <t>Content</t>
        </is>
      </c>
      <c r="J106" s="24" t="inlineStr">
        <is>
          <t>Word Count</t>
        </is>
      </c>
      <c r="K106" s="24" t="inlineStr">
        <is>
          <t>Yes</t>
        </is>
      </c>
      <c r="L106" s="24" t="inlineStr">
        <is>
          <t>Copy Writer</t>
        </is>
      </c>
      <c r="M106" s="25" t="inlineStr">
        <is>
          <t>Open</t>
        </is>
      </c>
      <c r="N106" s="24" t="n">
        <v>4</v>
      </c>
      <c r="O106" s="24" t="inlineStr">
        <is>
          <t>https://africanmarketingconfederation.org/amc-conference-2023/partners/::aioseo_thin_content</t>
        </is>
      </c>
      <c r="P106" s="24" t="inlineStr">
        <is>
          <t>Low-content pages can struggle to satisfy intent and rank competitively.</t>
        </is>
      </c>
      <c r="Q106">
        <f>IFERROR(HYPERLINK("#Main!A"&amp;MATCH(A106,Main!A:A,0),"Open"),HYPERLINK("#Main!A1","Open"))</f>
        <v/>
      </c>
      <c r="R106">
        <f>IFERROR(HYPERLINK("#Technical!A"&amp;MATCH(A106,Technical!A:A,0),"Open"),HYPERLINK("#Technical!A1","Open"))</f>
        <v/>
      </c>
    </row>
    <row r="107" ht="30" customHeight="1">
      <c r="A107" s="33" t="inlineStr">
        <is>
          <t>https://africanmarketingconfederation.org/amc-conference-2024-sponsors-packages/</t>
        </is>
      </c>
      <c r="B107" s="6" t="inlineStr">
        <is>
          <t>Readability</t>
        </is>
      </c>
      <c r="C107" s="25" t="inlineStr">
        <is>
          <t>Warning</t>
        </is>
      </c>
      <c r="D107" s="6" t="inlineStr">
        <is>
          <t>Thin content</t>
        </is>
      </c>
      <c r="E107" s="6" t="n">
        <v>67</v>
      </c>
      <c r="F107" s="6" t="n">
        <v>145</v>
      </c>
      <c r="G107" s="6" t="inlineStr">
        <is>
          <t>&gt;=300 words (quality first)</t>
        </is>
      </c>
      <c r="H107" s="6" t="inlineStr">
        <is>
          <t>Expand page copy with useful, unique sections that answer key user questions.</t>
        </is>
      </c>
      <c r="I107" s="31" t="inlineStr">
        <is>
          <t>Content</t>
        </is>
      </c>
      <c r="J107" s="6" t="inlineStr">
        <is>
          <t>Word Count</t>
        </is>
      </c>
      <c r="K107" s="6" t="inlineStr">
        <is>
          <t>Yes</t>
        </is>
      </c>
      <c r="L107" s="6" t="inlineStr">
        <is>
          <t>Copy Writer</t>
        </is>
      </c>
      <c r="M107" s="25" t="inlineStr">
        <is>
          <t>Open</t>
        </is>
      </c>
      <c r="N107" s="6" t="n">
        <v>4</v>
      </c>
      <c r="O107" s="6" t="inlineStr">
        <is>
          <t>https://africanmarketingconfederation.org/amc-conference-2024-sponsors-packages/::aioseo_thin_content</t>
        </is>
      </c>
      <c r="P107" s="6" t="inlineStr">
        <is>
          <t>Low-content pages can struggle to satisfy intent and rank competitively.</t>
        </is>
      </c>
      <c r="Q107">
        <f>IFERROR(HYPERLINK("#Main!A"&amp;MATCH(A107,Main!A:A,0),"Open"),HYPERLINK("#Main!A1","Open"))</f>
        <v/>
      </c>
      <c r="R107">
        <f>IFERROR(HYPERLINK("#Technical!A"&amp;MATCH(A107,Technical!A:A,0),"Open"),HYPERLINK("#Technical!A1","Open"))</f>
        <v/>
      </c>
    </row>
    <row r="108" ht="30" customHeight="1">
      <c r="A108" s="33" t="inlineStr">
        <is>
          <t>https://africanmarketingconfederation.org/amc-conference-2026-awards-nominations-thank-you/</t>
        </is>
      </c>
      <c r="B108" s="24" t="inlineStr">
        <is>
          <t>Readability</t>
        </is>
      </c>
      <c r="C108" s="25" t="inlineStr">
        <is>
          <t>Warning</t>
        </is>
      </c>
      <c r="D108" s="24" t="inlineStr">
        <is>
          <t>Thin content</t>
        </is>
      </c>
      <c r="E108" s="24" t="n">
        <v>67</v>
      </c>
      <c r="F108" s="24" t="n">
        <v>233</v>
      </c>
      <c r="G108" s="24" t="inlineStr">
        <is>
          <t>&gt;=300 words (quality first)</t>
        </is>
      </c>
      <c r="H108" s="24" t="inlineStr">
        <is>
          <t>Expand page copy with useful, unique sections that answer key user questions.</t>
        </is>
      </c>
      <c r="I108" s="28" t="inlineStr">
        <is>
          <t>Content</t>
        </is>
      </c>
      <c r="J108" s="24" t="inlineStr">
        <is>
          <t>Word Count</t>
        </is>
      </c>
      <c r="K108" s="24" t="inlineStr">
        <is>
          <t>Yes</t>
        </is>
      </c>
      <c r="L108" s="24" t="inlineStr">
        <is>
          <t>Copy Writer</t>
        </is>
      </c>
      <c r="M108" s="25" t="inlineStr">
        <is>
          <t>Open</t>
        </is>
      </c>
      <c r="N108" s="24" t="n">
        <v>4</v>
      </c>
      <c r="O108" s="24" t="inlineStr">
        <is>
          <t>https://africanmarketingconfederation.org/amc-conference-2026-awards-nominations-thank-you/::aioseo_thin_content</t>
        </is>
      </c>
      <c r="P108" s="24" t="inlineStr">
        <is>
          <t>Low-content pages can struggle to satisfy intent and rank competitively.</t>
        </is>
      </c>
      <c r="Q108">
        <f>IFERROR(HYPERLINK("#Main!A"&amp;MATCH(A108,Main!A:A,0),"Open"),HYPERLINK("#Main!A1","Open"))</f>
        <v/>
      </c>
      <c r="R108">
        <f>IFERROR(HYPERLINK("#Technical!A"&amp;MATCH(A108,Technical!A:A,0),"Open"),HYPERLINK("#Technical!A1","Open"))</f>
        <v/>
      </c>
    </row>
    <row r="109" ht="30" customHeight="1">
      <c r="A109" s="33" t="inlineStr">
        <is>
          <t>https://africanmarketingconfederation.org/amc-conference-2026-zambia-thank-you/</t>
        </is>
      </c>
      <c r="B109" s="6" t="inlineStr">
        <is>
          <t>Readability</t>
        </is>
      </c>
      <c r="C109" s="25" t="inlineStr">
        <is>
          <t>Warning</t>
        </is>
      </c>
      <c r="D109" s="6" t="inlineStr">
        <is>
          <t>Thin content</t>
        </is>
      </c>
      <c r="E109" s="6" t="n">
        <v>67</v>
      </c>
      <c r="F109" s="6" t="n">
        <v>216</v>
      </c>
      <c r="G109" s="6" t="inlineStr">
        <is>
          <t>&gt;=300 words (quality first)</t>
        </is>
      </c>
      <c r="H109" s="6" t="inlineStr">
        <is>
          <t>Expand page copy with useful, unique sections that answer key user questions.</t>
        </is>
      </c>
      <c r="I109" s="31" t="inlineStr">
        <is>
          <t>Content</t>
        </is>
      </c>
      <c r="J109" s="6" t="inlineStr">
        <is>
          <t>Word Count</t>
        </is>
      </c>
      <c r="K109" s="6" t="inlineStr">
        <is>
          <t>Yes</t>
        </is>
      </c>
      <c r="L109" s="6" t="inlineStr">
        <is>
          <t>Copy Writer</t>
        </is>
      </c>
      <c r="M109" s="25" t="inlineStr">
        <is>
          <t>Open</t>
        </is>
      </c>
      <c r="N109" s="6" t="n">
        <v>4</v>
      </c>
      <c r="O109" s="6" t="inlineStr">
        <is>
          <t>https://africanmarketingconfederation.org/amc-conference-2026-zambia-thank-you/::aioseo_thin_content</t>
        </is>
      </c>
      <c r="P109" s="6" t="inlineStr">
        <is>
          <t>Low-content pages can struggle to satisfy intent and rank competitively.</t>
        </is>
      </c>
      <c r="Q109">
        <f>IFERROR(HYPERLINK("#Main!A"&amp;MATCH(A109,Main!A:A,0),"Open"),HYPERLINK("#Main!A1","Open"))</f>
        <v/>
      </c>
      <c r="R109">
        <f>IFERROR(HYPERLINK("#Technical!A"&amp;MATCH(A109,Technical!A:A,0),"Open"),HYPERLINK("#Technical!A1","Open"))</f>
        <v/>
      </c>
    </row>
    <row r="110" ht="30" customHeight="1">
      <c r="A110" s="33" t="inlineStr">
        <is>
          <t>https://africanmarketingconfederation.org/amc-conference-programme/</t>
        </is>
      </c>
      <c r="B110" s="24" t="inlineStr">
        <is>
          <t>Readability</t>
        </is>
      </c>
      <c r="C110" s="25" t="inlineStr">
        <is>
          <t>Warning</t>
        </is>
      </c>
      <c r="D110" s="24" t="inlineStr">
        <is>
          <t>Missing H1 heading</t>
        </is>
      </c>
      <c r="E110" s="24" t="n">
        <v>67</v>
      </c>
      <c r="F110" s="24" t="n">
        <v>0</v>
      </c>
      <c r="G110" s="24" t="inlineStr">
        <is>
          <t>Exactly 1 descriptive H1</t>
        </is>
      </c>
      <c r="H110" s="24" t="inlineStr">
        <is>
          <t>Update page content to include a single descriptive H1 aligned to primary intent.</t>
        </is>
      </c>
      <c r="I110" s="28" t="inlineStr">
        <is>
          <t>Content</t>
        </is>
      </c>
      <c r="J110" s="24" t="inlineStr">
        <is>
          <t>Missing H1 Flag</t>
        </is>
      </c>
      <c r="K110" s="24" t="inlineStr">
        <is>
          <t>Yes</t>
        </is>
      </c>
      <c r="L110" s="24" t="inlineStr">
        <is>
          <t>Copy Writer</t>
        </is>
      </c>
      <c r="M110" s="25" t="inlineStr">
        <is>
          <t>Open</t>
        </is>
      </c>
      <c r="N110" s="24" t="n">
        <v>4</v>
      </c>
      <c r="O110" s="24" t="inlineStr">
        <is>
          <t>https://africanmarketingconfederation.org/amc-conference-programme/::aioseo_missing_h1_heading</t>
        </is>
      </c>
      <c r="P110" s="24" t="inlineStr">
        <is>
          <t>A missing H1 weakens topical clarity for users and crawlers.</t>
        </is>
      </c>
      <c r="Q110">
        <f>IFERROR(HYPERLINK("#Main!A"&amp;MATCH(A110,Main!A:A,0),"Open"),HYPERLINK("#Main!A1","Open"))</f>
        <v/>
      </c>
      <c r="R110">
        <f>IFERROR(HYPERLINK("#Technical!A"&amp;MATCH(A110,Technical!A:A,0),"Open"),HYPERLINK("#Technical!A1","Open"))</f>
        <v/>
      </c>
    </row>
    <row r="111" ht="30" customHeight="1">
      <c r="A111" s="33" t="inlineStr">
        <is>
          <t>https://africanmarketingconfederation.org/amc-conference-sponsors/</t>
        </is>
      </c>
      <c r="B111" s="6" t="inlineStr">
        <is>
          <t>Readability</t>
        </is>
      </c>
      <c r="C111" s="25" t="inlineStr">
        <is>
          <t>Warning</t>
        </is>
      </c>
      <c r="D111" s="6" t="inlineStr">
        <is>
          <t>Thin content</t>
        </is>
      </c>
      <c r="E111" s="6" t="n">
        <v>67</v>
      </c>
      <c r="F111" s="6" t="n">
        <v>0</v>
      </c>
      <c r="G111" s="6" t="inlineStr">
        <is>
          <t>&gt;=300 words (quality first)</t>
        </is>
      </c>
      <c r="H111" s="6" t="inlineStr">
        <is>
          <t>Expand page copy with useful, unique sections that answer key user questions.</t>
        </is>
      </c>
      <c r="I111" s="31" t="inlineStr">
        <is>
          <t>Content</t>
        </is>
      </c>
      <c r="J111" s="6" t="inlineStr">
        <is>
          <t>Word Count</t>
        </is>
      </c>
      <c r="K111" s="6" t="inlineStr">
        <is>
          <t>Yes</t>
        </is>
      </c>
      <c r="L111" s="6" t="inlineStr">
        <is>
          <t>Copy Writer</t>
        </is>
      </c>
      <c r="M111" s="25" t="inlineStr">
        <is>
          <t>Open</t>
        </is>
      </c>
      <c r="N111" s="6" t="n">
        <v>4</v>
      </c>
      <c r="O111" s="6" t="inlineStr">
        <is>
          <t>https://africanmarketingconfederation.org/amc-conference-sponsors/::aioseo_thin_content</t>
        </is>
      </c>
      <c r="P111" s="6" t="inlineStr">
        <is>
          <t>Low-content pages can struggle to satisfy intent and rank competitively.</t>
        </is>
      </c>
      <c r="Q111">
        <f>IFERROR(HYPERLINK("#Main!A"&amp;MATCH(A111,Main!A:A,0),"Open"),HYPERLINK("#Main!A1","Open"))</f>
        <v/>
      </c>
      <c r="R111">
        <f>IFERROR(HYPERLINK("#Technical!A"&amp;MATCH(A111,Technical!A:A,0),"Open"),HYPERLINK("#Technical!A1","Open"))</f>
        <v/>
      </c>
    </row>
    <row r="112" ht="30" customHeight="1">
      <c r="A112" s="33" t="inlineStr">
        <is>
          <t>https://africanmarketingconfederation.org/amc-forum-payments/</t>
        </is>
      </c>
      <c r="B112" s="24" t="inlineStr">
        <is>
          <t>Readability</t>
        </is>
      </c>
      <c r="C112" s="25" t="inlineStr">
        <is>
          <t>Warning</t>
        </is>
      </c>
      <c r="D112" s="24" t="inlineStr">
        <is>
          <t>Missing H1 heading</t>
        </is>
      </c>
      <c r="E112" s="24" t="n">
        <v>67</v>
      </c>
      <c r="F112" s="24" t="n">
        <v>0</v>
      </c>
      <c r="G112" s="24" t="inlineStr">
        <is>
          <t>Exactly 1 descriptive H1</t>
        </is>
      </c>
      <c r="H112" s="24" t="inlineStr">
        <is>
          <t>Update page content to include a single descriptive H1 aligned to primary intent.</t>
        </is>
      </c>
      <c r="I112" s="28" t="inlineStr">
        <is>
          <t>Content</t>
        </is>
      </c>
      <c r="J112" s="24" t="inlineStr">
        <is>
          <t>Missing H1 Flag</t>
        </is>
      </c>
      <c r="K112" s="24" t="inlineStr">
        <is>
          <t>Yes</t>
        </is>
      </c>
      <c r="L112" s="24" t="inlineStr">
        <is>
          <t>Copy Writer</t>
        </is>
      </c>
      <c r="M112" s="25" t="inlineStr">
        <is>
          <t>Open</t>
        </is>
      </c>
      <c r="N112" s="24" t="n">
        <v>4</v>
      </c>
      <c r="O112" s="24" t="inlineStr">
        <is>
          <t>https://africanmarketingconfederation.org/amc-forum-payments/::aioseo_missing_h1_heading</t>
        </is>
      </c>
      <c r="P112" s="24" t="inlineStr">
        <is>
          <t>A missing H1 weakens topical clarity for users and crawlers.</t>
        </is>
      </c>
      <c r="Q112">
        <f>IFERROR(HYPERLINK("#Main!A"&amp;MATCH(A112,Main!A:A,0),"Open"),HYPERLINK("#Main!A1","Open"))</f>
        <v/>
      </c>
      <c r="R112">
        <f>IFERROR(HYPERLINK("#Technical!A"&amp;MATCH(A112,Technical!A:A,0),"Open"),HYPERLINK("#Technical!A1","Open"))</f>
        <v/>
      </c>
    </row>
    <row r="113" ht="30" customHeight="1">
      <c r="A113" s="33" t="inlineStr">
        <is>
          <t>https://africanmarketingconfederation.org/amc-forum-payments/</t>
        </is>
      </c>
      <c r="B113" s="6" t="inlineStr">
        <is>
          <t>Readability</t>
        </is>
      </c>
      <c r="C113" s="25" t="inlineStr">
        <is>
          <t>Warning</t>
        </is>
      </c>
      <c r="D113" s="6" t="inlineStr">
        <is>
          <t>Thin content</t>
        </is>
      </c>
      <c r="E113" s="6" t="n">
        <v>67</v>
      </c>
      <c r="F113" s="6" t="n">
        <v>71</v>
      </c>
      <c r="G113" s="6" t="inlineStr">
        <is>
          <t>&gt;=300 words (quality first)</t>
        </is>
      </c>
      <c r="H113" s="6" t="inlineStr">
        <is>
          <t>Expand page copy with useful, unique sections that answer key user questions.</t>
        </is>
      </c>
      <c r="I113" s="31" t="inlineStr">
        <is>
          <t>Content</t>
        </is>
      </c>
      <c r="J113" s="6" t="inlineStr">
        <is>
          <t>Word Count</t>
        </is>
      </c>
      <c r="K113" s="6" t="inlineStr">
        <is>
          <t>Yes</t>
        </is>
      </c>
      <c r="L113" s="6" t="inlineStr">
        <is>
          <t>Copy Writer</t>
        </is>
      </c>
      <c r="M113" s="25" t="inlineStr">
        <is>
          <t>Open</t>
        </is>
      </c>
      <c r="N113" s="6" t="n">
        <v>4</v>
      </c>
      <c r="O113" s="6" t="inlineStr">
        <is>
          <t>https://africanmarketingconfederation.org/amc-forum-payments/::aioseo_thin_content</t>
        </is>
      </c>
      <c r="P113" s="6" t="inlineStr">
        <is>
          <t>Low-content pages can struggle to satisfy intent and rank competitively.</t>
        </is>
      </c>
      <c r="Q113">
        <f>IFERROR(HYPERLINK("#Main!A"&amp;MATCH(A113,Main!A:A,0),"Open"),HYPERLINK("#Main!A1","Open"))</f>
        <v/>
      </c>
      <c r="R113">
        <f>IFERROR(HYPERLINK("#Technical!A"&amp;MATCH(A113,Technical!A:A,0),"Open"),HYPERLINK("#Technical!A1","Open"))</f>
        <v/>
      </c>
    </row>
    <row r="114" ht="30" customHeight="1">
      <c r="A114" s="33" t="inlineStr">
        <is>
          <t>https://africanmarketingconfederation.org/amc-launch-event-zambia-thank-you-2026/</t>
        </is>
      </c>
      <c r="B114" s="24" t="inlineStr">
        <is>
          <t>Readability</t>
        </is>
      </c>
      <c r="C114" s="25" t="inlineStr">
        <is>
          <t>Warning</t>
        </is>
      </c>
      <c r="D114" s="24" t="inlineStr">
        <is>
          <t>Thin content</t>
        </is>
      </c>
      <c r="E114" s="24" t="n">
        <v>67</v>
      </c>
      <c r="F114" s="24" t="n">
        <v>229</v>
      </c>
      <c r="G114" s="24" t="inlineStr">
        <is>
          <t>&gt;=300 words (quality first)</t>
        </is>
      </c>
      <c r="H114" s="24" t="inlineStr">
        <is>
          <t>Expand page copy with useful, unique sections that answer key user questions.</t>
        </is>
      </c>
      <c r="I114" s="28" t="inlineStr">
        <is>
          <t>Content</t>
        </is>
      </c>
      <c r="J114" s="24" t="inlineStr">
        <is>
          <t>Word Count</t>
        </is>
      </c>
      <c r="K114" s="24" t="inlineStr">
        <is>
          <t>Yes</t>
        </is>
      </c>
      <c r="L114" s="24" t="inlineStr">
        <is>
          <t>Copy Writer</t>
        </is>
      </c>
      <c r="M114" s="25" t="inlineStr">
        <is>
          <t>Open</t>
        </is>
      </c>
      <c r="N114" s="24" t="n">
        <v>4</v>
      </c>
      <c r="O114" s="24" t="inlineStr">
        <is>
          <t>https://africanmarketingconfederation.org/amc-launch-event-zambia-thank-you-2026/::aioseo_thin_content</t>
        </is>
      </c>
      <c r="P114" s="24" t="inlineStr">
        <is>
          <t>Low-content pages can struggle to satisfy intent and rank competitively.</t>
        </is>
      </c>
      <c r="Q114">
        <f>IFERROR(HYPERLINK("#Main!A"&amp;MATCH(A114,Main!A:A,0),"Open"),HYPERLINK("#Main!A1","Open"))</f>
        <v/>
      </c>
      <c r="R114">
        <f>IFERROR(HYPERLINK("#Technical!A"&amp;MATCH(A114,Technical!A:A,0),"Open"),HYPERLINK("#Technical!A1","Open"))</f>
        <v/>
      </c>
    </row>
    <row r="115" ht="45" customHeight="1">
      <c r="A115" s="33" t="inlineStr">
        <is>
          <t>https://africanmarketingconfederation.org/amc-marketing-conference-2024/amc-conference-2025-ghana-sponsors/</t>
        </is>
      </c>
      <c r="B115" s="6" t="inlineStr">
        <is>
          <t>Readability</t>
        </is>
      </c>
      <c r="C115" s="25" t="inlineStr">
        <is>
          <t>Warning</t>
        </is>
      </c>
      <c r="D115" s="6" t="inlineStr">
        <is>
          <t>Thin content</t>
        </is>
      </c>
      <c r="E115" s="6" t="n">
        <v>67</v>
      </c>
      <c r="F115" s="6" t="n">
        <v>106</v>
      </c>
      <c r="G115" s="6" t="inlineStr">
        <is>
          <t>&gt;=300 words (quality first)</t>
        </is>
      </c>
      <c r="H115" s="6" t="inlineStr">
        <is>
          <t>Expand page copy with useful, unique sections that answer key user questions.</t>
        </is>
      </c>
      <c r="I115" s="31" t="inlineStr">
        <is>
          <t>Content</t>
        </is>
      </c>
      <c r="J115" s="6" t="inlineStr">
        <is>
          <t>Word Count</t>
        </is>
      </c>
      <c r="K115" s="6" t="inlineStr">
        <is>
          <t>Yes</t>
        </is>
      </c>
      <c r="L115" s="6" t="inlineStr">
        <is>
          <t>Copy Writer</t>
        </is>
      </c>
      <c r="M115" s="25" t="inlineStr">
        <is>
          <t>Open</t>
        </is>
      </c>
      <c r="N115" s="6" t="n">
        <v>4</v>
      </c>
      <c r="O115" s="6" t="inlineStr">
        <is>
          <t>https://africanmarketingconfederation.org/amc-marketing-conference-2024/amc-conference-2025-ghana-sponsors/::aioseo_thin_content</t>
        </is>
      </c>
      <c r="P115" s="6" t="inlineStr">
        <is>
          <t>Low-content pages can struggle to satisfy intent and rank competitively.</t>
        </is>
      </c>
      <c r="Q115">
        <f>IFERROR(HYPERLINK("#Main!A"&amp;MATCH(A115,Main!A:A,0),"Open"),HYPERLINK("#Main!A1","Open"))</f>
        <v/>
      </c>
      <c r="R115">
        <f>IFERROR(HYPERLINK("#Technical!A"&amp;MATCH(A115,Technical!A:A,0),"Open"),HYPERLINK("#Technical!A1","Open"))</f>
        <v/>
      </c>
    </row>
    <row r="116" ht="30" customHeight="1">
      <c r="A116" s="33" t="inlineStr">
        <is>
          <t>https://africanmarketingconfederation.org/amc-marketing-conference-2024/amc-programme-2025/</t>
        </is>
      </c>
      <c r="B116" s="24" t="inlineStr">
        <is>
          <t>Readability</t>
        </is>
      </c>
      <c r="C116" s="25" t="inlineStr">
        <is>
          <t>Warning</t>
        </is>
      </c>
      <c r="D116" s="24" t="inlineStr">
        <is>
          <t>Thin content</t>
        </is>
      </c>
      <c r="E116" s="24" t="n">
        <v>67</v>
      </c>
      <c r="F116" s="24" t="n">
        <v>126</v>
      </c>
      <c r="G116" s="24" t="inlineStr">
        <is>
          <t>&gt;=300 words (quality first)</t>
        </is>
      </c>
      <c r="H116" s="24" t="inlineStr">
        <is>
          <t>Expand page copy with useful, unique sections that answer key user questions.</t>
        </is>
      </c>
      <c r="I116" s="28" t="inlineStr">
        <is>
          <t>Content</t>
        </is>
      </c>
      <c r="J116" s="24" t="inlineStr">
        <is>
          <t>Word Count</t>
        </is>
      </c>
      <c r="K116" s="24" t="inlineStr">
        <is>
          <t>Yes</t>
        </is>
      </c>
      <c r="L116" s="24" t="inlineStr">
        <is>
          <t>Copy Writer</t>
        </is>
      </c>
      <c r="M116" s="25" t="inlineStr">
        <is>
          <t>Open</t>
        </is>
      </c>
      <c r="N116" s="24" t="n">
        <v>4</v>
      </c>
      <c r="O116" s="24" t="inlineStr">
        <is>
          <t>https://africanmarketingconfederation.org/amc-marketing-conference-2024/amc-programme-2025/::aioseo_thin_content</t>
        </is>
      </c>
      <c r="P116" s="24" t="inlineStr">
        <is>
          <t>Low-content pages can struggle to satisfy intent and rank competitively.</t>
        </is>
      </c>
      <c r="Q116">
        <f>IFERROR(HYPERLINK("#Main!A"&amp;MATCH(A116,Main!A:A,0),"Open"),HYPERLINK("#Main!A1","Open"))</f>
        <v/>
      </c>
      <c r="R116">
        <f>IFERROR(HYPERLINK("#Technical!A"&amp;MATCH(A116,Technical!A:A,0),"Open"),HYPERLINK("#Technical!A1","Open"))</f>
        <v/>
      </c>
    </row>
    <row r="117" ht="45" customHeight="1">
      <c r="A117" s="33" t="inlineStr">
        <is>
          <t>https://africanmarketingconfederation.org/amc-marketing-conference-2024/amc-speakers-presentations-2024/</t>
        </is>
      </c>
      <c r="B117" s="6" t="inlineStr">
        <is>
          <t>Readability</t>
        </is>
      </c>
      <c r="C117" s="25" t="inlineStr">
        <is>
          <t>Warning</t>
        </is>
      </c>
      <c r="D117" s="6" t="inlineStr">
        <is>
          <t>Thin content</t>
        </is>
      </c>
      <c r="E117" s="6" t="n">
        <v>67</v>
      </c>
      <c r="F117" s="6" t="n">
        <v>66</v>
      </c>
      <c r="G117" s="6" t="inlineStr">
        <is>
          <t>&gt;=300 words (quality first)</t>
        </is>
      </c>
      <c r="H117" s="6" t="inlineStr">
        <is>
          <t>Expand page copy with useful, unique sections that answer key user questions.</t>
        </is>
      </c>
      <c r="I117" s="31" t="inlineStr">
        <is>
          <t>Content</t>
        </is>
      </c>
      <c r="J117" s="6" t="inlineStr">
        <is>
          <t>Word Count</t>
        </is>
      </c>
      <c r="K117" s="6" t="inlineStr">
        <is>
          <t>Yes</t>
        </is>
      </c>
      <c r="L117" s="6" t="inlineStr">
        <is>
          <t>Copy Writer</t>
        </is>
      </c>
      <c r="M117" s="25" t="inlineStr">
        <is>
          <t>Open</t>
        </is>
      </c>
      <c r="N117" s="6" t="n">
        <v>4</v>
      </c>
      <c r="O117" s="6" t="inlineStr">
        <is>
          <t>https://africanmarketingconfederation.org/amc-marketing-conference-2024/amc-speakers-presentations-2024/::aioseo_thin_content</t>
        </is>
      </c>
      <c r="P117" s="6" t="inlineStr">
        <is>
          <t>Low-content pages can struggle to satisfy intent and rank competitively.</t>
        </is>
      </c>
      <c r="Q117">
        <f>IFERROR(HYPERLINK("#Main!A"&amp;MATCH(A117,Main!A:A,0),"Open"),HYPERLINK("#Main!A1","Open"))</f>
        <v/>
      </c>
      <c r="R117">
        <f>IFERROR(HYPERLINK("#Technical!A"&amp;MATCH(A117,Technical!A:A,0),"Open"),HYPERLINK("#Technical!A1","Open"))</f>
        <v/>
      </c>
    </row>
    <row r="118" ht="30" customHeight="1">
      <c r="A118" s="33" t="inlineStr">
        <is>
          <t>https://africanmarketingconfederation.org/amc-marketing-conference-2024/speakers-2024/</t>
        </is>
      </c>
      <c r="B118" s="24" t="inlineStr">
        <is>
          <t>Readability</t>
        </is>
      </c>
      <c r="C118" s="25" t="inlineStr">
        <is>
          <t>Warning</t>
        </is>
      </c>
      <c r="D118" s="24" t="inlineStr">
        <is>
          <t>Thin content</t>
        </is>
      </c>
      <c r="E118" s="24" t="n">
        <v>67</v>
      </c>
      <c r="F118" s="24" t="n">
        <v>0</v>
      </c>
      <c r="G118" s="24" t="inlineStr">
        <is>
          <t>&gt;=300 words (quality first)</t>
        </is>
      </c>
      <c r="H118" s="24" t="inlineStr">
        <is>
          <t>Expand page copy with useful, unique sections that answer key user questions.</t>
        </is>
      </c>
      <c r="I118" s="28" t="inlineStr">
        <is>
          <t>Content</t>
        </is>
      </c>
      <c r="J118" s="24" t="inlineStr">
        <is>
          <t>Word Count</t>
        </is>
      </c>
      <c r="K118" s="24" t="inlineStr">
        <is>
          <t>Yes</t>
        </is>
      </c>
      <c r="L118" s="24" t="inlineStr">
        <is>
          <t>Copy Writer</t>
        </is>
      </c>
      <c r="M118" s="25" t="inlineStr">
        <is>
          <t>Open</t>
        </is>
      </c>
      <c r="N118" s="24" t="n">
        <v>4</v>
      </c>
      <c r="O118" s="24" t="inlineStr">
        <is>
          <t>https://africanmarketingconfederation.org/amc-marketing-conference-2024/speakers-2024/::aioseo_thin_content</t>
        </is>
      </c>
      <c r="P118" s="24" t="inlineStr">
        <is>
          <t>Low-content pages can struggle to satisfy intent and rank competitively.</t>
        </is>
      </c>
      <c r="Q118">
        <f>IFERROR(HYPERLINK("#Main!A"&amp;MATCH(A118,Main!A:A,0),"Open"),HYPERLINK("#Main!A1","Open"))</f>
        <v/>
      </c>
      <c r="R118">
        <f>IFERROR(HYPERLINK("#Technical!A"&amp;MATCH(A118,Technical!A:A,0),"Open"),HYPERLINK("#Technical!A1","Open"))</f>
        <v/>
      </c>
    </row>
    <row r="119" ht="30" customHeight="1">
      <c r="A119" s="33" t="inlineStr">
        <is>
          <t>https://africanmarketingconfederation.org/amc-marketing-conference-2024/testimony-thank-you-page/</t>
        </is>
      </c>
      <c r="B119" s="6" t="inlineStr">
        <is>
          <t>Readability</t>
        </is>
      </c>
      <c r="C119" s="25" t="inlineStr">
        <is>
          <t>Warning</t>
        </is>
      </c>
      <c r="D119" s="6" t="inlineStr">
        <is>
          <t>Thin content</t>
        </is>
      </c>
      <c r="E119" s="6" t="n">
        <v>67</v>
      </c>
      <c r="F119" s="6" t="n">
        <v>66</v>
      </c>
      <c r="G119" s="6" t="inlineStr">
        <is>
          <t>&gt;=300 words (quality first)</t>
        </is>
      </c>
      <c r="H119" s="6" t="inlineStr">
        <is>
          <t>Expand page copy with useful, unique sections that answer key user questions.</t>
        </is>
      </c>
      <c r="I119" s="31" t="inlineStr">
        <is>
          <t>Content</t>
        </is>
      </c>
      <c r="J119" s="6" t="inlineStr">
        <is>
          <t>Word Count</t>
        </is>
      </c>
      <c r="K119" s="6" t="inlineStr">
        <is>
          <t>Yes</t>
        </is>
      </c>
      <c r="L119" s="6" t="inlineStr">
        <is>
          <t>Copy Writer</t>
        </is>
      </c>
      <c r="M119" s="25" t="inlineStr">
        <is>
          <t>Open</t>
        </is>
      </c>
      <c r="N119" s="6" t="n">
        <v>4</v>
      </c>
      <c r="O119" s="6" t="inlineStr">
        <is>
          <t>https://africanmarketingconfederation.org/amc-marketing-conference-2024/testimony-thank-you-page/::aioseo_thin_content</t>
        </is>
      </c>
      <c r="P119" s="6" t="inlineStr">
        <is>
          <t>Low-content pages can struggle to satisfy intent and rank competitively.</t>
        </is>
      </c>
      <c r="Q119">
        <f>IFERROR(HYPERLINK("#Main!A"&amp;MATCH(A119,Main!A:A,0),"Open"),HYPERLINK("#Main!A1","Open"))</f>
        <v/>
      </c>
      <c r="R119">
        <f>IFERROR(HYPERLINK("#Technical!A"&amp;MATCH(A119,Technical!A:A,0),"Open"),HYPERLINK("#Technical!A1","Open"))</f>
        <v/>
      </c>
    </row>
    <row r="120" ht="30" customHeight="1">
      <c r="A120" s="33" t="inlineStr">
        <is>
          <t>https://africanmarketingconfederation.org/amc-masterclass-bookings/</t>
        </is>
      </c>
      <c r="B120" s="24" t="inlineStr">
        <is>
          <t>Readability</t>
        </is>
      </c>
      <c r="C120" s="25" t="inlineStr">
        <is>
          <t>Warning</t>
        </is>
      </c>
      <c r="D120" s="24" t="inlineStr">
        <is>
          <t>Missing H1 heading</t>
        </is>
      </c>
      <c r="E120" s="24" t="n">
        <v>67</v>
      </c>
      <c r="F120" s="24" t="n">
        <v>0</v>
      </c>
      <c r="G120" s="24" t="inlineStr">
        <is>
          <t>Exactly 1 descriptive H1</t>
        </is>
      </c>
      <c r="H120" s="24" t="inlineStr">
        <is>
          <t>Update page content to include a single descriptive H1 aligned to primary intent.</t>
        </is>
      </c>
      <c r="I120" s="28" t="inlineStr">
        <is>
          <t>Content</t>
        </is>
      </c>
      <c r="J120" s="24" t="inlineStr">
        <is>
          <t>Missing H1 Flag</t>
        </is>
      </c>
      <c r="K120" s="24" t="inlineStr">
        <is>
          <t>Yes</t>
        </is>
      </c>
      <c r="L120" s="24" t="inlineStr">
        <is>
          <t>Copy Writer</t>
        </is>
      </c>
      <c r="M120" s="25" t="inlineStr">
        <is>
          <t>Open</t>
        </is>
      </c>
      <c r="N120" s="24" t="n">
        <v>4</v>
      </c>
      <c r="O120" s="24" t="inlineStr">
        <is>
          <t>https://africanmarketingconfederation.org/amc-masterclass-bookings/::aioseo_missing_h1_heading</t>
        </is>
      </c>
      <c r="P120" s="24" t="inlineStr">
        <is>
          <t>A missing H1 weakens topical clarity for users and crawlers.</t>
        </is>
      </c>
      <c r="Q120">
        <f>IFERROR(HYPERLINK("#Main!A"&amp;MATCH(A120,Main!A:A,0),"Open"),HYPERLINK("#Main!A1","Open"))</f>
        <v/>
      </c>
      <c r="R120">
        <f>IFERROR(HYPERLINK("#Technical!A"&amp;MATCH(A120,Technical!A:A,0),"Open"),HYPERLINK("#Technical!A1","Open"))</f>
        <v/>
      </c>
    </row>
    <row r="121" ht="30" customHeight="1">
      <c r="A121" s="33" t="inlineStr">
        <is>
          <t>https://africanmarketingconfederation.org/amc-masterclass-bookings/</t>
        </is>
      </c>
      <c r="B121" s="6" t="inlineStr">
        <is>
          <t>Readability</t>
        </is>
      </c>
      <c r="C121" s="25" t="inlineStr">
        <is>
          <t>Warning</t>
        </is>
      </c>
      <c r="D121" s="6" t="inlineStr">
        <is>
          <t>Thin content</t>
        </is>
      </c>
      <c r="E121" s="6" t="n">
        <v>67</v>
      </c>
      <c r="F121" s="6" t="n">
        <v>79</v>
      </c>
      <c r="G121" s="6" t="inlineStr">
        <is>
          <t>&gt;=300 words (quality first)</t>
        </is>
      </c>
      <c r="H121" s="6" t="inlineStr">
        <is>
          <t>Expand page copy with useful, unique sections that answer key user questions.</t>
        </is>
      </c>
      <c r="I121" s="31" t="inlineStr">
        <is>
          <t>Content</t>
        </is>
      </c>
      <c r="J121" s="6" t="inlineStr">
        <is>
          <t>Word Count</t>
        </is>
      </c>
      <c r="K121" s="6" t="inlineStr">
        <is>
          <t>Yes</t>
        </is>
      </c>
      <c r="L121" s="6" t="inlineStr">
        <is>
          <t>Copy Writer</t>
        </is>
      </c>
      <c r="M121" s="25" t="inlineStr">
        <is>
          <t>Open</t>
        </is>
      </c>
      <c r="N121" s="6" t="n">
        <v>4</v>
      </c>
      <c r="O121" s="6" t="inlineStr">
        <is>
          <t>https://africanmarketingconfederation.org/amc-masterclass-bookings/::aioseo_thin_content</t>
        </is>
      </c>
      <c r="P121" s="6" t="inlineStr">
        <is>
          <t>Low-content pages can struggle to satisfy intent and rank competitively.</t>
        </is>
      </c>
      <c r="Q121">
        <f>IFERROR(HYPERLINK("#Main!A"&amp;MATCH(A121,Main!A:A,0),"Open"),HYPERLINK("#Main!A1","Open"))</f>
        <v/>
      </c>
      <c r="R121">
        <f>IFERROR(HYPERLINK("#Technical!A"&amp;MATCH(A121,Technical!A:A,0),"Open"),HYPERLINK("#Technical!A1","Open"))</f>
        <v/>
      </c>
    </row>
    <row r="122" ht="30" customHeight="1">
      <c r="A122" s="33" t="inlineStr">
        <is>
          <t>https://africanmarketingconfederation.org/amc-masterclass-thank-you/</t>
        </is>
      </c>
      <c r="B122" s="24" t="inlineStr">
        <is>
          <t>Readability</t>
        </is>
      </c>
      <c r="C122" s="25" t="inlineStr">
        <is>
          <t>Warning</t>
        </is>
      </c>
      <c r="D122" s="24" t="inlineStr">
        <is>
          <t>Missing H1 heading</t>
        </is>
      </c>
      <c r="E122" s="24" t="n">
        <v>67</v>
      </c>
      <c r="F122" s="24" t="n">
        <v>0</v>
      </c>
      <c r="G122" s="24" t="inlineStr">
        <is>
          <t>Exactly 1 descriptive H1</t>
        </is>
      </c>
      <c r="H122" s="24" t="inlineStr">
        <is>
          <t>Update page content to include a single descriptive H1 aligned to primary intent.</t>
        </is>
      </c>
      <c r="I122" s="28" t="inlineStr">
        <is>
          <t>Content</t>
        </is>
      </c>
      <c r="J122" s="24" t="inlineStr">
        <is>
          <t>Missing H1 Flag</t>
        </is>
      </c>
      <c r="K122" s="24" t="inlineStr">
        <is>
          <t>Yes</t>
        </is>
      </c>
      <c r="L122" s="24" t="inlineStr">
        <is>
          <t>Copy Writer</t>
        </is>
      </c>
      <c r="M122" s="25" t="inlineStr">
        <is>
          <t>Open</t>
        </is>
      </c>
      <c r="N122" s="24" t="n">
        <v>4</v>
      </c>
      <c r="O122" s="24" t="inlineStr">
        <is>
          <t>https://africanmarketingconfederation.org/amc-masterclass-thank-you/::aioseo_missing_h1_heading</t>
        </is>
      </c>
      <c r="P122" s="24" t="inlineStr">
        <is>
          <t>A missing H1 weakens topical clarity for users and crawlers.</t>
        </is>
      </c>
      <c r="Q122">
        <f>IFERROR(HYPERLINK("#Main!A"&amp;MATCH(A122,Main!A:A,0),"Open"),HYPERLINK("#Main!A1","Open"))</f>
        <v/>
      </c>
      <c r="R122">
        <f>IFERROR(HYPERLINK("#Technical!A"&amp;MATCH(A122,Technical!A:A,0),"Open"),HYPERLINK("#Technical!A1","Open"))</f>
        <v/>
      </c>
    </row>
    <row r="123" ht="30" customHeight="1">
      <c r="A123" s="33" t="inlineStr">
        <is>
          <t>https://africanmarketingconfederation.org/amc-masterclass-thank-you/</t>
        </is>
      </c>
      <c r="B123" s="6" t="inlineStr">
        <is>
          <t>Readability</t>
        </is>
      </c>
      <c r="C123" s="25" t="inlineStr">
        <is>
          <t>Warning</t>
        </is>
      </c>
      <c r="D123" s="6" t="inlineStr">
        <is>
          <t>Thin content</t>
        </is>
      </c>
      <c r="E123" s="6" t="n">
        <v>67</v>
      </c>
      <c r="F123" s="6" t="n">
        <v>32</v>
      </c>
      <c r="G123" s="6" t="inlineStr">
        <is>
          <t>&gt;=300 words (quality first)</t>
        </is>
      </c>
      <c r="H123" s="6" t="inlineStr">
        <is>
          <t>Expand page copy with useful, unique sections that answer key user questions.</t>
        </is>
      </c>
      <c r="I123" s="31" t="inlineStr">
        <is>
          <t>Content</t>
        </is>
      </c>
      <c r="J123" s="6" t="inlineStr">
        <is>
          <t>Word Count</t>
        </is>
      </c>
      <c r="K123" s="6" t="inlineStr">
        <is>
          <t>Yes</t>
        </is>
      </c>
      <c r="L123" s="6" t="inlineStr">
        <is>
          <t>Copy Writer</t>
        </is>
      </c>
      <c r="M123" s="25" t="inlineStr">
        <is>
          <t>Open</t>
        </is>
      </c>
      <c r="N123" s="6" t="n">
        <v>4</v>
      </c>
      <c r="O123" s="6" t="inlineStr">
        <is>
          <t>https://africanmarketingconfederation.org/amc-masterclass-thank-you/::aioseo_thin_content</t>
        </is>
      </c>
      <c r="P123" s="6" t="inlineStr">
        <is>
          <t>Low-content pages can struggle to satisfy intent and rank competitively.</t>
        </is>
      </c>
      <c r="Q123">
        <f>IFERROR(HYPERLINK("#Main!A"&amp;MATCH(A123,Main!A:A,0),"Open"),HYPERLINK("#Main!A1","Open"))</f>
        <v/>
      </c>
      <c r="R123">
        <f>IFERROR(HYPERLINK("#Technical!A"&amp;MATCH(A123,Technical!A:A,0),"Open"),HYPERLINK("#Technical!A1","Open"))</f>
        <v/>
      </c>
    </row>
    <row r="124" ht="30" customHeight="1">
      <c r="A124" s="33" t="inlineStr">
        <is>
          <t>https://africanmarketingconfederation.org/amc-masterclass/</t>
        </is>
      </c>
      <c r="B124" s="24" t="inlineStr">
        <is>
          <t>Readability</t>
        </is>
      </c>
      <c r="C124" s="25" t="inlineStr">
        <is>
          <t>Warning</t>
        </is>
      </c>
      <c r="D124" s="24" t="inlineStr">
        <is>
          <t>Missing H1 heading</t>
        </is>
      </c>
      <c r="E124" s="24" t="n">
        <v>67</v>
      </c>
      <c r="F124" s="24" t="n">
        <v>0</v>
      </c>
      <c r="G124" s="24" t="inlineStr">
        <is>
          <t>Exactly 1 descriptive H1</t>
        </is>
      </c>
      <c r="H124" s="24" t="inlineStr">
        <is>
          <t>Update page content to include a single descriptive H1 aligned to primary intent.</t>
        </is>
      </c>
      <c r="I124" s="28" t="inlineStr">
        <is>
          <t>Content</t>
        </is>
      </c>
      <c r="J124" s="24" t="inlineStr">
        <is>
          <t>Missing H1 Flag</t>
        </is>
      </c>
      <c r="K124" s="24" t="inlineStr">
        <is>
          <t>Yes</t>
        </is>
      </c>
      <c r="L124" s="24" t="inlineStr">
        <is>
          <t>Copy Writer</t>
        </is>
      </c>
      <c r="M124" s="25" t="inlineStr">
        <is>
          <t>Open</t>
        </is>
      </c>
      <c r="N124" s="24" t="n">
        <v>4</v>
      </c>
      <c r="O124" s="24" t="inlineStr">
        <is>
          <t>https://africanmarketingconfederation.org/amc-masterclass/::aioseo_missing_h1_heading</t>
        </is>
      </c>
      <c r="P124" s="24" t="inlineStr">
        <is>
          <t>A missing H1 weakens topical clarity for users and crawlers.</t>
        </is>
      </c>
      <c r="Q124">
        <f>IFERROR(HYPERLINK("#Main!A"&amp;MATCH(A124,Main!A:A,0),"Open"),HYPERLINK("#Main!A1","Open"))</f>
        <v/>
      </c>
      <c r="R124">
        <f>IFERROR(HYPERLINK("#Technical!A"&amp;MATCH(A124,Technical!A:A,0),"Open"),HYPERLINK("#Technical!A1","Open"))</f>
        <v/>
      </c>
    </row>
    <row r="125" ht="30" customHeight="1">
      <c r="A125" s="33" t="inlineStr">
        <is>
          <t>https://africanmarketingconfederation.org/amc-masterclass/</t>
        </is>
      </c>
      <c r="B125" s="6" t="inlineStr">
        <is>
          <t>Readability</t>
        </is>
      </c>
      <c r="C125" s="25" t="inlineStr">
        <is>
          <t>Warning</t>
        </is>
      </c>
      <c r="D125" s="6" t="inlineStr">
        <is>
          <t>Thin content</t>
        </is>
      </c>
      <c r="E125" s="6" t="n">
        <v>67</v>
      </c>
      <c r="F125" s="6" t="n">
        <v>278</v>
      </c>
      <c r="G125" s="6" t="inlineStr">
        <is>
          <t>&gt;=300 words (quality first)</t>
        </is>
      </c>
      <c r="H125" s="6" t="inlineStr">
        <is>
          <t>Expand page copy with useful, unique sections that answer key user questions.</t>
        </is>
      </c>
      <c r="I125" s="31" t="inlineStr">
        <is>
          <t>Content</t>
        </is>
      </c>
      <c r="J125" s="6" t="inlineStr">
        <is>
          <t>Word Count</t>
        </is>
      </c>
      <c r="K125" s="6" t="inlineStr">
        <is>
          <t>Yes</t>
        </is>
      </c>
      <c r="L125" s="6" t="inlineStr">
        <is>
          <t>Copy Writer</t>
        </is>
      </c>
      <c r="M125" s="25" t="inlineStr">
        <is>
          <t>Open</t>
        </is>
      </c>
      <c r="N125" s="6" t="n">
        <v>4</v>
      </c>
      <c r="O125" s="6" t="inlineStr">
        <is>
          <t>https://africanmarketingconfederation.org/amc-masterclass/::aioseo_thin_content</t>
        </is>
      </c>
      <c r="P125" s="6" t="inlineStr">
        <is>
          <t>Low-content pages can struggle to satisfy intent and rank competitively.</t>
        </is>
      </c>
      <c r="Q125">
        <f>IFERROR(HYPERLINK("#Main!A"&amp;MATCH(A125,Main!A:A,0),"Open"),HYPERLINK("#Main!A1","Open"))</f>
        <v/>
      </c>
      <c r="R125">
        <f>IFERROR(HYPERLINK("#Technical!A"&amp;MATCH(A125,Technical!A:A,0),"Open"),HYPERLINK("#Technical!A1","Open"))</f>
        <v/>
      </c>
    </row>
    <row r="126" ht="30" customHeight="1">
      <c r="A126" s="33" t="inlineStr">
        <is>
          <t>https://africanmarketingconfederation.org/amc-relaunch-programme/</t>
        </is>
      </c>
      <c r="B126" s="24" t="inlineStr">
        <is>
          <t>Readability</t>
        </is>
      </c>
      <c r="C126" s="25" t="inlineStr">
        <is>
          <t>Warning</t>
        </is>
      </c>
      <c r="D126" s="24" t="inlineStr">
        <is>
          <t>Missing H1 heading</t>
        </is>
      </c>
      <c r="E126" s="24" t="n">
        <v>67</v>
      </c>
      <c r="F126" s="24" t="n">
        <v>0</v>
      </c>
      <c r="G126" s="24" t="inlineStr">
        <is>
          <t>Exactly 1 descriptive H1</t>
        </is>
      </c>
      <c r="H126" s="24" t="inlineStr">
        <is>
          <t>Update page content to include a single descriptive H1 aligned to primary intent.</t>
        </is>
      </c>
      <c r="I126" s="28" t="inlineStr">
        <is>
          <t>Content</t>
        </is>
      </c>
      <c r="J126" s="24" t="inlineStr">
        <is>
          <t>Missing H1 Flag</t>
        </is>
      </c>
      <c r="K126" s="24" t="inlineStr">
        <is>
          <t>Yes</t>
        </is>
      </c>
      <c r="L126" s="24" t="inlineStr">
        <is>
          <t>Copy Writer</t>
        </is>
      </c>
      <c r="M126" s="25" t="inlineStr">
        <is>
          <t>Open</t>
        </is>
      </c>
      <c r="N126" s="24" t="n">
        <v>4</v>
      </c>
      <c r="O126" s="24" t="inlineStr">
        <is>
          <t>https://africanmarketingconfederation.org/amc-relaunch-programme/::aioseo_missing_h1_heading</t>
        </is>
      </c>
      <c r="P126" s="24" t="inlineStr">
        <is>
          <t>A missing H1 weakens topical clarity for users and crawlers.</t>
        </is>
      </c>
      <c r="Q126">
        <f>IFERROR(HYPERLINK("#Main!A"&amp;MATCH(A126,Main!A:A,0),"Open"),HYPERLINK("#Main!A1","Open"))</f>
        <v/>
      </c>
      <c r="R126">
        <f>IFERROR(HYPERLINK("#Technical!A"&amp;MATCH(A126,Technical!A:A,0),"Open"),HYPERLINK("#Technical!A1","Open"))</f>
        <v/>
      </c>
    </row>
    <row r="127" ht="30" customHeight="1">
      <c r="A127" s="33" t="inlineStr">
        <is>
          <t>https://africanmarketingconfederation.org/certified-professional-marketer-africa/</t>
        </is>
      </c>
      <c r="B127" s="6" t="inlineStr">
        <is>
          <t>Readability</t>
        </is>
      </c>
      <c r="C127" s="25" t="inlineStr">
        <is>
          <t>Warning</t>
        </is>
      </c>
      <c r="D127" s="6" t="inlineStr">
        <is>
          <t>Missing H1 heading</t>
        </is>
      </c>
      <c r="E127" s="6" t="n">
        <v>67</v>
      </c>
      <c r="F127" s="6" t="n">
        <v>0</v>
      </c>
      <c r="G127" s="6" t="inlineStr">
        <is>
          <t>Exactly 1 descriptive H1</t>
        </is>
      </c>
      <c r="H127" s="6" t="inlineStr">
        <is>
          <t>Update page content to include a single descriptive H1 aligned to primary intent.</t>
        </is>
      </c>
      <c r="I127" s="31" t="inlineStr">
        <is>
          <t>Content</t>
        </is>
      </c>
      <c r="J127" s="6" t="inlineStr">
        <is>
          <t>Missing H1 Flag</t>
        </is>
      </c>
      <c r="K127" s="6" t="inlineStr">
        <is>
          <t>Yes</t>
        </is>
      </c>
      <c r="L127" s="6" t="inlineStr">
        <is>
          <t>Copy Writer</t>
        </is>
      </c>
      <c r="M127" s="25" t="inlineStr">
        <is>
          <t>Open</t>
        </is>
      </c>
      <c r="N127" s="6" t="n">
        <v>4</v>
      </c>
      <c r="O127" s="6" t="inlineStr">
        <is>
          <t>https://africanmarketingconfederation.org/certified-professional-marketer-africa/::aioseo_missing_h1_heading</t>
        </is>
      </c>
      <c r="P127" s="6" t="inlineStr">
        <is>
          <t>A missing H1 weakens topical clarity for users and crawlers.</t>
        </is>
      </c>
      <c r="Q127">
        <f>IFERROR(HYPERLINK("#Main!A"&amp;MATCH(A127,Main!A:A,0),"Open"),HYPERLINK("#Main!A1","Open"))</f>
        <v/>
      </c>
      <c r="R127">
        <f>IFERROR(HYPERLINK("#Technical!A"&amp;MATCH(A127,Technical!A:A,0),"Open"),HYPERLINK("#Technical!A1","Open"))</f>
        <v/>
      </c>
    </row>
    <row r="128" ht="30" customHeight="1">
      <c r="A128" s="33" t="inlineStr">
        <is>
          <t>https://africanmarketingconfederation.org/chartered-marketer-africa-final-submission-fee/</t>
        </is>
      </c>
      <c r="B128" s="24" t="inlineStr">
        <is>
          <t>Readability</t>
        </is>
      </c>
      <c r="C128" s="25" t="inlineStr">
        <is>
          <t>Warning</t>
        </is>
      </c>
      <c r="D128" s="24" t="inlineStr">
        <is>
          <t>Thin content</t>
        </is>
      </c>
      <c r="E128" s="24" t="n">
        <v>67</v>
      </c>
      <c r="F128" s="24" t="n">
        <v>147</v>
      </c>
      <c r="G128" s="24" t="inlineStr">
        <is>
          <t>&gt;=300 words (quality first)</t>
        </is>
      </c>
      <c r="H128" s="24" t="inlineStr">
        <is>
          <t>Expand page copy with useful, unique sections that answer key user questions.</t>
        </is>
      </c>
      <c r="I128" s="28" t="inlineStr">
        <is>
          <t>Content</t>
        </is>
      </c>
      <c r="J128" s="24" t="inlineStr">
        <is>
          <t>Word Count</t>
        </is>
      </c>
      <c r="K128" s="24" t="inlineStr">
        <is>
          <t>Yes</t>
        </is>
      </c>
      <c r="L128" s="24" t="inlineStr">
        <is>
          <t>Copy Writer</t>
        </is>
      </c>
      <c r="M128" s="25" t="inlineStr">
        <is>
          <t>Open</t>
        </is>
      </c>
      <c r="N128" s="24" t="n">
        <v>4</v>
      </c>
      <c r="O128" s="24" t="inlineStr">
        <is>
          <t>https://africanmarketingconfederation.org/chartered-marketer-africa-final-submission-fee/::aioseo_thin_content</t>
        </is>
      </c>
      <c r="P128" s="24" t="inlineStr">
        <is>
          <t>Low-content pages can struggle to satisfy intent and rank competitively.</t>
        </is>
      </c>
      <c r="Q128">
        <f>IFERROR(HYPERLINK("#Main!A"&amp;MATCH(A128,Main!A:A,0),"Open"),HYPERLINK("#Main!A1","Open"))</f>
        <v/>
      </c>
      <c r="R128">
        <f>IFERROR(HYPERLINK("#Technical!A"&amp;MATCH(A128,Technical!A:A,0),"Open"),HYPERLINK("#Technical!A1","Open"))</f>
        <v/>
      </c>
    </row>
    <row r="129" ht="30" customHeight="1">
      <c r="A129" s="33" t="inlineStr">
        <is>
          <t>https://africanmarketingconfederation.org/chartered-marketer-africa-programme-fee/</t>
        </is>
      </c>
      <c r="B129" s="6" t="inlineStr">
        <is>
          <t>Readability</t>
        </is>
      </c>
      <c r="C129" s="25" t="inlineStr">
        <is>
          <t>Warning</t>
        </is>
      </c>
      <c r="D129" s="6" t="inlineStr">
        <is>
          <t>Thin content</t>
        </is>
      </c>
      <c r="E129" s="6" t="n">
        <v>67</v>
      </c>
      <c r="F129" s="6" t="n">
        <v>145</v>
      </c>
      <c r="G129" s="6" t="inlineStr">
        <is>
          <t>&gt;=300 words (quality first)</t>
        </is>
      </c>
      <c r="H129" s="6" t="inlineStr">
        <is>
          <t>Expand page copy with useful, unique sections that answer key user questions.</t>
        </is>
      </c>
      <c r="I129" s="31" t="inlineStr">
        <is>
          <t>Content</t>
        </is>
      </c>
      <c r="J129" s="6" t="inlineStr">
        <is>
          <t>Word Count</t>
        </is>
      </c>
      <c r="K129" s="6" t="inlineStr">
        <is>
          <t>Yes</t>
        </is>
      </c>
      <c r="L129" s="6" t="inlineStr">
        <is>
          <t>Copy Writer</t>
        </is>
      </c>
      <c r="M129" s="25" t="inlineStr">
        <is>
          <t>Open</t>
        </is>
      </c>
      <c r="N129" s="6" t="n">
        <v>4</v>
      </c>
      <c r="O129" s="6" t="inlineStr">
        <is>
          <t>https://africanmarketingconfederation.org/chartered-marketer-africa-programme-fee/::aioseo_thin_content</t>
        </is>
      </c>
      <c r="P129" s="6" t="inlineStr">
        <is>
          <t>Low-content pages can struggle to satisfy intent and rank competitively.</t>
        </is>
      </c>
      <c r="Q129">
        <f>IFERROR(HYPERLINK("#Main!A"&amp;MATCH(A129,Main!A:A,0),"Open"),HYPERLINK("#Main!A1","Open"))</f>
        <v/>
      </c>
      <c r="R129">
        <f>IFERROR(HYPERLINK("#Technical!A"&amp;MATCH(A129,Technical!A:A,0),"Open"),HYPERLINK("#Technical!A1","Open"))</f>
        <v/>
      </c>
    </row>
    <row r="130" ht="30" customHeight="1">
      <c r="A130" s="33" t="inlineStr">
        <is>
          <t>https://africanmarketingconfederation.org/chartered-marketer-africa-thank-you/</t>
        </is>
      </c>
      <c r="B130" s="24" t="inlineStr">
        <is>
          <t>Readability</t>
        </is>
      </c>
      <c r="C130" s="25" t="inlineStr">
        <is>
          <t>Warning</t>
        </is>
      </c>
      <c r="D130" s="24" t="inlineStr">
        <is>
          <t>Missing H1 heading</t>
        </is>
      </c>
      <c r="E130" s="24" t="n">
        <v>67</v>
      </c>
      <c r="F130" s="24" t="n">
        <v>0</v>
      </c>
      <c r="G130" s="24" t="inlineStr">
        <is>
          <t>Exactly 1 descriptive H1</t>
        </is>
      </c>
      <c r="H130" s="24" t="inlineStr">
        <is>
          <t>Update page content to include a single descriptive H1 aligned to primary intent.</t>
        </is>
      </c>
      <c r="I130" s="28" t="inlineStr">
        <is>
          <t>Content</t>
        </is>
      </c>
      <c r="J130" s="24" t="inlineStr">
        <is>
          <t>Missing H1 Flag</t>
        </is>
      </c>
      <c r="K130" s="24" t="inlineStr">
        <is>
          <t>Yes</t>
        </is>
      </c>
      <c r="L130" s="24" t="inlineStr">
        <is>
          <t>Copy Writer</t>
        </is>
      </c>
      <c r="M130" s="25" t="inlineStr">
        <is>
          <t>Open</t>
        </is>
      </c>
      <c r="N130" s="24" t="n">
        <v>4</v>
      </c>
      <c r="O130" s="24" t="inlineStr">
        <is>
          <t>https://africanmarketingconfederation.org/chartered-marketer-africa-thank-you/::aioseo_missing_h1_heading</t>
        </is>
      </c>
      <c r="P130" s="24" t="inlineStr">
        <is>
          <t>A missing H1 weakens topical clarity for users and crawlers.</t>
        </is>
      </c>
      <c r="Q130">
        <f>IFERROR(HYPERLINK("#Main!A"&amp;MATCH(A130,Main!A:A,0),"Open"),HYPERLINK("#Main!A1","Open"))</f>
        <v/>
      </c>
      <c r="R130">
        <f>IFERROR(HYPERLINK("#Technical!A"&amp;MATCH(A130,Technical!A:A,0),"Open"),HYPERLINK("#Technical!A1","Open"))</f>
        <v/>
      </c>
    </row>
    <row r="131" ht="30" customHeight="1">
      <c r="A131" s="33" t="inlineStr">
        <is>
          <t>https://africanmarketingconfederation.org/chartered-marketer-africa-thank-you/</t>
        </is>
      </c>
      <c r="B131" s="6" t="inlineStr">
        <is>
          <t>Readability</t>
        </is>
      </c>
      <c r="C131" s="25" t="inlineStr">
        <is>
          <t>Warning</t>
        </is>
      </c>
      <c r="D131" s="6" t="inlineStr">
        <is>
          <t>Thin content</t>
        </is>
      </c>
      <c r="E131" s="6" t="n">
        <v>67</v>
      </c>
      <c r="F131" s="6" t="n">
        <v>95</v>
      </c>
      <c r="G131" s="6" t="inlineStr">
        <is>
          <t>&gt;=300 words (quality first)</t>
        </is>
      </c>
      <c r="H131" s="6" t="inlineStr">
        <is>
          <t>Expand page copy with useful, unique sections that answer key user questions.</t>
        </is>
      </c>
      <c r="I131" s="31" t="inlineStr">
        <is>
          <t>Content</t>
        </is>
      </c>
      <c r="J131" s="6" t="inlineStr">
        <is>
          <t>Word Count</t>
        </is>
      </c>
      <c r="K131" s="6" t="inlineStr">
        <is>
          <t>Yes</t>
        </is>
      </c>
      <c r="L131" s="6" t="inlineStr">
        <is>
          <t>Copy Writer</t>
        </is>
      </c>
      <c r="M131" s="25" t="inlineStr">
        <is>
          <t>Open</t>
        </is>
      </c>
      <c r="N131" s="6" t="n">
        <v>4</v>
      </c>
      <c r="O131" s="6" t="inlineStr">
        <is>
          <t>https://africanmarketingconfederation.org/chartered-marketer-africa-thank-you/::aioseo_thin_content</t>
        </is>
      </c>
      <c r="P131" s="6" t="inlineStr">
        <is>
          <t>Low-content pages can struggle to satisfy intent and rank competitively.</t>
        </is>
      </c>
      <c r="Q131">
        <f>IFERROR(HYPERLINK("#Main!A"&amp;MATCH(A131,Main!A:A,0),"Open"),HYPERLINK("#Main!A1","Open"))</f>
        <v/>
      </c>
      <c r="R131">
        <f>IFERROR(HYPERLINK("#Technical!A"&amp;MATCH(A131,Technical!A:A,0),"Open"),HYPERLINK("#Technical!A1","Open"))</f>
        <v/>
      </c>
    </row>
    <row r="132" ht="30" customHeight="1">
      <c r="A132" s="33" t="inlineStr">
        <is>
          <t>https://africanmarketingconfederation.org/checkout/</t>
        </is>
      </c>
      <c r="B132" s="24" t="inlineStr">
        <is>
          <t>Readability</t>
        </is>
      </c>
      <c r="C132" s="25" t="inlineStr">
        <is>
          <t>Warning</t>
        </is>
      </c>
      <c r="D132" s="24" t="inlineStr">
        <is>
          <t>Missing H1 heading</t>
        </is>
      </c>
      <c r="E132" s="24" t="n">
        <v>67</v>
      </c>
      <c r="F132" s="24" t="n">
        <v>0</v>
      </c>
      <c r="G132" s="24" t="inlineStr">
        <is>
          <t>Exactly 1 descriptive H1</t>
        </is>
      </c>
      <c r="H132" s="24" t="inlineStr">
        <is>
          <t>Update page content to include a single descriptive H1 aligned to primary intent.</t>
        </is>
      </c>
      <c r="I132" s="28" t="inlineStr">
        <is>
          <t>Content</t>
        </is>
      </c>
      <c r="J132" s="24" t="inlineStr">
        <is>
          <t>Missing H1 Flag</t>
        </is>
      </c>
      <c r="K132" s="24" t="inlineStr">
        <is>
          <t>Yes</t>
        </is>
      </c>
      <c r="L132" s="24" t="inlineStr">
        <is>
          <t>Copy Writer</t>
        </is>
      </c>
      <c r="M132" s="25" t="inlineStr">
        <is>
          <t>Open</t>
        </is>
      </c>
      <c r="N132" s="24" t="n">
        <v>4</v>
      </c>
      <c r="O132" s="24" t="inlineStr">
        <is>
          <t>https://africanmarketingconfederation.org/checkout/::aioseo_missing_h1_heading</t>
        </is>
      </c>
      <c r="P132" s="24" t="inlineStr">
        <is>
          <t>A missing H1 weakens topical clarity for users and crawlers.</t>
        </is>
      </c>
      <c r="Q132">
        <f>IFERROR(HYPERLINK("#Main!A"&amp;MATCH(A132,Main!A:A,0),"Open"),HYPERLINK("#Main!A1","Open"))</f>
        <v/>
      </c>
      <c r="R132">
        <f>IFERROR(HYPERLINK("#Technical!A"&amp;MATCH(A132,Technical!A:A,0),"Open"),HYPERLINK("#Technical!A1","Open"))</f>
        <v/>
      </c>
    </row>
    <row r="133" ht="30" customHeight="1">
      <c r="A133" s="33" t="inlineStr">
        <is>
          <t>https://africanmarketingconfederation.org/checkout/</t>
        </is>
      </c>
      <c r="B133" s="6" t="inlineStr">
        <is>
          <t>Readability</t>
        </is>
      </c>
      <c r="C133" s="25" t="inlineStr">
        <is>
          <t>Warning</t>
        </is>
      </c>
      <c r="D133" s="6" t="inlineStr">
        <is>
          <t>Thin content</t>
        </is>
      </c>
      <c r="E133" s="6" t="n">
        <v>67</v>
      </c>
      <c r="F133" s="6" t="n">
        <v>133</v>
      </c>
      <c r="G133" s="6" t="inlineStr">
        <is>
          <t>&gt;=300 words (quality first)</t>
        </is>
      </c>
      <c r="H133" s="6" t="inlineStr">
        <is>
          <t>Expand page copy with useful, unique sections that answer key user questions.</t>
        </is>
      </c>
      <c r="I133" s="31" t="inlineStr">
        <is>
          <t>Content</t>
        </is>
      </c>
      <c r="J133" s="6" t="inlineStr">
        <is>
          <t>Word Count</t>
        </is>
      </c>
      <c r="K133" s="6" t="inlineStr">
        <is>
          <t>Yes</t>
        </is>
      </c>
      <c r="L133" s="6" t="inlineStr">
        <is>
          <t>Copy Writer</t>
        </is>
      </c>
      <c r="M133" s="25" t="inlineStr">
        <is>
          <t>Open</t>
        </is>
      </c>
      <c r="N133" s="6" t="n">
        <v>4</v>
      </c>
      <c r="O133" s="6" t="inlineStr">
        <is>
          <t>https://africanmarketingconfederation.org/checkout/::aioseo_thin_content</t>
        </is>
      </c>
      <c r="P133" s="6" t="inlineStr">
        <is>
          <t>Low-content pages can struggle to satisfy intent and rank competitively.</t>
        </is>
      </c>
      <c r="Q133">
        <f>IFERROR(HYPERLINK("#Main!A"&amp;MATCH(A133,Main!A:A,0),"Open"),HYPERLINK("#Main!A1","Open"))</f>
        <v/>
      </c>
      <c r="R133">
        <f>IFERROR(HYPERLINK("#Technical!A"&amp;MATCH(A133,Technical!A:A,0),"Open"),HYPERLINK("#Technical!A1","Open"))</f>
        <v/>
      </c>
    </row>
    <row r="134" ht="30" customHeight="1">
      <c r="A134" s="33" t="inlineStr">
        <is>
          <t>https://africanmarketingconfederation.org/download-brochure/</t>
        </is>
      </c>
      <c r="B134" s="24" t="inlineStr">
        <is>
          <t>Readability</t>
        </is>
      </c>
      <c r="C134" s="25" t="inlineStr">
        <is>
          <t>Warning</t>
        </is>
      </c>
      <c r="D134" s="24" t="inlineStr">
        <is>
          <t>Missing H1 heading</t>
        </is>
      </c>
      <c r="E134" s="24" t="n">
        <v>67</v>
      </c>
      <c r="F134" s="24" t="n">
        <v>0</v>
      </c>
      <c r="G134" s="24" t="inlineStr">
        <is>
          <t>Exactly 1 descriptive H1</t>
        </is>
      </c>
      <c r="H134" s="24" t="inlineStr">
        <is>
          <t>Update page content to include a single descriptive H1 aligned to primary intent.</t>
        </is>
      </c>
      <c r="I134" s="28" t="inlineStr">
        <is>
          <t>Content</t>
        </is>
      </c>
      <c r="J134" s="24" t="inlineStr">
        <is>
          <t>Missing H1 Flag</t>
        </is>
      </c>
      <c r="K134" s="24" t="inlineStr">
        <is>
          <t>Yes</t>
        </is>
      </c>
      <c r="L134" s="24" t="inlineStr">
        <is>
          <t>Copy Writer</t>
        </is>
      </c>
      <c r="M134" s="25" t="inlineStr">
        <is>
          <t>Open</t>
        </is>
      </c>
      <c r="N134" s="24" t="n">
        <v>4</v>
      </c>
      <c r="O134" s="24" t="inlineStr">
        <is>
          <t>https://africanmarketingconfederation.org/download-brochure/::aioseo_missing_h1_heading</t>
        </is>
      </c>
      <c r="P134" s="24" t="inlineStr">
        <is>
          <t>A missing H1 weakens topical clarity for users and crawlers.</t>
        </is>
      </c>
      <c r="Q134">
        <f>IFERROR(HYPERLINK("#Main!A"&amp;MATCH(A134,Main!A:A,0),"Open"),HYPERLINK("#Main!A1","Open"))</f>
        <v/>
      </c>
      <c r="R134">
        <f>IFERROR(HYPERLINK("#Technical!A"&amp;MATCH(A134,Technical!A:A,0),"Open"),HYPERLINK("#Technical!A1","Open"))</f>
        <v/>
      </c>
    </row>
    <row r="135" ht="30" customHeight="1">
      <c r="A135" s="33" t="inlineStr">
        <is>
          <t>https://africanmarketingconfederation.org/download-brochure/</t>
        </is>
      </c>
      <c r="B135" s="6" t="inlineStr">
        <is>
          <t>Readability</t>
        </is>
      </c>
      <c r="C135" s="25" t="inlineStr">
        <is>
          <t>Warning</t>
        </is>
      </c>
      <c r="D135" s="6" t="inlineStr">
        <is>
          <t>Thin content</t>
        </is>
      </c>
      <c r="E135" s="6" t="n">
        <v>67</v>
      </c>
      <c r="F135" s="6" t="n">
        <v>92</v>
      </c>
      <c r="G135" s="6" t="inlineStr">
        <is>
          <t>&gt;=300 words (quality first)</t>
        </is>
      </c>
      <c r="H135" s="6" t="inlineStr">
        <is>
          <t>Expand page copy with useful, unique sections that answer key user questions.</t>
        </is>
      </c>
      <c r="I135" s="31" t="inlineStr">
        <is>
          <t>Content</t>
        </is>
      </c>
      <c r="J135" s="6" t="inlineStr">
        <is>
          <t>Word Count</t>
        </is>
      </c>
      <c r="K135" s="6" t="inlineStr">
        <is>
          <t>Yes</t>
        </is>
      </c>
      <c r="L135" s="6" t="inlineStr">
        <is>
          <t>Copy Writer</t>
        </is>
      </c>
      <c r="M135" s="25" t="inlineStr">
        <is>
          <t>Open</t>
        </is>
      </c>
      <c r="N135" s="6" t="n">
        <v>4</v>
      </c>
      <c r="O135" s="6" t="inlineStr">
        <is>
          <t>https://africanmarketingconfederation.org/download-brochure/::aioseo_thin_content</t>
        </is>
      </c>
      <c r="P135" s="6" t="inlineStr">
        <is>
          <t>Low-content pages can struggle to satisfy intent and rank competitively.</t>
        </is>
      </c>
      <c r="Q135">
        <f>IFERROR(HYPERLINK("#Main!A"&amp;MATCH(A135,Main!A:A,0),"Open"),HYPERLINK("#Main!A1","Open"))</f>
        <v/>
      </c>
      <c r="R135">
        <f>IFERROR(HYPERLINK("#Technical!A"&amp;MATCH(A135,Technical!A:A,0),"Open"),HYPERLINK("#Technical!A1","Open"))</f>
        <v/>
      </c>
    </row>
    <row r="136" ht="30" customHeight="1">
      <c r="A136" s="33" t="inlineStr">
        <is>
          <t>https://africanmarketingconfederation.org/download-prospectus-2024/</t>
        </is>
      </c>
      <c r="B136" s="24" t="inlineStr">
        <is>
          <t>Readability</t>
        </is>
      </c>
      <c r="C136" s="25" t="inlineStr">
        <is>
          <t>Warning</t>
        </is>
      </c>
      <c r="D136" s="24" t="inlineStr">
        <is>
          <t>Missing H1 heading</t>
        </is>
      </c>
      <c r="E136" s="24" t="n">
        <v>67</v>
      </c>
      <c r="F136" s="24" t="n">
        <v>0</v>
      </c>
      <c r="G136" s="24" t="inlineStr">
        <is>
          <t>Exactly 1 descriptive H1</t>
        </is>
      </c>
      <c r="H136" s="24" t="inlineStr">
        <is>
          <t>Update page content to include a single descriptive H1 aligned to primary intent.</t>
        </is>
      </c>
      <c r="I136" s="28" t="inlineStr">
        <is>
          <t>Content</t>
        </is>
      </c>
      <c r="J136" s="24" t="inlineStr">
        <is>
          <t>Missing H1 Flag</t>
        </is>
      </c>
      <c r="K136" s="24" t="inlineStr">
        <is>
          <t>Yes</t>
        </is>
      </c>
      <c r="L136" s="24" t="inlineStr">
        <is>
          <t>Copy Writer</t>
        </is>
      </c>
      <c r="M136" s="25" t="inlineStr">
        <is>
          <t>Open</t>
        </is>
      </c>
      <c r="N136" s="24" t="n">
        <v>4</v>
      </c>
      <c r="O136" s="24" t="inlineStr">
        <is>
          <t>https://africanmarketingconfederation.org/download-prospectus-2024/::aioseo_missing_h1_heading</t>
        </is>
      </c>
      <c r="P136" s="24" t="inlineStr">
        <is>
          <t>A missing H1 weakens topical clarity for users and crawlers.</t>
        </is>
      </c>
      <c r="Q136">
        <f>IFERROR(HYPERLINK("#Main!A"&amp;MATCH(A136,Main!A:A,0),"Open"),HYPERLINK("#Main!A1","Open"))</f>
        <v/>
      </c>
      <c r="R136">
        <f>IFERROR(HYPERLINK("#Technical!A"&amp;MATCH(A136,Technical!A:A,0),"Open"),HYPERLINK("#Technical!A1","Open"))</f>
        <v/>
      </c>
    </row>
    <row r="137" ht="30" customHeight="1">
      <c r="A137" s="33" t="inlineStr">
        <is>
          <t>https://africanmarketingconfederation.org/download-prospectus-2024/</t>
        </is>
      </c>
      <c r="B137" s="6" t="inlineStr">
        <is>
          <t>Readability</t>
        </is>
      </c>
      <c r="C137" s="25" t="inlineStr">
        <is>
          <t>Warning</t>
        </is>
      </c>
      <c r="D137" s="6" t="inlineStr">
        <is>
          <t>Thin content</t>
        </is>
      </c>
      <c r="E137" s="6" t="n">
        <v>67</v>
      </c>
      <c r="F137" s="6" t="n">
        <v>88</v>
      </c>
      <c r="G137" s="6" t="inlineStr">
        <is>
          <t>&gt;=300 words (quality first)</t>
        </is>
      </c>
      <c r="H137" s="6" t="inlineStr">
        <is>
          <t>Expand page copy with useful, unique sections that answer key user questions.</t>
        </is>
      </c>
      <c r="I137" s="31" t="inlineStr">
        <is>
          <t>Content</t>
        </is>
      </c>
      <c r="J137" s="6" t="inlineStr">
        <is>
          <t>Word Count</t>
        </is>
      </c>
      <c r="K137" s="6" t="inlineStr">
        <is>
          <t>Yes</t>
        </is>
      </c>
      <c r="L137" s="6" t="inlineStr">
        <is>
          <t>Copy Writer</t>
        </is>
      </c>
      <c r="M137" s="25" t="inlineStr">
        <is>
          <t>Open</t>
        </is>
      </c>
      <c r="N137" s="6" t="n">
        <v>4</v>
      </c>
      <c r="O137" s="6" t="inlineStr">
        <is>
          <t>https://africanmarketingconfederation.org/download-prospectus-2024/::aioseo_thin_content</t>
        </is>
      </c>
      <c r="P137" s="6" t="inlineStr">
        <is>
          <t>Low-content pages can struggle to satisfy intent and rank competitively.</t>
        </is>
      </c>
      <c r="Q137">
        <f>IFERROR(HYPERLINK("#Main!A"&amp;MATCH(A137,Main!A:A,0),"Open"),HYPERLINK("#Main!A1","Open"))</f>
        <v/>
      </c>
      <c r="R137">
        <f>IFERROR(HYPERLINK("#Technical!A"&amp;MATCH(A137,Technical!A:A,0),"Open"),HYPERLINK("#Technical!A1","Open"))</f>
        <v/>
      </c>
    </row>
    <row r="138" ht="30" customHeight="1">
      <c r="A138" s="33" t="inlineStr">
        <is>
          <t>https://africanmarketingconfederation.org/education/</t>
        </is>
      </c>
      <c r="B138" s="24" t="inlineStr">
        <is>
          <t>Readability</t>
        </is>
      </c>
      <c r="C138" s="25" t="inlineStr">
        <is>
          <t>Warning</t>
        </is>
      </c>
      <c r="D138" s="24" t="inlineStr">
        <is>
          <t>Missing H1 heading</t>
        </is>
      </c>
      <c r="E138" s="24" t="n">
        <v>67</v>
      </c>
      <c r="F138" s="24" t="n">
        <v>0</v>
      </c>
      <c r="G138" s="24" t="inlineStr">
        <is>
          <t>Exactly 1 descriptive H1</t>
        </is>
      </c>
      <c r="H138" s="24" t="inlineStr">
        <is>
          <t>Update page content to include a single descriptive H1 aligned to primary intent.</t>
        </is>
      </c>
      <c r="I138" s="28" t="inlineStr">
        <is>
          <t>Content</t>
        </is>
      </c>
      <c r="J138" s="24" t="inlineStr">
        <is>
          <t>Missing H1 Flag</t>
        </is>
      </c>
      <c r="K138" s="24" t="inlineStr">
        <is>
          <t>Yes</t>
        </is>
      </c>
      <c r="L138" s="24" t="inlineStr">
        <is>
          <t>Copy Writer</t>
        </is>
      </c>
      <c r="M138" s="25" t="inlineStr">
        <is>
          <t>Open</t>
        </is>
      </c>
      <c r="N138" s="24" t="n">
        <v>4</v>
      </c>
      <c r="O138" s="24" t="inlineStr">
        <is>
          <t>https://africanmarketingconfederation.org/education/::aioseo_missing_h1_heading</t>
        </is>
      </c>
      <c r="P138" s="24" t="inlineStr">
        <is>
          <t>A missing H1 weakens topical clarity for users and crawlers.</t>
        </is>
      </c>
      <c r="Q138">
        <f>IFERROR(HYPERLINK("#Main!A"&amp;MATCH(A138,Main!A:A,0),"Open"),HYPERLINK("#Main!A1","Open"))</f>
        <v/>
      </c>
      <c r="R138">
        <f>IFERROR(HYPERLINK("#Technical!A"&amp;MATCH(A138,Technical!A:A,0),"Open"),HYPERLINK("#Technical!A1","Open"))</f>
        <v/>
      </c>
    </row>
    <row r="139" ht="30" customHeight="1">
      <c r="A139" s="33" t="inlineStr">
        <is>
          <t>https://africanmarketingconfederation.org/elementor-16548/</t>
        </is>
      </c>
      <c r="B139" s="6" t="inlineStr">
        <is>
          <t>Readability</t>
        </is>
      </c>
      <c r="C139" s="25" t="inlineStr">
        <is>
          <t>Warning</t>
        </is>
      </c>
      <c r="D139" s="6" t="inlineStr">
        <is>
          <t>Missing H1 heading</t>
        </is>
      </c>
      <c r="E139" s="6" t="n">
        <v>67</v>
      </c>
      <c r="F139" s="6" t="n">
        <v>0</v>
      </c>
      <c r="G139" s="6" t="inlineStr">
        <is>
          <t>Exactly 1 descriptive H1</t>
        </is>
      </c>
      <c r="H139" s="6" t="inlineStr">
        <is>
          <t>Update page content to include a single descriptive H1 aligned to primary intent.</t>
        </is>
      </c>
      <c r="I139" s="31" t="inlineStr">
        <is>
          <t>Content</t>
        </is>
      </c>
      <c r="J139" s="6" t="inlineStr">
        <is>
          <t>Missing H1 Flag</t>
        </is>
      </c>
      <c r="K139" s="6" t="inlineStr">
        <is>
          <t>Yes</t>
        </is>
      </c>
      <c r="L139" s="6" t="inlineStr">
        <is>
          <t>Copy Writer</t>
        </is>
      </c>
      <c r="M139" s="25" t="inlineStr">
        <is>
          <t>Open</t>
        </is>
      </c>
      <c r="N139" s="6" t="n">
        <v>4</v>
      </c>
      <c r="O139" s="6" t="inlineStr">
        <is>
          <t>https://africanmarketingconfederation.org/elementor-16548/::aioseo_missing_h1_heading</t>
        </is>
      </c>
      <c r="P139" s="6" t="inlineStr">
        <is>
          <t>A missing H1 weakens topical clarity for users and crawlers.</t>
        </is>
      </c>
      <c r="Q139">
        <f>IFERROR(HYPERLINK("#Main!A"&amp;MATCH(A139,Main!A:A,0),"Open"),HYPERLINK("#Main!A1","Open"))</f>
        <v/>
      </c>
      <c r="R139">
        <f>IFERROR(HYPERLINK("#Technical!A"&amp;MATCH(A139,Technical!A:A,0),"Open"),HYPERLINK("#Technical!A1","Open"))</f>
        <v/>
      </c>
    </row>
    <row r="140" ht="30" customHeight="1">
      <c r="A140" s="33" t="inlineStr">
        <is>
          <t>https://africanmarketingconfederation.org/elementor-16548/</t>
        </is>
      </c>
      <c r="B140" s="24" t="inlineStr">
        <is>
          <t>Readability</t>
        </is>
      </c>
      <c r="C140" s="25" t="inlineStr">
        <is>
          <t>Warning</t>
        </is>
      </c>
      <c r="D140" s="24" t="inlineStr">
        <is>
          <t>Thin content</t>
        </is>
      </c>
      <c r="E140" s="24" t="n">
        <v>67</v>
      </c>
      <c r="F140" s="24" t="n">
        <v>113</v>
      </c>
      <c r="G140" s="24" t="inlineStr">
        <is>
          <t>&gt;=300 words (quality first)</t>
        </is>
      </c>
      <c r="H140" s="24" t="inlineStr">
        <is>
          <t>Expand page copy with useful, unique sections that answer key user questions.</t>
        </is>
      </c>
      <c r="I140" s="28" t="inlineStr">
        <is>
          <t>Content</t>
        </is>
      </c>
      <c r="J140" s="24" t="inlineStr">
        <is>
          <t>Word Count</t>
        </is>
      </c>
      <c r="K140" s="24" t="inlineStr">
        <is>
          <t>Yes</t>
        </is>
      </c>
      <c r="L140" s="24" t="inlineStr">
        <is>
          <t>Copy Writer</t>
        </is>
      </c>
      <c r="M140" s="25" t="inlineStr">
        <is>
          <t>Open</t>
        </is>
      </c>
      <c r="N140" s="24" t="n">
        <v>4</v>
      </c>
      <c r="O140" s="24" t="inlineStr">
        <is>
          <t>https://africanmarketingconfederation.org/elementor-16548/::aioseo_thin_content</t>
        </is>
      </c>
      <c r="P140" s="24" t="inlineStr">
        <is>
          <t>Low-content pages can struggle to satisfy intent and rank competitively.</t>
        </is>
      </c>
      <c r="Q140">
        <f>IFERROR(HYPERLINK("#Main!A"&amp;MATCH(A140,Main!A:A,0),"Open"),HYPERLINK("#Main!A1","Open"))</f>
        <v/>
      </c>
      <c r="R140">
        <f>IFERROR(HYPERLINK("#Technical!A"&amp;MATCH(A140,Technical!A:A,0),"Open"),HYPERLINK("#Technical!A1","Open"))</f>
        <v/>
      </c>
    </row>
    <row r="141" ht="30" customHeight="1">
      <c r="A141" s="33" t="inlineStr">
        <is>
          <t>https://africanmarketingconfederation.org/elementor-20341/</t>
        </is>
      </c>
      <c r="B141" s="6" t="inlineStr">
        <is>
          <t>Readability</t>
        </is>
      </c>
      <c r="C141" s="25" t="inlineStr">
        <is>
          <t>Warning</t>
        </is>
      </c>
      <c r="D141" s="6" t="inlineStr">
        <is>
          <t>Missing H1 heading</t>
        </is>
      </c>
      <c r="E141" s="6" t="n">
        <v>67</v>
      </c>
      <c r="F141" s="6" t="n">
        <v>0</v>
      </c>
      <c r="G141" s="6" t="inlineStr">
        <is>
          <t>Exactly 1 descriptive H1</t>
        </is>
      </c>
      <c r="H141" s="6" t="inlineStr">
        <is>
          <t>Update page content to include a single descriptive H1 aligned to primary intent.</t>
        </is>
      </c>
      <c r="I141" s="31" t="inlineStr">
        <is>
          <t>Content</t>
        </is>
      </c>
      <c r="J141" s="6" t="inlineStr">
        <is>
          <t>Missing H1 Flag</t>
        </is>
      </c>
      <c r="K141" s="6" t="inlineStr">
        <is>
          <t>Yes</t>
        </is>
      </c>
      <c r="L141" s="6" t="inlineStr">
        <is>
          <t>Copy Writer</t>
        </is>
      </c>
      <c r="M141" s="25" t="inlineStr">
        <is>
          <t>Open</t>
        </is>
      </c>
      <c r="N141" s="6" t="n">
        <v>4</v>
      </c>
      <c r="O141" s="6" t="inlineStr">
        <is>
          <t>https://africanmarketingconfederation.org/elementor-20341/::aioseo_missing_h1_heading</t>
        </is>
      </c>
      <c r="P141" s="6" t="inlineStr">
        <is>
          <t>A missing H1 weakens topical clarity for users and crawlers.</t>
        </is>
      </c>
      <c r="Q141">
        <f>IFERROR(HYPERLINK("#Main!A"&amp;MATCH(A141,Main!A:A,0),"Open"),HYPERLINK("#Main!A1","Open"))</f>
        <v/>
      </c>
      <c r="R141">
        <f>IFERROR(HYPERLINK("#Technical!A"&amp;MATCH(A141,Technical!A:A,0),"Open"),HYPERLINK("#Technical!A1","Open"))</f>
        <v/>
      </c>
    </row>
    <row r="142" ht="30" customHeight="1">
      <c r="A142" s="33" t="inlineStr">
        <is>
          <t>https://africanmarketingconfederation.org/elementor-20341/</t>
        </is>
      </c>
      <c r="B142" s="24" t="inlineStr">
        <is>
          <t>Readability</t>
        </is>
      </c>
      <c r="C142" s="25" t="inlineStr">
        <is>
          <t>Warning</t>
        </is>
      </c>
      <c r="D142" s="24" t="inlineStr">
        <is>
          <t>Thin content</t>
        </is>
      </c>
      <c r="E142" s="24" t="n">
        <v>67</v>
      </c>
      <c r="F142" s="24" t="n">
        <v>79</v>
      </c>
      <c r="G142" s="24" t="inlineStr">
        <is>
          <t>&gt;=300 words (quality first)</t>
        </is>
      </c>
      <c r="H142" s="24" t="inlineStr">
        <is>
          <t>Expand page copy with useful, unique sections that answer key user questions.</t>
        </is>
      </c>
      <c r="I142" s="28" t="inlineStr">
        <is>
          <t>Content</t>
        </is>
      </c>
      <c r="J142" s="24" t="inlineStr">
        <is>
          <t>Word Count</t>
        </is>
      </c>
      <c r="K142" s="24" t="inlineStr">
        <is>
          <t>Yes</t>
        </is>
      </c>
      <c r="L142" s="24" t="inlineStr">
        <is>
          <t>Copy Writer</t>
        </is>
      </c>
      <c r="M142" s="25" t="inlineStr">
        <is>
          <t>Open</t>
        </is>
      </c>
      <c r="N142" s="24" t="n">
        <v>4</v>
      </c>
      <c r="O142" s="24" t="inlineStr">
        <is>
          <t>https://africanmarketingconfederation.org/elementor-20341/::aioseo_thin_content</t>
        </is>
      </c>
      <c r="P142" s="24" t="inlineStr">
        <is>
          <t>Low-content pages can struggle to satisfy intent and rank competitively.</t>
        </is>
      </c>
      <c r="Q142">
        <f>IFERROR(HYPERLINK("#Main!A"&amp;MATCH(A142,Main!A:A,0),"Open"),HYPERLINK("#Main!A1","Open"))</f>
        <v/>
      </c>
      <c r="R142">
        <f>IFERROR(HYPERLINK("#Technical!A"&amp;MATCH(A142,Technical!A:A,0),"Open"),HYPERLINK("#Technical!A1","Open"))</f>
        <v/>
      </c>
    </row>
    <row r="143" ht="30" customHeight="1">
      <c r="A143" s="33" t="inlineStr">
        <is>
          <t>https://africanmarketingconfederation.org/general-enquiry-form-thank-you/</t>
        </is>
      </c>
      <c r="B143" s="6" t="inlineStr">
        <is>
          <t>Readability</t>
        </is>
      </c>
      <c r="C143" s="25" t="inlineStr">
        <is>
          <t>Warning</t>
        </is>
      </c>
      <c r="D143" s="6" t="inlineStr">
        <is>
          <t>Missing H1 heading</t>
        </is>
      </c>
      <c r="E143" s="6" t="n">
        <v>67</v>
      </c>
      <c r="F143" s="6" t="n">
        <v>0</v>
      </c>
      <c r="G143" s="6" t="inlineStr">
        <is>
          <t>Exactly 1 descriptive H1</t>
        </is>
      </c>
      <c r="H143" s="6" t="inlineStr">
        <is>
          <t>Update page content to include a single descriptive H1 aligned to primary intent.</t>
        </is>
      </c>
      <c r="I143" s="31" t="inlineStr">
        <is>
          <t>Content</t>
        </is>
      </c>
      <c r="J143" s="6" t="inlineStr">
        <is>
          <t>Missing H1 Flag</t>
        </is>
      </c>
      <c r="K143" s="6" t="inlineStr">
        <is>
          <t>Yes</t>
        </is>
      </c>
      <c r="L143" s="6" t="inlineStr">
        <is>
          <t>Copy Writer</t>
        </is>
      </c>
      <c r="M143" s="25" t="inlineStr">
        <is>
          <t>Open</t>
        </is>
      </c>
      <c r="N143" s="6" t="n">
        <v>4</v>
      </c>
      <c r="O143" s="6" t="inlineStr">
        <is>
          <t>https://africanmarketingconfederation.org/general-enquiry-form-thank-you/::aioseo_missing_h1_heading</t>
        </is>
      </c>
      <c r="P143" s="6" t="inlineStr">
        <is>
          <t>A missing H1 weakens topical clarity for users and crawlers.</t>
        </is>
      </c>
      <c r="Q143">
        <f>IFERROR(HYPERLINK("#Main!A"&amp;MATCH(A143,Main!A:A,0),"Open"),HYPERLINK("#Main!A1","Open"))</f>
        <v/>
      </c>
      <c r="R143">
        <f>IFERROR(HYPERLINK("#Technical!A"&amp;MATCH(A143,Technical!A:A,0),"Open"),HYPERLINK("#Technical!A1","Open"))</f>
        <v/>
      </c>
    </row>
    <row r="144" ht="30" customHeight="1">
      <c r="A144" s="33" t="inlineStr">
        <is>
          <t>https://africanmarketingconfederation.org/general-enquiry-form-thank-you/</t>
        </is>
      </c>
      <c r="B144" s="24" t="inlineStr">
        <is>
          <t>Readability</t>
        </is>
      </c>
      <c r="C144" s="25" t="inlineStr">
        <is>
          <t>Warning</t>
        </is>
      </c>
      <c r="D144" s="24" t="inlineStr">
        <is>
          <t>Thin content</t>
        </is>
      </c>
      <c r="E144" s="24" t="n">
        <v>67</v>
      </c>
      <c r="F144" s="24" t="n">
        <v>103</v>
      </c>
      <c r="G144" s="24" t="inlineStr">
        <is>
          <t>&gt;=300 words (quality first)</t>
        </is>
      </c>
      <c r="H144" s="24" t="inlineStr">
        <is>
          <t>Expand page copy with useful, unique sections that answer key user questions.</t>
        </is>
      </c>
      <c r="I144" s="28" t="inlineStr">
        <is>
          <t>Content</t>
        </is>
      </c>
      <c r="J144" s="24" t="inlineStr">
        <is>
          <t>Word Count</t>
        </is>
      </c>
      <c r="K144" s="24" t="inlineStr">
        <is>
          <t>Yes</t>
        </is>
      </c>
      <c r="L144" s="24" t="inlineStr">
        <is>
          <t>Copy Writer</t>
        </is>
      </c>
      <c r="M144" s="25" t="inlineStr">
        <is>
          <t>Open</t>
        </is>
      </c>
      <c r="N144" s="24" t="n">
        <v>4</v>
      </c>
      <c r="O144" s="24" t="inlineStr">
        <is>
          <t>https://africanmarketingconfederation.org/general-enquiry-form-thank-you/::aioseo_thin_content</t>
        </is>
      </c>
      <c r="P144" s="24" t="inlineStr">
        <is>
          <t>Low-content pages can struggle to satisfy intent and rank competitively.</t>
        </is>
      </c>
      <c r="Q144">
        <f>IFERROR(HYPERLINK("#Main!A"&amp;MATCH(A144,Main!A:A,0),"Open"),HYPERLINK("#Main!A1","Open"))</f>
        <v/>
      </c>
      <c r="R144">
        <f>IFERROR(HYPERLINK("#Technical!A"&amp;MATCH(A144,Technical!A:A,0),"Open"),HYPERLINK("#Technical!A1","Open"))</f>
        <v/>
      </c>
    </row>
    <row r="145" ht="30" customHeight="1">
      <c r="A145" s="33" t="inlineStr">
        <is>
          <t>https://africanmarketingconfederation.org/launch-event-2026-amc-conference/</t>
        </is>
      </c>
      <c r="B145" s="6" t="inlineStr">
        <is>
          <t>Readability</t>
        </is>
      </c>
      <c r="C145" s="25" t="inlineStr">
        <is>
          <t>Warning</t>
        </is>
      </c>
      <c r="D145" s="6" t="inlineStr">
        <is>
          <t>Thin content</t>
        </is>
      </c>
      <c r="E145" s="6" t="n">
        <v>67</v>
      </c>
      <c r="F145" s="6" t="n">
        <v>235</v>
      </c>
      <c r="G145" s="6" t="inlineStr">
        <is>
          <t>&gt;=300 words (quality first)</t>
        </is>
      </c>
      <c r="H145" s="6" t="inlineStr">
        <is>
          <t>Expand page copy with useful, unique sections that answer key user questions.</t>
        </is>
      </c>
      <c r="I145" s="31" t="inlineStr">
        <is>
          <t>Content</t>
        </is>
      </c>
      <c r="J145" s="6" t="inlineStr">
        <is>
          <t>Word Count</t>
        </is>
      </c>
      <c r="K145" s="6" t="inlineStr">
        <is>
          <t>Yes</t>
        </is>
      </c>
      <c r="L145" s="6" t="inlineStr">
        <is>
          <t>Copy Writer</t>
        </is>
      </c>
      <c r="M145" s="25" t="inlineStr">
        <is>
          <t>Open</t>
        </is>
      </c>
      <c r="N145" s="6" t="n">
        <v>4</v>
      </c>
      <c r="O145" s="6" t="inlineStr">
        <is>
          <t>https://africanmarketingconfederation.org/launch-event-2026-amc-conference/::aioseo_thin_content</t>
        </is>
      </c>
      <c r="P145" s="6" t="inlineStr">
        <is>
          <t>Low-content pages can struggle to satisfy intent and rank competitively.</t>
        </is>
      </c>
      <c r="Q145">
        <f>IFERROR(HYPERLINK("#Main!A"&amp;MATCH(A145,Main!A:A,0),"Open"),HYPERLINK("#Main!A1","Open"))</f>
        <v/>
      </c>
      <c r="R145">
        <f>IFERROR(HYPERLINK("#Technical!A"&amp;MATCH(A145,Technical!A:A,0),"Open"),HYPERLINK("#Technical!A1","Open"))</f>
        <v/>
      </c>
    </row>
    <row r="146" ht="30" customHeight="1">
      <c r="A146" s="33" t="inlineStr">
        <is>
          <t>https://africanmarketingconfederation.org/publication-download-list/</t>
        </is>
      </c>
      <c r="B146" s="24" t="inlineStr">
        <is>
          <t>Readability</t>
        </is>
      </c>
      <c r="C146" s="25" t="inlineStr">
        <is>
          <t>Warning</t>
        </is>
      </c>
      <c r="D146" s="24" t="inlineStr">
        <is>
          <t>Missing H1 heading</t>
        </is>
      </c>
      <c r="E146" s="24" t="n">
        <v>67</v>
      </c>
      <c r="F146" s="24" t="n">
        <v>0</v>
      </c>
      <c r="G146" s="24" t="inlineStr">
        <is>
          <t>Exactly 1 descriptive H1</t>
        </is>
      </c>
      <c r="H146" s="24" t="inlineStr">
        <is>
          <t>Update page content to include a single descriptive H1 aligned to primary intent.</t>
        </is>
      </c>
      <c r="I146" s="28" t="inlineStr">
        <is>
          <t>Content</t>
        </is>
      </c>
      <c r="J146" s="24" t="inlineStr">
        <is>
          <t>Missing H1 Flag</t>
        </is>
      </c>
      <c r="K146" s="24" t="inlineStr">
        <is>
          <t>Yes</t>
        </is>
      </c>
      <c r="L146" s="24" t="inlineStr">
        <is>
          <t>Copy Writer</t>
        </is>
      </c>
      <c r="M146" s="25" t="inlineStr">
        <is>
          <t>Open</t>
        </is>
      </c>
      <c r="N146" s="24" t="n">
        <v>4</v>
      </c>
      <c r="O146" s="24" t="inlineStr">
        <is>
          <t>https://africanmarketingconfederation.org/publication-download-list/::aioseo_missing_h1_heading</t>
        </is>
      </c>
      <c r="P146" s="24" t="inlineStr">
        <is>
          <t>A missing H1 weakens topical clarity for users and crawlers.</t>
        </is>
      </c>
      <c r="Q146">
        <f>IFERROR(HYPERLINK("#Main!A"&amp;MATCH(A146,Main!A:A,0),"Open"),HYPERLINK("#Main!A1","Open"))</f>
        <v/>
      </c>
      <c r="R146">
        <f>IFERROR(HYPERLINK("#Technical!A"&amp;MATCH(A146,Technical!A:A,0),"Open"),HYPERLINK("#Technical!A1","Open"))</f>
        <v/>
      </c>
    </row>
    <row r="147" ht="30" customHeight="1">
      <c r="A147" s="33" t="inlineStr">
        <is>
          <t>https://africanmarketingconfederation.org/publication-download-list/</t>
        </is>
      </c>
      <c r="B147" s="6" t="inlineStr">
        <is>
          <t>Readability</t>
        </is>
      </c>
      <c r="C147" s="25" t="inlineStr">
        <is>
          <t>Warning</t>
        </is>
      </c>
      <c r="D147" s="6" t="inlineStr">
        <is>
          <t>Thin content</t>
        </is>
      </c>
      <c r="E147" s="6" t="n">
        <v>67</v>
      </c>
      <c r="F147" s="6" t="n">
        <v>179</v>
      </c>
      <c r="G147" s="6" t="inlineStr">
        <is>
          <t>&gt;=300 words (quality first)</t>
        </is>
      </c>
      <c r="H147" s="6" t="inlineStr">
        <is>
          <t>Expand page copy with useful, unique sections that answer key user questions.</t>
        </is>
      </c>
      <c r="I147" s="31" t="inlineStr">
        <is>
          <t>Content</t>
        </is>
      </c>
      <c r="J147" s="6" t="inlineStr">
        <is>
          <t>Word Count</t>
        </is>
      </c>
      <c r="K147" s="6" t="inlineStr">
        <is>
          <t>Yes</t>
        </is>
      </c>
      <c r="L147" s="6" t="inlineStr">
        <is>
          <t>Copy Writer</t>
        </is>
      </c>
      <c r="M147" s="25" t="inlineStr">
        <is>
          <t>Open</t>
        </is>
      </c>
      <c r="N147" s="6" t="n">
        <v>4</v>
      </c>
      <c r="O147" s="6" t="inlineStr">
        <is>
          <t>https://africanmarketingconfederation.org/publication-download-list/::aioseo_thin_content</t>
        </is>
      </c>
      <c r="P147" s="6" t="inlineStr">
        <is>
          <t>Low-content pages can struggle to satisfy intent and rank competitively.</t>
        </is>
      </c>
      <c r="Q147">
        <f>IFERROR(HYPERLINK("#Main!A"&amp;MATCH(A147,Main!A:A,0),"Open"),HYPERLINK("#Main!A1","Open"))</f>
        <v/>
      </c>
      <c r="R147">
        <f>IFERROR(HYPERLINK("#Technical!A"&amp;MATCH(A147,Technical!A:A,0),"Open"),HYPERLINK("#Technical!A1","Open"))</f>
        <v/>
      </c>
    </row>
    <row r="148" ht="30" customHeight="1">
      <c r="A148" s="33" t="inlineStr">
        <is>
          <t>https://africanmarketingconfederation.org/publications-2/</t>
        </is>
      </c>
      <c r="B148" s="24" t="inlineStr">
        <is>
          <t>Readability</t>
        </is>
      </c>
      <c r="C148" s="25" t="inlineStr">
        <is>
          <t>Warning</t>
        </is>
      </c>
      <c r="D148" s="24" t="inlineStr">
        <is>
          <t>Thin content</t>
        </is>
      </c>
      <c r="E148" s="24" t="n">
        <v>67</v>
      </c>
      <c r="F148" s="24" t="n">
        <v>161</v>
      </c>
      <c r="G148" s="24" t="inlineStr">
        <is>
          <t>&gt;=300 words (quality first)</t>
        </is>
      </c>
      <c r="H148" s="24" t="inlineStr">
        <is>
          <t>Expand page copy with useful, unique sections that answer key user questions.</t>
        </is>
      </c>
      <c r="I148" s="28" t="inlineStr">
        <is>
          <t>Content</t>
        </is>
      </c>
      <c r="J148" s="24" t="inlineStr">
        <is>
          <t>Word Count</t>
        </is>
      </c>
      <c r="K148" s="24" t="inlineStr">
        <is>
          <t>Yes</t>
        </is>
      </c>
      <c r="L148" s="24" t="inlineStr">
        <is>
          <t>Copy Writer</t>
        </is>
      </c>
      <c r="M148" s="25" t="inlineStr">
        <is>
          <t>Open</t>
        </is>
      </c>
      <c r="N148" s="24" t="n">
        <v>4</v>
      </c>
      <c r="O148" s="24" t="inlineStr">
        <is>
          <t>https://africanmarketingconfederation.org/publications-2/::aioseo_thin_content</t>
        </is>
      </c>
      <c r="P148" s="24" t="inlineStr">
        <is>
          <t>Low-content pages can struggle to satisfy intent and rank competitively.</t>
        </is>
      </c>
      <c r="Q148">
        <f>IFERROR(HYPERLINK("#Main!A"&amp;MATCH(A148,Main!A:A,0),"Open"),HYPERLINK("#Main!A1","Open"))</f>
        <v/>
      </c>
      <c r="R148">
        <f>IFERROR(HYPERLINK("#Technical!A"&amp;MATCH(A148,Technical!A:A,0),"Open"),HYPERLINK("#Technical!A1","Open"))</f>
        <v/>
      </c>
    </row>
    <row r="149" ht="30" customHeight="1">
      <c r="A149" s="33" t="inlineStr">
        <is>
          <t>https://africanmarketingconfederation.org/speakers/</t>
        </is>
      </c>
      <c r="B149" s="6" t="inlineStr">
        <is>
          <t>Readability</t>
        </is>
      </c>
      <c r="C149" s="25" t="inlineStr">
        <is>
          <t>Warning</t>
        </is>
      </c>
      <c r="D149" s="6" t="inlineStr">
        <is>
          <t>Missing H1 heading</t>
        </is>
      </c>
      <c r="E149" s="6" t="n">
        <v>67</v>
      </c>
      <c r="F149" s="6" t="n">
        <v>0</v>
      </c>
      <c r="G149" s="6" t="inlineStr">
        <is>
          <t>Exactly 1 descriptive H1</t>
        </is>
      </c>
      <c r="H149" s="6" t="inlineStr">
        <is>
          <t>Update page content to include a single descriptive H1 aligned to primary intent.</t>
        </is>
      </c>
      <c r="I149" s="31" t="inlineStr">
        <is>
          <t>Content</t>
        </is>
      </c>
      <c r="J149" s="6" t="inlineStr">
        <is>
          <t>Missing H1 Flag</t>
        </is>
      </c>
      <c r="K149" s="6" t="inlineStr">
        <is>
          <t>Yes</t>
        </is>
      </c>
      <c r="L149" s="6" t="inlineStr">
        <is>
          <t>Copy Writer</t>
        </is>
      </c>
      <c r="M149" s="25" t="inlineStr">
        <is>
          <t>Open</t>
        </is>
      </c>
      <c r="N149" s="6" t="n">
        <v>4</v>
      </c>
      <c r="O149" s="6" t="inlineStr">
        <is>
          <t>https://africanmarketingconfederation.org/speakers/::aioseo_missing_h1_heading</t>
        </is>
      </c>
      <c r="P149" s="6" t="inlineStr">
        <is>
          <t>A missing H1 weakens topical clarity for users and crawlers.</t>
        </is>
      </c>
      <c r="Q149">
        <f>IFERROR(HYPERLINK("#Main!A"&amp;MATCH(A149,Main!A:A,0),"Open"),HYPERLINK("#Main!A1","Open"))</f>
        <v/>
      </c>
      <c r="R149">
        <f>IFERROR(HYPERLINK("#Technical!A"&amp;MATCH(A149,Technical!A:A,0),"Open"),HYPERLINK("#Technical!A1","Open"))</f>
        <v/>
      </c>
    </row>
    <row r="150" ht="30" customHeight="1">
      <c r="A150" s="33" t="inlineStr">
        <is>
          <t>https://africanmarketingconfederation.org/speakers/</t>
        </is>
      </c>
      <c r="B150" s="24" t="inlineStr">
        <is>
          <t>Readability</t>
        </is>
      </c>
      <c r="C150" s="25" t="inlineStr">
        <is>
          <t>Warning</t>
        </is>
      </c>
      <c r="D150" s="24" t="inlineStr">
        <is>
          <t>Thin content</t>
        </is>
      </c>
      <c r="E150" s="24" t="n">
        <v>67</v>
      </c>
      <c r="F150" s="24" t="n">
        <v>239</v>
      </c>
      <c r="G150" s="24" t="inlineStr">
        <is>
          <t>&gt;=300 words (quality first)</t>
        </is>
      </c>
      <c r="H150" s="24" t="inlineStr">
        <is>
          <t>Expand page copy with useful, unique sections that answer key user questions.</t>
        </is>
      </c>
      <c r="I150" s="28" t="inlineStr">
        <is>
          <t>Content</t>
        </is>
      </c>
      <c r="J150" s="24" t="inlineStr">
        <is>
          <t>Word Count</t>
        </is>
      </c>
      <c r="K150" s="24" t="inlineStr">
        <is>
          <t>Yes</t>
        </is>
      </c>
      <c r="L150" s="24" t="inlineStr">
        <is>
          <t>Copy Writer</t>
        </is>
      </c>
      <c r="M150" s="25" t="inlineStr">
        <is>
          <t>Open</t>
        </is>
      </c>
      <c r="N150" s="24" t="n">
        <v>4</v>
      </c>
      <c r="O150" s="24" t="inlineStr">
        <is>
          <t>https://africanmarketingconfederation.org/speakers/::aioseo_thin_content</t>
        </is>
      </c>
      <c r="P150" s="24" t="inlineStr">
        <is>
          <t>Low-content pages can struggle to satisfy intent and rank competitively.</t>
        </is>
      </c>
      <c r="Q150">
        <f>IFERROR(HYPERLINK("#Main!A"&amp;MATCH(A150,Main!A:A,0),"Open"),HYPERLINK("#Main!A1","Open"))</f>
        <v/>
      </c>
      <c r="R150">
        <f>IFERROR(HYPERLINK("#Technical!A"&amp;MATCH(A150,Technical!A:A,0),"Open"),HYPERLINK("#Technical!A1","Open"))</f>
        <v/>
      </c>
    </row>
    <row r="151" ht="30" customHeight="1">
      <c r="A151" s="33" t="inlineStr">
        <is>
          <t>https://africanmarketingconfederation.org/subscribe/</t>
        </is>
      </c>
      <c r="B151" s="6" t="inlineStr">
        <is>
          <t>Readability</t>
        </is>
      </c>
      <c r="C151" s="25" t="inlineStr">
        <is>
          <t>Warning</t>
        </is>
      </c>
      <c r="D151" s="6" t="inlineStr">
        <is>
          <t>Missing H1 heading</t>
        </is>
      </c>
      <c r="E151" s="6" t="n">
        <v>67</v>
      </c>
      <c r="F151" s="6" t="n">
        <v>0</v>
      </c>
      <c r="G151" s="6" t="inlineStr">
        <is>
          <t>Exactly 1 descriptive H1</t>
        </is>
      </c>
      <c r="H151" s="6" t="inlineStr">
        <is>
          <t>Update page content to include a single descriptive H1 aligned to primary intent.</t>
        </is>
      </c>
      <c r="I151" s="31" t="inlineStr">
        <is>
          <t>Content</t>
        </is>
      </c>
      <c r="J151" s="6" t="inlineStr">
        <is>
          <t>Missing H1 Flag</t>
        </is>
      </c>
      <c r="K151" s="6" t="inlineStr">
        <is>
          <t>Yes</t>
        </is>
      </c>
      <c r="L151" s="6" t="inlineStr">
        <is>
          <t>Copy Writer</t>
        </is>
      </c>
      <c r="M151" s="25" t="inlineStr">
        <is>
          <t>Open</t>
        </is>
      </c>
      <c r="N151" s="6" t="n">
        <v>4</v>
      </c>
      <c r="O151" s="6" t="inlineStr">
        <is>
          <t>https://africanmarketingconfederation.org/subscribe/::aioseo_missing_h1_heading</t>
        </is>
      </c>
      <c r="P151" s="6" t="inlineStr">
        <is>
          <t>A missing H1 weakens topical clarity for users and crawlers.</t>
        </is>
      </c>
      <c r="Q151">
        <f>IFERROR(HYPERLINK("#Main!A"&amp;MATCH(A151,Main!A:A,0),"Open"),HYPERLINK("#Main!A1","Open"))</f>
        <v/>
      </c>
      <c r="R151">
        <f>IFERROR(HYPERLINK("#Technical!A"&amp;MATCH(A151,Technical!A:A,0),"Open"),HYPERLINK("#Technical!A1","Open"))</f>
        <v/>
      </c>
    </row>
    <row r="152" ht="30" customHeight="1">
      <c r="A152" s="33" t="inlineStr">
        <is>
          <t>https://africanmarketingconfederation.org/test-homeslider/</t>
        </is>
      </c>
      <c r="B152" s="24" t="inlineStr">
        <is>
          <t>Readability</t>
        </is>
      </c>
      <c r="C152" s="25" t="inlineStr">
        <is>
          <t>Warning</t>
        </is>
      </c>
      <c r="D152" s="24" t="inlineStr">
        <is>
          <t>Missing H1 heading</t>
        </is>
      </c>
      <c r="E152" s="24" t="n">
        <v>67</v>
      </c>
      <c r="F152" s="24" t="n">
        <v>0</v>
      </c>
      <c r="G152" s="24" t="inlineStr">
        <is>
          <t>Exactly 1 descriptive H1</t>
        </is>
      </c>
      <c r="H152" s="24" t="inlineStr">
        <is>
          <t>Update page content to include a single descriptive H1 aligned to primary intent.</t>
        </is>
      </c>
      <c r="I152" s="28" t="inlineStr">
        <is>
          <t>Content</t>
        </is>
      </c>
      <c r="J152" s="24" t="inlineStr">
        <is>
          <t>Missing H1 Flag</t>
        </is>
      </c>
      <c r="K152" s="24" t="inlineStr">
        <is>
          <t>Yes</t>
        </is>
      </c>
      <c r="L152" s="24" t="inlineStr">
        <is>
          <t>Copy Writer</t>
        </is>
      </c>
      <c r="M152" s="25" t="inlineStr">
        <is>
          <t>Open</t>
        </is>
      </c>
      <c r="N152" s="24" t="n">
        <v>4</v>
      </c>
      <c r="O152" s="24" t="inlineStr">
        <is>
          <t>https://africanmarketingconfederation.org/test-homeslider/::aioseo_missing_h1_heading</t>
        </is>
      </c>
      <c r="P152" s="24" t="inlineStr">
        <is>
          <t>A missing H1 weakens topical clarity for users and crawlers.</t>
        </is>
      </c>
      <c r="Q152">
        <f>IFERROR(HYPERLINK("#Main!A"&amp;MATCH(A152,Main!A:A,0),"Open"),HYPERLINK("#Main!A1","Open"))</f>
        <v/>
      </c>
      <c r="R152">
        <f>IFERROR(HYPERLINK("#Technical!A"&amp;MATCH(A152,Technical!A:A,0),"Open"),HYPERLINK("#Technical!A1","Open"))</f>
        <v/>
      </c>
    </row>
    <row r="153" ht="30" customHeight="1">
      <c r="A153" s="33" t="inlineStr">
        <is>
          <t>https://africanmarketingconfederation.org/test-homeslider/</t>
        </is>
      </c>
      <c r="B153" s="6" t="inlineStr">
        <is>
          <t>Readability</t>
        </is>
      </c>
      <c r="C153" s="25" t="inlineStr">
        <is>
          <t>Warning</t>
        </is>
      </c>
      <c r="D153" s="6" t="inlineStr">
        <is>
          <t>Thin content</t>
        </is>
      </c>
      <c r="E153" s="6" t="n">
        <v>67</v>
      </c>
      <c r="F153" s="6" t="n">
        <v>133</v>
      </c>
      <c r="G153" s="6" t="inlineStr">
        <is>
          <t>&gt;=300 words (quality first)</t>
        </is>
      </c>
      <c r="H153" s="6" t="inlineStr">
        <is>
          <t>Expand page copy with useful, unique sections that answer key user questions.</t>
        </is>
      </c>
      <c r="I153" s="31" t="inlineStr">
        <is>
          <t>Content</t>
        </is>
      </c>
      <c r="J153" s="6" t="inlineStr">
        <is>
          <t>Word Count</t>
        </is>
      </c>
      <c r="K153" s="6" t="inlineStr">
        <is>
          <t>Yes</t>
        </is>
      </c>
      <c r="L153" s="6" t="inlineStr">
        <is>
          <t>Copy Writer</t>
        </is>
      </c>
      <c r="M153" s="25" t="inlineStr">
        <is>
          <t>Open</t>
        </is>
      </c>
      <c r="N153" s="6" t="n">
        <v>4</v>
      </c>
      <c r="O153" s="6" t="inlineStr">
        <is>
          <t>https://africanmarketingconfederation.org/test-homeslider/::aioseo_thin_content</t>
        </is>
      </c>
      <c r="P153" s="6" t="inlineStr">
        <is>
          <t>Low-content pages can struggle to satisfy intent and rank competitively.</t>
        </is>
      </c>
      <c r="Q153">
        <f>IFERROR(HYPERLINK("#Main!A"&amp;MATCH(A153,Main!A:A,0),"Open"),HYPERLINK("#Main!A1","Open"))</f>
        <v/>
      </c>
      <c r="R153">
        <f>IFERROR(HYPERLINK("#Technical!A"&amp;MATCH(A153,Technical!A:A,0),"Open"),HYPERLINK("#Technical!A1","Open"))</f>
        <v/>
      </c>
    </row>
    <row r="154" ht="30" customHeight="1">
      <c r="A154" s="33" t="inlineStr">
        <is>
          <t>https://africanmarketingconfederation.org/test-payment-gate/</t>
        </is>
      </c>
      <c r="B154" s="24" t="inlineStr">
        <is>
          <t>Readability</t>
        </is>
      </c>
      <c r="C154" s="25" t="inlineStr">
        <is>
          <t>Warning</t>
        </is>
      </c>
      <c r="D154" s="24" t="inlineStr">
        <is>
          <t>Missing H1 heading</t>
        </is>
      </c>
      <c r="E154" s="24" t="n">
        <v>67</v>
      </c>
      <c r="F154" s="24" t="n">
        <v>0</v>
      </c>
      <c r="G154" s="24" t="inlineStr">
        <is>
          <t>Exactly 1 descriptive H1</t>
        </is>
      </c>
      <c r="H154" s="24" t="inlineStr">
        <is>
          <t>Update page content to include a single descriptive H1 aligned to primary intent.</t>
        </is>
      </c>
      <c r="I154" s="28" t="inlineStr">
        <is>
          <t>Content</t>
        </is>
      </c>
      <c r="J154" s="24" t="inlineStr">
        <is>
          <t>Missing H1 Flag</t>
        </is>
      </c>
      <c r="K154" s="24" t="inlineStr">
        <is>
          <t>Yes</t>
        </is>
      </c>
      <c r="L154" s="24" t="inlineStr">
        <is>
          <t>Copy Writer</t>
        </is>
      </c>
      <c r="M154" s="25" t="inlineStr">
        <is>
          <t>Open</t>
        </is>
      </c>
      <c r="N154" s="24" t="n">
        <v>4</v>
      </c>
      <c r="O154" s="24" t="inlineStr">
        <is>
          <t>https://africanmarketingconfederation.org/test-payment-gate/::aioseo_missing_h1_heading</t>
        </is>
      </c>
      <c r="P154" s="24" t="inlineStr">
        <is>
          <t>A missing H1 weakens topical clarity for users and crawlers.</t>
        </is>
      </c>
      <c r="Q154">
        <f>IFERROR(HYPERLINK("#Main!A"&amp;MATCH(A154,Main!A:A,0),"Open"),HYPERLINK("#Main!A1","Open"))</f>
        <v/>
      </c>
      <c r="R154">
        <f>IFERROR(HYPERLINK("#Technical!A"&amp;MATCH(A154,Technical!A:A,0),"Open"),HYPERLINK("#Technical!A1","Open"))</f>
        <v/>
      </c>
    </row>
    <row r="155" ht="30" customHeight="1">
      <c r="A155" s="33" t="inlineStr">
        <is>
          <t>https://africanmarketingconfederation.org/test-payment-gate/</t>
        </is>
      </c>
      <c r="B155" s="6" t="inlineStr">
        <is>
          <t>Readability</t>
        </is>
      </c>
      <c r="C155" s="25" t="inlineStr">
        <is>
          <t>Warning</t>
        </is>
      </c>
      <c r="D155" s="6" t="inlineStr">
        <is>
          <t>Thin content</t>
        </is>
      </c>
      <c r="E155" s="6" t="n">
        <v>67</v>
      </c>
      <c r="F155" s="6" t="n">
        <v>214</v>
      </c>
      <c r="G155" s="6" t="inlineStr">
        <is>
          <t>&gt;=300 words (quality first)</t>
        </is>
      </c>
      <c r="H155" s="6" t="inlineStr">
        <is>
          <t>Expand page copy with useful, unique sections that answer key user questions.</t>
        </is>
      </c>
      <c r="I155" s="31" t="inlineStr">
        <is>
          <t>Content</t>
        </is>
      </c>
      <c r="J155" s="6" t="inlineStr">
        <is>
          <t>Word Count</t>
        </is>
      </c>
      <c r="K155" s="6" t="inlineStr">
        <is>
          <t>Yes</t>
        </is>
      </c>
      <c r="L155" s="6" t="inlineStr">
        <is>
          <t>Copy Writer</t>
        </is>
      </c>
      <c r="M155" s="25" t="inlineStr">
        <is>
          <t>Open</t>
        </is>
      </c>
      <c r="N155" s="6" t="n">
        <v>4</v>
      </c>
      <c r="O155" s="6" t="inlineStr">
        <is>
          <t>https://africanmarketingconfederation.org/test-payment-gate/::aioseo_thin_content</t>
        </is>
      </c>
      <c r="P155" s="6" t="inlineStr">
        <is>
          <t>Low-content pages can struggle to satisfy intent and rank competitively.</t>
        </is>
      </c>
      <c r="Q155">
        <f>IFERROR(HYPERLINK("#Main!A"&amp;MATCH(A155,Main!A:A,0),"Open"),HYPERLINK("#Main!A1","Open"))</f>
        <v/>
      </c>
      <c r="R155">
        <f>IFERROR(HYPERLINK("#Technical!A"&amp;MATCH(A155,Technical!A:A,0),"Open"),HYPERLINK("#Technical!A1","Open"))</f>
        <v/>
      </c>
    </row>
    <row r="156" ht="30" customHeight="1">
      <c r="A156" s="33" t="inlineStr">
        <is>
          <t>https://africanmarketingconfederation.org/thank-you-for-registering-2024-registrations-kenya/</t>
        </is>
      </c>
      <c r="B156" s="24" t="inlineStr">
        <is>
          <t>Readability</t>
        </is>
      </c>
      <c r="C156" s="25" t="inlineStr">
        <is>
          <t>Warning</t>
        </is>
      </c>
      <c r="D156" s="24" t="inlineStr">
        <is>
          <t>Missing H1 heading</t>
        </is>
      </c>
      <c r="E156" s="24" t="n">
        <v>67</v>
      </c>
      <c r="F156" s="24" t="n">
        <v>0</v>
      </c>
      <c r="G156" s="24" t="inlineStr">
        <is>
          <t>Exactly 1 descriptive H1</t>
        </is>
      </c>
      <c r="H156" s="24" t="inlineStr">
        <is>
          <t>Update page content to include a single descriptive H1 aligned to primary intent.</t>
        </is>
      </c>
      <c r="I156" s="28" t="inlineStr">
        <is>
          <t>Content</t>
        </is>
      </c>
      <c r="J156" s="24" t="inlineStr">
        <is>
          <t>Missing H1 Flag</t>
        </is>
      </c>
      <c r="K156" s="24" t="inlineStr">
        <is>
          <t>Yes</t>
        </is>
      </c>
      <c r="L156" s="24" t="inlineStr">
        <is>
          <t>Copy Writer</t>
        </is>
      </c>
      <c r="M156" s="25" t="inlineStr">
        <is>
          <t>Open</t>
        </is>
      </c>
      <c r="N156" s="24" t="n">
        <v>4</v>
      </c>
      <c r="O156" s="24" t="inlineStr">
        <is>
          <t>https://africanmarketingconfederation.org/thank-you-for-registering-2024-registrations-kenya/::aioseo_missing_h1_heading</t>
        </is>
      </c>
      <c r="P156" s="24" t="inlineStr">
        <is>
          <t>A missing H1 weakens topical clarity for users and crawlers.</t>
        </is>
      </c>
      <c r="Q156">
        <f>IFERROR(HYPERLINK("#Main!A"&amp;MATCH(A156,Main!A:A,0),"Open"),HYPERLINK("#Main!A1","Open"))</f>
        <v/>
      </c>
      <c r="R156">
        <f>IFERROR(HYPERLINK("#Technical!A"&amp;MATCH(A156,Technical!A:A,0),"Open"),HYPERLINK("#Technical!A1","Open"))</f>
        <v/>
      </c>
    </row>
    <row r="157" ht="30" customHeight="1">
      <c r="A157" s="33" t="inlineStr">
        <is>
          <t>https://africanmarketingconfederation.org/thank-you-for-registering-2024-registrations-kenya/</t>
        </is>
      </c>
      <c r="B157" s="6" t="inlineStr">
        <is>
          <t>Readability</t>
        </is>
      </c>
      <c r="C157" s="25" t="inlineStr">
        <is>
          <t>Warning</t>
        </is>
      </c>
      <c r="D157" s="6" t="inlineStr">
        <is>
          <t>Thin content</t>
        </is>
      </c>
      <c r="E157" s="6" t="n">
        <v>67</v>
      </c>
      <c r="F157" s="6" t="n">
        <v>141</v>
      </c>
      <c r="G157" s="6" t="inlineStr">
        <is>
          <t>&gt;=300 words (quality first)</t>
        </is>
      </c>
      <c r="H157" s="6" t="inlineStr">
        <is>
          <t>Expand page copy with useful, unique sections that answer key user questions.</t>
        </is>
      </c>
      <c r="I157" s="31" t="inlineStr">
        <is>
          <t>Content</t>
        </is>
      </c>
      <c r="J157" s="6" t="inlineStr">
        <is>
          <t>Word Count</t>
        </is>
      </c>
      <c r="K157" s="6" t="inlineStr">
        <is>
          <t>Yes</t>
        </is>
      </c>
      <c r="L157" s="6" t="inlineStr">
        <is>
          <t>Copy Writer</t>
        </is>
      </c>
      <c r="M157" s="25" t="inlineStr">
        <is>
          <t>Open</t>
        </is>
      </c>
      <c r="N157" s="6" t="n">
        <v>4</v>
      </c>
      <c r="O157" s="6" t="inlineStr">
        <is>
          <t>https://africanmarketingconfederation.org/thank-you-for-registering-2024-registrations-kenya/::aioseo_thin_content</t>
        </is>
      </c>
      <c r="P157" s="6" t="inlineStr">
        <is>
          <t>Low-content pages can struggle to satisfy intent and rank competitively.</t>
        </is>
      </c>
      <c r="Q157">
        <f>IFERROR(HYPERLINK("#Main!A"&amp;MATCH(A157,Main!A:A,0),"Open"),HYPERLINK("#Main!A1","Open"))</f>
        <v/>
      </c>
      <c r="R157">
        <f>IFERROR(HYPERLINK("#Technical!A"&amp;MATCH(A157,Technical!A:A,0),"Open"),HYPERLINK("#Technical!A1","Open"))</f>
        <v/>
      </c>
    </row>
    <row r="158" ht="30" customHeight="1">
      <c r="A158" s="33" t="inlineStr">
        <is>
          <t>https://africanmarketingconfederation.org/thank-you-for-registering-2024-registrations/</t>
        </is>
      </c>
      <c r="B158" s="24" t="inlineStr">
        <is>
          <t>Readability</t>
        </is>
      </c>
      <c r="C158" s="25" t="inlineStr">
        <is>
          <t>Warning</t>
        </is>
      </c>
      <c r="D158" s="24" t="inlineStr">
        <is>
          <t>Missing H1 heading</t>
        </is>
      </c>
      <c r="E158" s="24" t="n">
        <v>67</v>
      </c>
      <c r="F158" s="24" t="n">
        <v>0</v>
      </c>
      <c r="G158" s="24" t="inlineStr">
        <is>
          <t>Exactly 1 descriptive H1</t>
        </is>
      </c>
      <c r="H158" s="24" t="inlineStr">
        <is>
          <t>Update page content to include a single descriptive H1 aligned to primary intent.</t>
        </is>
      </c>
      <c r="I158" s="28" t="inlineStr">
        <is>
          <t>Content</t>
        </is>
      </c>
      <c r="J158" s="24" t="inlineStr">
        <is>
          <t>Missing H1 Flag</t>
        </is>
      </c>
      <c r="K158" s="24" t="inlineStr">
        <is>
          <t>Yes</t>
        </is>
      </c>
      <c r="L158" s="24" t="inlineStr">
        <is>
          <t>Copy Writer</t>
        </is>
      </c>
      <c r="M158" s="25" t="inlineStr">
        <is>
          <t>Open</t>
        </is>
      </c>
      <c r="N158" s="24" t="n">
        <v>4</v>
      </c>
      <c r="O158" s="24" t="inlineStr">
        <is>
          <t>https://africanmarketingconfederation.org/thank-you-for-registering-2024-registrations/::aioseo_missing_h1_heading</t>
        </is>
      </c>
      <c r="P158" s="24" t="inlineStr">
        <is>
          <t>A missing H1 weakens topical clarity for users and crawlers.</t>
        </is>
      </c>
      <c r="Q158">
        <f>IFERROR(HYPERLINK("#Main!A"&amp;MATCH(A158,Main!A:A,0),"Open"),HYPERLINK("#Main!A1","Open"))</f>
        <v/>
      </c>
      <c r="R158">
        <f>IFERROR(HYPERLINK("#Technical!A"&amp;MATCH(A158,Technical!A:A,0),"Open"),HYPERLINK("#Technical!A1","Open"))</f>
        <v/>
      </c>
    </row>
    <row r="159" ht="30" customHeight="1">
      <c r="A159" s="33" t="inlineStr">
        <is>
          <t>https://africanmarketingconfederation.org/thank-you-for-registering-2024-registrations/</t>
        </is>
      </c>
      <c r="B159" s="6" t="inlineStr">
        <is>
          <t>Readability</t>
        </is>
      </c>
      <c r="C159" s="25" t="inlineStr">
        <is>
          <t>Warning</t>
        </is>
      </c>
      <c r="D159" s="6" t="inlineStr">
        <is>
          <t>Thin content</t>
        </is>
      </c>
      <c r="E159" s="6" t="n">
        <v>67</v>
      </c>
      <c r="F159" s="6" t="n">
        <v>153</v>
      </c>
      <c r="G159" s="6" t="inlineStr">
        <is>
          <t>&gt;=300 words (quality first)</t>
        </is>
      </c>
      <c r="H159" s="6" t="inlineStr">
        <is>
          <t>Expand page copy with useful, unique sections that answer key user questions.</t>
        </is>
      </c>
      <c r="I159" s="31" t="inlineStr">
        <is>
          <t>Content</t>
        </is>
      </c>
      <c r="J159" s="6" t="inlineStr">
        <is>
          <t>Word Count</t>
        </is>
      </c>
      <c r="K159" s="6" t="inlineStr">
        <is>
          <t>Yes</t>
        </is>
      </c>
      <c r="L159" s="6" t="inlineStr">
        <is>
          <t>Copy Writer</t>
        </is>
      </c>
      <c r="M159" s="25" t="inlineStr">
        <is>
          <t>Open</t>
        </is>
      </c>
      <c r="N159" s="6" t="n">
        <v>4</v>
      </c>
      <c r="O159" s="6" t="inlineStr">
        <is>
          <t>https://africanmarketingconfederation.org/thank-you-for-registering-2024-registrations/::aioseo_thin_content</t>
        </is>
      </c>
      <c r="P159" s="6" t="inlineStr">
        <is>
          <t>Low-content pages can struggle to satisfy intent and rank competitively.</t>
        </is>
      </c>
      <c r="Q159">
        <f>IFERROR(HYPERLINK("#Main!A"&amp;MATCH(A159,Main!A:A,0),"Open"),HYPERLINK("#Main!A1","Open"))</f>
        <v/>
      </c>
      <c r="R159">
        <f>IFERROR(HYPERLINK("#Technical!A"&amp;MATCH(A159,Technical!A:A,0),"Open"),HYPERLINK("#Technical!A1","Open"))</f>
        <v/>
      </c>
    </row>
    <row r="160" ht="30" customHeight="1">
      <c r="A160" s="33" t="inlineStr">
        <is>
          <t>https://africanmarketingconfederation.org/thank-you-for-subscribing/</t>
        </is>
      </c>
      <c r="B160" s="24" t="inlineStr">
        <is>
          <t>Readability</t>
        </is>
      </c>
      <c r="C160" s="25" t="inlineStr">
        <is>
          <t>Warning</t>
        </is>
      </c>
      <c r="D160" s="24" t="inlineStr">
        <is>
          <t>Missing H1 heading</t>
        </is>
      </c>
      <c r="E160" s="24" t="n">
        <v>67</v>
      </c>
      <c r="F160" s="24" t="n">
        <v>0</v>
      </c>
      <c r="G160" s="24" t="inlineStr">
        <is>
          <t>Exactly 1 descriptive H1</t>
        </is>
      </c>
      <c r="H160" s="24" t="inlineStr">
        <is>
          <t>Update page content to include a single descriptive H1 aligned to primary intent.</t>
        </is>
      </c>
      <c r="I160" s="28" t="inlineStr">
        <is>
          <t>Content</t>
        </is>
      </c>
      <c r="J160" s="24" t="inlineStr">
        <is>
          <t>Missing H1 Flag</t>
        </is>
      </c>
      <c r="K160" s="24" t="inlineStr">
        <is>
          <t>Yes</t>
        </is>
      </c>
      <c r="L160" s="24" t="inlineStr">
        <is>
          <t>Copy Writer</t>
        </is>
      </c>
      <c r="M160" s="25" t="inlineStr">
        <is>
          <t>Open</t>
        </is>
      </c>
      <c r="N160" s="24" t="n">
        <v>4</v>
      </c>
      <c r="O160" s="24" t="inlineStr">
        <is>
          <t>https://africanmarketingconfederation.org/thank-you-for-subscribing/::aioseo_missing_h1_heading</t>
        </is>
      </c>
      <c r="P160" s="24" t="inlineStr">
        <is>
          <t>A missing H1 weakens topical clarity for users and crawlers.</t>
        </is>
      </c>
      <c r="Q160">
        <f>IFERROR(HYPERLINK("#Main!A"&amp;MATCH(A160,Main!A:A,0),"Open"),HYPERLINK("#Main!A1","Open"))</f>
        <v/>
      </c>
      <c r="R160">
        <f>IFERROR(HYPERLINK("#Technical!A"&amp;MATCH(A160,Technical!A:A,0),"Open"),HYPERLINK("#Technical!A1","Open"))</f>
        <v/>
      </c>
    </row>
    <row r="161" ht="30" customHeight="1">
      <c r="A161" s="33" t="inlineStr">
        <is>
          <t>https://africanmarketingconfederation.org/thank-you-for-subscribing/</t>
        </is>
      </c>
      <c r="B161" s="6" t="inlineStr">
        <is>
          <t>Readability</t>
        </is>
      </c>
      <c r="C161" s="25" t="inlineStr">
        <is>
          <t>Warning</t>
        </is>
      </c>
      <c r="D161" s="6" t="inlineStr">
        <is>
          <t>Thin content</t>
        </is>
      </c>
      <c r="E161" s="6" t="n">
        <v>67</v>
      </c>
      <c r="F161" s="6" t="n">
        <v>219</v>
      </c>
      <c r="G161" s="6" t="inlineStr">
        <is>
          <t>&gt;=300 words (quality first)</t>
        </is>
      </c>
      <c r="H161" s="6" t="inlineStr">
        <is>
          <t>Expand page copy with useful, unique sections that answer key user questions.</t>
        </is>
      </c>
      <c r="I161" s="31" t="inlineStr">
        <is>
          <t>Content</t>
        </is>
      </c>
      <c r="J161" s="6" t="inlineStr">
        <is>
          <t>Word Count</t>
        </is>
      </c>
      <c r="K161" s="6" t="inlineStr">
        <is>
          <t>Yes</t>
        </is>
      </c>
      <c r="L161" s="6" t="inlineStr">
        <is>
          <t>Copy Writer</t>
        </is>
      </c>
      <c r="M161" s="25" t="inlineStr">
        <is>
          <t>Open</t>
        </is>
      </c>
      <c r="N161" s="6" t="n">
        <v>4</v>
      </c>
      <c r="O161" s="6" t="inlineStr">
        <is>
          <t>https://africanmarketingconfederation.org/thank-you-for-subscribing/::aioseo_thin_content</t>
        </is>
      </c>
      <c r="P161" s="6" t="inlineStr">
        <is>
          <t>Low-content pages can struggle to satisfy intent and rank competitively.</t>
        </is>
      </c>
      <c r="Q161">
        <f>IFERROR(HYPERLINK("#Main!A"&amp;MATCH(A161,Main!A:A,0),"Open"),HYPERLINK("#Main!A1","Open"))</f>
        <v/>
      </c>
      <c r="R161">
        <f>IFERROR(HYPERLINK("#Technical!A"&amp;MATCH(A161,Technical!A:A,0),"Open"),HYPERLINK("#Technical!A1","Open"))</f>
        <v/>
      </c>
    </row>
    <row r="162" ht="30" customHeight="1">
      <c r="A162" s="33" t="inlineStr">
        <is>
          <t>https://africanmarketingconfederation.org/thank-you-for-the-nomination-2024/</t>
        </is>
      </c>
      <c r="B162" s="24" t="inlineStr">
        <is>
          <t>Readability</t>
        </is>
      </c>
      <c r="C162" s="25" t="inlineStr">
        <is>
          <t>Warning</t>
        </is>
      </c>
      <c r="D162" s="24" t="inlineStr">
        <is>
          <t>Missing H1 heading</t>
        </is>
      </c>
      <c r="E162" s="24" t="n">
        <v>67</v>
      </c>
      <c r="F162" s="24" t="n">
        <v>0</v>
      </c>
      <c r="G162" s="24" t="inlineStr">
        <is>
          <t>Exactly 1 descriptive H1</t>
        </is>
      </c>
      <c r="H162" s="24" t="inlineStr">
        <is>
          <t>Update page content to include a single descriptive H1 aligned to primary intent.</t>
        </is>
      </c>
      <c r="I162" s="28" t="inlineStr">
        <is>
          <t>Content</t>
        </is>
      </c>
      <c r="J162" s="24" t="inlineStr">
        <is>
          <t>Missing H1 Flag</t>
        </is>
      </c>
      <c r="K162" s="24" t="inlineStr">
        <is>
          <t>Yes</t>
        </is>
      </c>
      <c r="L162" s="24" t="inlineStr">
        <is>
          <t>Copy Writer</t>
        </is>
      </c>
      <c r="M162" s="25" t="inlineStr">
        <is>
          <t>Open</t>
        </is>
      </c>
      <c r="N162" s="24" t="n">
        <v>4</v>
      </c>
      <c r="O162" s="24" t="inlineStr">
        <is>
          <t>https://africanmarketingconfederation.org/thank-you-for-the-nomination-2024/::aioseo_missing_h1_heading</t>
        </is>
      </c>
      <c r="P162" s="24" t="inlineStr">
        <is>
          <t>A missing H1 weakens topical clarity for users and crawlers.</t>
        </is>
      </c>
      <c r="Q162">
        <f>IFERROR(HYPERLINK("#Main!A"&amp;MATCH(A162,Main!A:A,0),"Open"),HYPERLINK("#Main!A1","Open"))</f>
        <v/>
      </c>
      <c r="R162">
        <f>IFERROR(HYPERLINK("#Technical!A"&amp;MATCH(A162,Technical!A:A,0),"Open"),HYPERLINK("#Technical!A1","Open"))</f>
        <v/>
      </c>
    </row>
    <row r="163" ht="30" customHeight="1">
      <c r="A163" s="33" t="inlineStr">
        <is>
          <t>https://africanmarketingconfederation.org/thank-you-for-the-nomination-2024/</t>
        </is>
      </c>
      <c r="B163" s="6" t="inlineStr">
        <is>
          <t>Readability</t>
        </is>
      </c>
      <c r="C163" s="25" t="inlineStr">
        <is>
          <t>Warning</t>
        </is>
      </c>
      <c r="D163" s="6" t="inlineStr">
        <is>
          <t>Thin content</t>
        </is>
      </c>
      <c r="E163" s="6" t="n">
        <v>67</v>
      </c>
      <c r="F163" s="6" t="n">
        <v>133</v>
      </c>
      <c r="G163" s="6" t="inlineStr">
        <is>
          <t>&gt;=300 words (quality first)</t>
        </is>
      </c>
      <c r="H163" s="6" t="inlineStr">
        <is>
          <t>Expand page copy with useful, unique sections that answer key user questions.</t>
        </is>
      </c>
      <c r="I163" s="31" t="inlineStr">
        <is>
          <t>Content</t>
        </is>
      </c>
      <c r="J163" s="6" t="inlineStr">
        <is>
          <t>Word Count</t>
        </is>
      </c>
      <c r="K163" s="6" t="inlineStr">
        <is>
          <t>Yes</t>
        </is>
      </c>
      <c r="L163" s="6" t="inlineStr">
        <is>
          <t>Copy Writer</t>
        </is>
      </c>
      <c r="M163" s="25" t="inlineStr">
        <is>
          <t>Open</t>
        </is>
      </c>
      <c r="N163" s="6" t="n">
        <v>4</v>
      </c>
      <c r="O163" s="6" t="inlineStr">
        <is>
          <t>https://africanmarketingconfederation.org/thank-you-for-the-nomination-2024/::aioseo_thin_content</t>
        </is>
      </c>
      <c r="P163" s="6" t="inlineStr">
        <is>
          <t>Low-content pages can struggle to satisfy intent and rank competitively.</t>
        </is>
      </c>
      <c r="Q163">
        <f>IFERROR(HYPERLINK("#Main!A"&amp;MATCH(A163,Main!A:A,0),"Open"),HYPERLINK("#Main!A1","Open"))</f>
        <v/>
      </c>
      <c r="R163">
        <f>IFERROR(HYPERLINK("#Technical!A"&amp;MATCH(A163,Technical!A:A,0),"Open"),HYPERLINK("#Technical!A1","Open"))</f>
        <v/>
      </c>
    </row>
    <row r="164" ht="30" customHeight="1">
      <c r="A164" s="33" t="inlineStr">
        <is>
          <t>https://africanmarketingconfederation.org/thank-you-for-the-submission-2024/</t>
        </is>
      </c>
      <c r="B164" s="24" t="inlineStr">
        <is>
          <t>Readability</t>
        </is>
      </c>
      <c r="C164" s="25" t="inlineStr">
        <is>
          <t>Warning</t>
        </is>
      </c>
      <c r="D164" s="24" t="inlineStr">
        <is>
          <t>Missing H1 heading</t>
        </is>
      </c>
      <c r="E164" s="24" t="n">
        <v>67</v>
      </c>
      <c r="F164" s="24" t="n">
        <v>0</v>
      </c>
      <c r="G164" s="24" t="inlineStr">
        <is>
          <t>Exactly 1 descriptive H1</t>
        </is>
      </c>
      <c r="H164" s="24" t="inlineStr">
        <is>
          <t>Update page content to include a single descriptive H1 aligned to primary intent.</t>
        </is>
      </c>
      <c r="I164" s="28" t="inlineStr">
        <is>
          <t>Content</t>
        </is>
      </c>
      <c r="J164" s="24" t="inlineStr">
        <is>
          <t>Missing H1 Flag</t>
        </is>
      </c>
      <c r="K164" s="24" t="inlineStr">
        <is>
          <t>Yes</t>
        </is>
      </c>
      <c r="L164" s="24" t="inlineStr">
        <is>
          <t>Copy Writer</t>
        </is>
      </c>
      <c r="M164" s="25" t="inlineStr">
        <is>
          <t>Open</t>
        </is>
      </c>
      <c r="N164" s="24" t="n">
        <v>4</v>
      </c>
      <c r="O164" s="24" t="inlineStr">
        <is>
          <t>https://africanmarketingconfederation.org/thank-you-for-the-submission-2024/::aioseo_missing_h1_heading</t>
        </is>
      </c>
      <c r="P164" s="24" t="inlineStr">
        <is>
          <t>A missing H1 weakens topical clarity for users and crawlers.</t>
        </is>
      </c>
      <c r="Q164">
        <f>IFERROR(HYPERLINK("#Main!A"&amp;MATCH(A164,Main!A:A,0),"Open"),HYPERLINK("#Main!A1","Open"))</f>
        <v/>
      </c>
      <c r="R164">
        <f>IFERROR(HYPERLINK("#Technical!A"&amp;MATCH(A164,Technical!A:A,0),"Open"),HYPERLINK("#Technical!A1","Open"))</f>
        <v/>
      </c>
    </row>
    <row r="165" ht="30" customHeight="1">
      <c r="A165" s="33" t="inlineStr">
        <is>
          <t>https://africanmarketingconfederation.org/thank-you-for-the-submission-2024/</t>
        </is>
      </c>
      <c r="B165" s="6" t="inlineStr">
        <is>
          <t>Readability</t>
        </is>
      </c>
      <c r="C165" s="25" t="inlineStr">
        <is>
          <t>Warning</t>
        </is>
      </c>
      <c r="D165" s="6" t="inlineStr">
        <is>
          <t>Thin content</t>
        </is>
      </c>
      <c r="E165" s="6" t="n">
        <v>67</v>
      </c>
      <c r="F165" s="6" t="n">
        <v>87</v>
      </c>
      <c r="G165" s="6" t="inlineStr">
        <is>
          <t>&gt;=300 words (quality first)</t>
        </is>
      </c>
      <c r="H165" s="6" t="inlineStr">
        <is>
          <t>Expand page copy with useful, unique sections that answer key user questions.</t>
        </is>
      </c>
      <c r="I165" s="31" t="inlineStr">
        <is>
          <t>Content</t>
        </is>
      </c>
      <c r="J165" s="6" t="inlineStr">
        <is>
          <t>Word Count</t>
        </is>
      </c>
      <c r="K165" s="6" t="inlineStr">
        <is>
          <t>Yes</t>
        </is>
      </c>
      <c r="L165" s="6" t="inlineStr">
        <is>
          <t>Copy Writer</t>
        </is>
      </c>
      <c r="M165" s="25" t="inlineStr">
        <is>
          <t>Open</t>
        </is>
      </c>
      <c r="N165" s="6" t="n">
        <v>4</v>
      </c>
      <c r="O165" s="6" t="inlineStr">
        <is>
          <t>https://africanmarketingconfederation.org/thank-you-for-the-submission-2024/::aioseo_thin_content</t>
        </is>
      </c>
      <c r="P165" s="6" t="inlineStr">
        <is>
          <t>Low-content pages can struggle to satisfy intent and rank competitively.</t>
        </is>
      </c>
      <c r="Q165">
        <f>IFERROR(HYPERLINK("#Main!A"&amp;MATCH(A165,Main!A:A,0),"Open"),HYPERLINK("#Main!A1","Open"))</f>
        <v/>
      </c>
      <c r="R165">
        <f>IFERROR(HYPERLINK("#Technical!A"&amp;MATCH(A165,Technical!A:A,0),"Open"),HYPERLINK("#Technical!A1","Open"))</f>
        <v/>
      </c>
    </row>
    <row r="166" ht="30" customHeight="1">
      <c r="A166" s="33" t="inlineStr">
        <is>
          <t>https://africanmarketingconfederation.org/upcoming-events/</t>
        </is>
      </c>
      <c r="B166" s="24" t="inlineStr">
        <is>
          <t>Readability</t>
        </is>
      </c>
      <c r="C166" s="25" t="inlineStr">
        <is>
          <t>Warning</t>
        </is>
      </c>
      <c r="D166" s="24" t="inlineStr">
        <is>
          <t>Missing H1 heading</t>
        </is>
      </c>
      <c r="E166" s="24" t="n">
        <v>67</v>
      </c>
      <c r="F166" s="24" t="n">
        <v>0</v>
      </c>
      <c r="G166" s="24" t="inlineStr">
        <is>
          <t>Exactly 1 descriptive H1</t>
        </is>
      </c>
      <c r="H166" s="24" t="inlineStr">
        <is>
          <t>Update page content to include a single descriptive H1 aligned to primary intent.</t>
        </is>
      </c>
      <c r="I166" s="28" t="inlineStr">
        <is>
          <t>Content</t>
        </is>
      </c>
      <c r="J166" s="24" t="inlineStr">
        <is>
          <t>Missing H1 Flag</t>
        </is>
      </c>
      <c r="K166" s="24" t="inlineStr">
        <is>
          <t>Yes</t>
        </is>
      </c>
      <c r="L166" s="24" t="inlineStr">
        <is>
          <t>Copy Writer</t>
        </is>
      </c>
      <c r="M166" s="25" t="inlineStr">
        <is>
          <t>Open</t>
        </is>
      </c>
      <c r="N166" s="24" t="n">
        <v>4</v>
      </c>
      <c r="O166" s="24" t="inlineStr">
        <is>
          <t>https://africanmarketingconfederation.org/upcoming-events/::aioseo_missing_h1_heading</t>
        </is>
      </c>
      <c r="P166" s="24" t="inlineStr">
        <is>
          <t>A missing H1 weakens topical clarity for users and crawlers.</t>
        </is>
      </c>
      <c r="Q166">
        <f>IFERROR(HYPERLINK("#Main!A"&amp;MATCH(A166,Main!A:A,0),"Open"),HYPERLINK("#Main!A1","Open"))</f>
        <v/>
      </c>
      <c r="R166">
        <f>IFERROR(HYPERLINK("#Technical!A"&amp;MATCH(A166,Technical!A:A,0),"Open"),HYPERLINK("#Technical!A1","Open"))</f>
        <v/>
      </c>
    </row>
    <row r="167" ht="30" customHeight="1">
      <c r="A167" s="33" t="inlineStr">
        <is>
          <t>https://africanmarketingconfederation.org/upcoming-events/</t>
        </is>
      </c>
      <c r="B167" s="6" t="inlineStr">
        <is>
          <t>Readability</t>
        </is>
      </c>
      <c r="C167" s="25" t="inlineStr">
        <is>
          <t>Warning</t>
        </is>
      </c>
      <c r="D167" s="6" t="inlineStr">
        <is>
          <t>Thin content</t>
        </is>
      </c>
      <c r="E167" s="6" t="n">
        <v>67</v>
      </c>
      <c r="F167" s="6" t="n">
        <v>142</v>
      </c>
      <c r="G167" s="6" t="inlineStr">
        <is>
          <t>&gt;=300 words (quality first)</t>
        </is>
      </c>
      <c r="H167" s="6" t="inlineStr">
        <is>
          <t>Expand page copy with useful, unique sections that answer key user questions.</t>
        </is>
      </c>
      <c r="I167" s="31" t="inlineStr">
        <is>
          <t>Content</t>
        </is>
      </c>
      <c r="J167" s="6" t="inlineStr">
        <is>
          <t>Word Count</t>
        </is>
      </c>
      <c r="K167" s="6" t="inlineStr">
        <is>
          <t>Yes</t>
        </is>
      </c>
      <c r="L167" s="6" t="inlineStr">
        <is>
          <t>Copy Writer</t>
        </is>
      </c>
      <c r="M167" s="25" t="inlineStr">
        <is>
          <t>Open</t>
        </is>
      </c>
      <c r="N167" s="6" t="n">
        <v>4</v>
      </c>
      <c r="O167" s="6" t="inlineStr">
        <is>
          <t>https://africanmarketingconfederation.org/upcoming-events/::aioseo_thin_content</t>
        </is>
      </c>
      <c r="P167" s="6" t="inlineStr">
        <is>
          <t>Low-content pages can struggle to satisfy intent and rank competitively.</t>
        </is>
      </c>
      <c r="Q167">
        <f>IFERROR(HYPERLINK("#Main!A"&amp;MATCH(A167,Main!A:A,0),"Open"),HYPERLINK("#Main!A1","Open"))</f>
        <v/>
      </c>
      <c r="R167">
        <f>IFERROR(HYPERLINK("#Technical!A"&amp;MATCH(A167,Technical!A:A,0),"Open"),HYPERLINK("#Technical!A1","Open"))</f>
        <v/>
      </c>
    </row>
    <row r="168" ht="30" customHeight="1">
      <c r="A168" s="33" t="inlineStr">
        <is>
          <t>https://africanmarketingconfederation.org/virtual-programme/</t>
        </is>
      </c>
      <c r="B168" s="24" t="inlineStr">
        <is>
          <t>Readability</t>
        </is>
      </c>
      <c r="C168" s="25" t="inlineStr">
        <is>
          <t>Warning</t>
        </is>
      </c>
      <c r="D168" s="24" t="inlineStr">
        <is>
          <t>Missing H1 heading</t>
        </is>
      </c>
      <c r="E168" s="24" t="n">
        <v>67</v>
      </c>
      <c r="F168" s="24" t="n">
        <v>0</v>
      </c>
      <c r="G168" s="24" t="inlineStr">
        <is>
          <t>Exactly 1 descriptive H1</t>
        </is>
      </c>
      <c r="H168" s="24" t="inlineStr">
        <is>
          <t>Update page content to include a single descriptive H1 aligned to primary intent.</t>
        </is>
      </c>
      <c r="I168" s="28" t="inlineStr">
        <is>
          <t>Content</t>
        </is>
      </c>
      <c r="J168" s="24" t="inlineStr">
        <is>
          <t>Missing H1 Flag</t>
        </is>
      </c>
      <c r="K168" s="24" t="inlineStr">
        <is>
          <t>Yes</t>
        </is>
      </c>
      <c r="L168" s="24" t="inlineStr">
        <is>
          <t>Copy Writer</t>
        </is>
      </c>
      <c r="M168" s="25" t="inlineStr">
        <is>
          <t>Open</t>
        </is>
      </c>
      <c r="N168" s="24" t="n">
        <v>4</v>
      </c>
      <c r="O168" s="24" t="inlineStr">
        <is>
          <t>https://africanmarketingconfederation.org/virtual-programme/::aioseo_missing_h1_heading</t>
        </is>
      </c>
      <c r="P168" s="24" t="inlineStr">
        <is>
          <t>A missing H1 weakens topical clarity for users and crawlers.</t>
        </is>
      </c>
      <c r="Q168">
        <f>IFERROR(HYPERLINK("#Main!A"&amp;MATCH(A168,Main!A:A,0),"Open"),HYPERLINK("#Main!A1","Open"))</f>
        <v/>
      </c>
      <c r="R168">
        <f>IFERROR(HYPERLINK("#Technical!A"&amp;MATCH(A168,Technical!A:A,0),"Open"),HYPERLINK("#Technical!A1","Open"))</f>
        <v/>
      </c>
    </row>
    <row r="169" ht="45" customHeight="1">
      <c r="A169" s="33" t="inlineStr">
        <is>
          <t>https://africanmarketingconfederation.org/</t>
        </is>
      </c>
      <c r="B169" s="6" t="inlineStr">
        <is>
          <t>Schema</t>
        </is>
      </c>
      <c r="C169" s="25" t="inlineStr">
        <is>
          <t>Warning</t>
        </is>
      </c>
      <c r="D169" s="6" t="inlineStr">
        <is>
          <t>No schema markup detected</t>
        </is>
      </c>
      <c r="E169" s="6" t="n">
        <v>67</v>
      </c>
      <c r="F169" s="6" t="n">
        <v>0</v>
      </c>
      <c r="G169" s="6" t="inlineStr">
        <is>
          <t>At least one relevant schema type</t>
        </is>
      </c>
      <c r="H169" s="6" t="inlineStr">
        <is>
          <t>In AIOSEO schema settings for the page, add the most relevant type (Article/FAQ/HowTo/Product, etc.).</t>
        </is>
      </c>
      <c r="I169" s="31" t="inlineStr">
        <is>
          <t>StructuredData</t>
        </is>
      </c>
      <c r="J169" s="6" t="inlineStr">
        <is>
          <t>Schema Types Count</t>
        </is>
      </c>
      <c r="K169" s="6" t="inlineStr">
        <is>
          <t>Yes</t>
        </is>
      </c>
      <c r="L169" s="6" t="inlineStr">
        <is>
          <t>Copy Writer</t>
        </is>
      </c>
      <c r="M169" s="25" t="inlineStr">
        <is>
          <t>Open</t>
        </is>
      </c>
      <c r="N169" s="6" t="n">
        <v>4</v>
      </c>
      <c r="O169" s="6" t="inlineStr">
        <is>
          <t>https://africanmarketingconfederation.org/::aioseo_no_schema_markup_detected</t>
        </is>
      </c>
      <c r="P169" s="6" t="inlineStr">
        <is>
          <t>Schema improves understanding and rich result eligibility.</t>
        </is>
      </c>
      <c r="Q169">
        <f>IFERROR(HYPERLINK("#Main!A"&amp;MATCH(A169,Main!A:A,0),"Open"),HYPERLINK("#Main!A1","Open"))</f>
        <v/>
      </c>
      <c r="R169">
        <f>IFERROR(HYPERLINK("#Technical!A"&amp;MATCH(A169,Technical!A:A,0),"Open"),HYPERLINK("#Technical!A1","Open"))</f>
        <v/>
      </c>
    </row>
    <row r="170" ht="45" customHeight="1">
      <c r="A170" s="33" t="inlineStr">
        <is>
          <t>https://africanmarketingconfederation.org/about-us/</t>
        </is>
      </c>
      <c r="B170" s="24" t="inlineStr">
        <is>
          <t>Schema</t>
        </is>
      </c>
      <c r="C170" s="25" t="inlineStr">
        <is>
          <t>Warning</t>
        </is>
      </c>
      <c r="D170" s="24" t="inlineStr">
        <is>
          <t>No schema markup detected</t>
        </is>
      </c>
      <c r="E170" s="24" t="n">
        <v>67</v>
      </c>
      <c r="F170" s="24" t="n">
        <v>0</v>
      </c>
      <c r="G170" s="24" t="inlineStr">
        <is>
          <t>At least one relevant schema type</t>
        </is>
      </c>
      <c r="H170" s="24" t="inlineStr">
        <is>
          <t>In AIOSEO schema settings for the page, add the most relevant type (Article/FAQ/HowTo/Product, etc.).</t>
        </is>
      </c>
      <c r="I170" s="28" t="inlineStr">
        <is>
          <t>StructuredData</t>
        </is>
      </c>
      <c r="J170" s="24" t="inlineStr">
        <is>
          <t>Schema Types Count</t>
        </is>
      </c>
      <c r="K170" s="24" t="inlineStr">
        <is>
          <t>Yes</t>
        </is>
      </c>
      <c r="L170" s="24" t="inlineStr">
        <is>
          <t>Copy Writer</t>
        </is>
      </c>
      <c r="M170" s="25" t="inlineStr">
        <is>
          <t>Open</t>
        </is>
      </c>
      <c r="N170" s="24" t="n">
        <v>4</v>
      </c>
      <c r="O170" s="24" t="inlineStr">
        <is>
          <t>https://africanmarketingconfederation.org/about-us/::aioseo_no_schema_markup_detected</t>
        </is>
      </c>
      <c r="P170" s="24" t="inlineStr">
        <is>
          <t>Schema improves understanding and rich result eligibility.</t>
        </is>
      </c>
      <c r="Q170">
        <f>IFERROR(HYPERLINK("#Main!A"&amp;MATCH(A170,Main!A:A,0),"Open"),HYPERLINK("#Main!A1","Open"))</f>
        <v/>
      </c>
      <c r="R170">
        <f>IFERROR(HYPERLINK("#Technical!A"&amp;MATCH(A170,Technical!A:A,0),"Open"),HYPERLINK("#Technical!A1","Open"))</f>
        <v/>
      </c>
    </row>
    <row r="171" ht="45" customHeight="1">
      <c r="A171" s="33" t="inlineStr">
        <is>
          <t>https://africanmarketingconfederation.org/african-marketing-confederation-tourism-chapter/</t>
        </is>
      </c>
      <c r="B171" s="6" t="inlineStr">
        <is>
          <t>Schema</t>
        </is>
      </c>
      <c r="C171" s="25" t="inlineStr">
        <is>
          <t>Warning</t>
        </is>
      </c>
      <c r="D171" s="6" t="inlineStr">
        <is>
          <t>No schema markup detected</t>
        </is>
      </c>
      <c r="E171" s="6" t="n">
        <v>67</v>
      </c>
      <c r="F171" s="6" t="n">
        <v>0</v>
      </c>
      <c r="G171" s="6" t="inlineStr">
        <is>
          <t>At least one relevant schema type</t>
        </is>
      </c>
      <c r="H171" s="6" t="inlineStr">
        <is>
          <t>In AIOSEO schema settings for the page, add the most relevant type (Article/FAQ/HowTo/Product, etc.).</t>
        </is>
      </c>
      <c r="I171" s="31" t="inlineStr">
        <is>
          <t>StructuredData</t>
        </is>
      </c>
      <c r="J171" s="6" t="inlineStr">
        <is>
          <t>Schema Types Count</t>
        </is>
      </c>
      <c r="K171" s="6" t="inlineStr">
        <is>
          <t>Yes</t>
        </is>
      </c>
      <c r="L171" s="6" t="inlineStr">
        <is>
          <t>Copy Writer</t>
        </is>
      </c>
      <c r="M171" s="25" t="inlineStr">
        <is>
          <t>Open</t>
        </is>
      </c>
      <c r="N171" s="6" t="n">
        <v>4</v>
      </c>
      <c r="O171" s="6" t="inlineStr">
        <is>
          <t>https://africanmarketingconfederation.org/african-marketing-confederation-tourism-chapter/::aioseo_no_schema_markup_detected</t>
        </is>
      </c>
      <c r="P171" s="6" t="inlineStr">
        <is>
          <t>Schema improves understanding and rich result eligibility.</t>
        </is>
      </c>
      <c r="Q171">
        <f>IFERROR(HYPERLINK("#Main!A"&amp;MATCH(A171,Main!A:A,0),"Open"),HYPERLINK("#Main!A1","Open"))</f>
        <v/>
      </c>
      <c r="R171">
        <f>IFERROR(HYPERLINK("#Technical!A"&amp;MATCH(A171,Technical!A:A,0),"Open"),HYPERLINK("#Technical!A1","Open"))</f>
        <v/>
      </c>
    </row>
    <row r="172" ht="45" customHeight="1">
      <c r="A172" s="33" t="inlineStr">
        <is>
          <t>https://africanmarketingconfederation.org/amc-awards-2024/</t>
        </is>
      </c>
      <c r="B172" s="24" t="inlineStr">
        <is>
          <t>Schema</t>
        </is>
      </c>
      <c r="C172" s="25" t="inlineStr">
        <is>
          <t>Warning</t>
        </is>
      </c>
      <c r="D172" s="24" t="inlineStr">
        <is>
          <t>No schema markup detected</t>
        </is>
      </c>
      <c r="E172" s="24" t="n">
        <v>67</v>
      </c>
      <c r="F172" s="24" t="n">
        <v>0</v>
      </c>
      <c r="G172" s="24" t="inlineStr">
        <is>
          <t>At least one relevant schema type</t>
        </is>
      </c>
      <c r="H172" s="24" t="inlineStr">
        <is>
          <t>In AIOSEO schema settings for the page, add the most relevant type (Article/FAQ/HowTo/Product, etc.).</t>
        </is>
      </c>
      <c r="I172" s="28" t="inlineStr">
        <is>
          <t>StructuredData</t>
        </is>
      </c>
      <c r="J172" s="24" t="inlineStr">
        <is>
          <t>Schema Types Count</t>
        </is>
      </c>
      <c r="K172" s="24" t="inlineStr">
        <is>
          <t>Yes</t>
        </is>
      </c>
      <c r="L172" s="24" t="inlineStr">
        <is>
          <t>Copy Writer</t>
        </is>
      </c>
      <c r="M172" s="25" t="inlineStr">
        <is>
          <t>Open</t>
        </is>
      </c>
      <c r="N172" s="24" t="n">
        <v>4</v>
      </c>
      <c r="O172" s="24" t="inlineStr">
        <is>
          <t>https://africanmarketingconfederation.org/amc-awards-2024/::aioseo_no_schema_markup_detected</t>
        </is>
      </c>
      <c r="P172" s="24" t="inlineStr">
        <is>
          <t>Schema improves understanding and rich result eligibility.</t>
        </is>
      </c>
      <c r="Q172">
        <f>IFERROR(HYPERLINK("#Main!A"&amp;MATCH(A172,Main!A:A,0),"Open"),HYPERLINK("#Main!A1","Open"))</f>
        <v/>
      </c>
      <c r="R172">
        <f>IFERROR(HYPERLINK("#Technical!A"&amp;MATCH(A172,Technical!A:A,0),"Open"),HYPERLINK("#Technical!A1","Open"))</f>
        <v/>
      </c>
    </row>
    <row r="173" ht="45" customHeight="1">
      <c r="A173" s="33" t="inlineStr">
        <is>
          <t>https://africanmarketingconfederation.org/amc-conference-2022-prospectus/</t>
        </is>
      </c>
      <c r="B173" s="6" t="inlineStr">
        <is>
          <t>Schema</t>
        </is>
      </c>
      <c r="C173" s="25" t="inlineStr">
        <is>
          <t>Warning</t>
        </is>
      </c>
      <c r="D173" s="6" t="inlineStr">
        <is>
          <t>No schema markup detected</t>
        </is>
      </c>
      <c r="E173" s="6" t="n">
        <v>67</v>
      </c>
      <c r="F173" s="6" t="n">
        <v>0</v>
      </c>
      <c r="G173" s="6" t="inlineStr">
        <is>
          <t>At least one relevant schema type</t>
        </is>
      </c>
      <c r="H173" s="6" t="inlineStr">
        <is>
          <t>In AIOSEO schema settings for the page, add the most relevant type (Article/FAQ/HowTo/Product, etc.).</t>
        </is>
      </c>
      <c r="I173" s="31" t="inlineStr">
        <is>
          <t>StructuredData</t>
        </is>
      </c>
      <c r="J173" s="6" t="inlineStr">
        <is>
          <t>Schema Types Count</t>
        </is>
      </c>
      <c r="K173" s="6" t="inlineStr">
        <is>
          <t>Yes</t>
        </is>
      </c>
      <c r="L173" s="6" t="inlineStr">
        <is>
          <t>Copy Writer</t>
        </is>
      </c>
      <c r="M173" s="25" t="inlineStr">
        <is>
          <t>Open</t>
        </is>
      </c>
      <c r="N173" s="6" t="n">
        <v>4</v>
      </c>
      <c r="O173" s="6" t="inlineStr">
        <is>
          <t>https://africanmarketingconfederation.org/amc-conference-2022-prospectus/::aioseo_no_schema_markup_detected</t>
        </is>
      </c>
      <c r="P173" s="6" t="inlineStr">
        <is>
          <t>Schema improves understanding and rich result eligibility.</t>
        </is>
      </c>
      <c r="Q173">
        <f>IFERROR(HYPERLINK("#Main!A"&amp;MATCH(A173,Main!A:A,0),"Open"),HYPERLINK("#Main!A1","Open"))</f>
        <v/>
      </c>
      <c r="R173">
        <f>IFERROR(HYPERLINK("#Technical!A"&amp;MATCH(A173,Technical!A:A,0),"Open"),HYPERLINK("#Technical!A1","Open"))</f>
        <v/>
      </c>
    </row>
    <row r="174" ht="45" customHeight="1">
      <c r="A174" s="33" t="inlineStr">
        <is>
          <t>https://africanmarketingconfederation.org/amc-conference-2022-thank-you/</t>
        </is>
      </c>
      <c r="B174" s="24" t="inlineStr">
        <is>
          <t>Schema</t>
        </is>
      </c>
      <c r="C174" s="25" t="inlineStr">
        <is>
          <t>Warning</t>
        </is>
      </c>
      <c r="D174" s="24" t="inlineStr">
        <is>
          <t>No schema markup detected</t>
        </is>
      </c>
      <c r="E174" s="24" t="n">
        <v>67</v>
      </c>
      <c r="F174" s="24" t="n">
        <v>0</v>
      </c>
      <c r="G174" s="24" t="inlineStr">
        <is>
          <t>At least one relevant schema type</t>
        </is>
      </c>
      <c r="H174" s="24" t="inlineStr">
        <is>
          <t>In AIOSEO schema settings for the page, add the most relevant type (Article/FAQ/HowTo/Product, etc.).</t>
        </is>
      </c>
      <c r="I174" s="28" t="inlineStr">
        <is>
          <t>StructuredData</t>
        </is>
      </c>
      <c r="J174" s="24" t="inlineStr">
        <is>
          <t>Schema Types Count</t>
        </is>
      </c>
      <c r="K174" s="24" t="inlineStr">
        <is>
          <t>Yes</t>
        </is>
      </c>
      <c r="L174" s="24" t="inlineStr">
        <is>
          <t>Copy Writer</t>
        </is>
      </c>
      <c r="M174" s="25" t="inlineStr">
        <is>
          <t>Open</t>
        </is>
      </c>
      <c r="N174" s="24" t="n">
        <v>4</v>
      </c>
      <c r="O174" s="24" t="inlineStr">
        <is>
          <t>https://africanmarketingconfederation.org/amc-conference-2022-thank-you/::aioseo_no_schema_markup_detected</t>
        </is>
      </c>
      <c r="P174" s="24" t="inlineStr">
        <is>
          <t>Schema improves understanding and rich result eligibility.</t>
        </is>
      </c>
      <c r="Q174">
        <f>IFERROR(HYPERLINK("#Main!A"&amp;MATCH(A174,Main!A:A,0),"Open"),HYPERLINK("#Main!A1","Open"))</f>
        <v/>
      </c>
      <c r="R174">
        <f>IFERROR(HYPERLINK("#Technical!A"&amp;MATCH(A174,Technical!A:A,0),"Open"),HYPERLINK("#Technical!A1","Open"))</f>
        <v/>
      </c>
    </row>
    <row r="175" ht="45" customHeight="1">
      <c r="A175" s="33" t="inlineStr">
        <is>
          <t>https://africanmarketingconfederation.org/amc-conference-2022/</t>
        </is>
      </c>
      <c r="B175" s="6" t="inlineStr">
        <is>
          <t>Schema</t>
        </is>
      </c>
      <c r="C175" s="25" t="inlineStr">
        <is>
          <t>Warning</t>
        </is>
      </c>
      <c r="D175" s="6" t="inlineStr">
        <is>
          <t>No schema markup detected</t>
        </is>
      </c>
      <c r="E175" s="6" t="n">
        <v>67</v>
      </c>
      <c r="F175" s="6" t="n">
        <v>0</v>
      </c>
      <c r="G175" s="6" t="inlineStr">
        <is>
          <t>At least one relevant schema type</t>
        </is>
      </c>
      <c r="H175" s="6" t="inlineStr">
        <is>
          <t>In AIOSEO schema settings for the page, add the most relevant type (Article/FAQ/HowTo/Product, etc.).</t>
        </is>
      </c>
      <c r="I175" s="31" t="inlineStr">
        <is>
          <t>StructuredData</t>
        </is>
      </c>
      <c r="J175" s="6" t="inlineStr">
        <is>
          <t>Schema Types Count</t>
        </is>
      </c>
      <c r="K175" s="6" t="inlineStr">
        <is>
          <t>Yes</t>
        </is>
      </c>
      <c r="L175" s="6" t="inlineStr">
        <is>
          <t>Copy Writer</t>
        </is>
      </c>
      <c r="M175" s="25" t="inlineStr">
        <is>
          <t>Open</t>
        </is>
      </c>
      <c r="N175" s="6" t="n">
        <v>4</v>
      </c>
      <c r="O175" s="6" t="inlineStr">
        <is>
          <t>https://africanmarketingconfederation.org/amc-conference-2022/::aioseo_no_schema_markup_detected</t>
        </is>
      </c>
      <c r="P175" s="6" t="inlineStr">
        <is>
          <t>Schema improves understanding and rich result eligibility.</t>
        </is>
      </c>
      <c r="Q175">
        <f>IFERROR(HYPERLINK("#Main!A"&amp;MATCH(A175,Main!A:A,0),"Open"),HYPERLINK("#Main!A1","Open"))</f>
        <v/>
      </c>
      <c r="R175">
        <f>IFERROR(HYPERLINK("#Technical!A"&amp;MATCH(A175,Technical!A:A,0),"Open"),HYPERLINK("#Technical!A1","Open"))</f>
        <v/>
      </c>
    </row>
    <row r="176" ht="45" customHeight="1">
      <c r="A176" s="33" t="inlineStr">
        <is>
          <t>https://africanmarketingconfederation.org/amc-conference-2023/</t>
        </is>
      </c>
      <c r="B176" s="24" t="inlineStr">
        <is>
          <t>Schema</t>
        </is>
      </c>
      <c r="C176" s="25" t="inlineStr">
        <is>
          <t>Warning</t>
        </is>
      </c>
      <c r="D176" s="24" t="inlineStr">
        <is>
          <t>No schema markup detected</t>
        </is>
      </c>
      <c r="E176" s="24" t="n">
        <v>67</v>
      </c>
      <c r="F176" s="24" t="n">
        <v>0</v>
      </c>
      <c r="G176" s="24" t="inlineStr">
        <is>
          <t>At least one relevant schema type</t>
        </is>
      </c>
      <c r="H176" s="24" t="inlineStr">
        <is>
          <t>In AIOSEO schema settings for the page, add the most relevant type (Article/FAQ/HowTo/Product, etc.).</t>
        </is>
      </c>
      <c r="I176" s="28" t="inlineStr">
        <is>
          <t>StructuredData</t>
        </is>
      </c>
      <c r="J176" s="24" t="inlineStr">
        <is>
          <t>Schema Types Count</t>
        </is>
      </c>
      <c r="K176" s="24" t="inlineStr">
        <is>
          <t>Yes</t>
        </is>
      </c>
      <c r="L176" s="24" t="inlineStr">
        <is>
          <t>Copy Writer</t>
        </is>
      </c>
      <c r="M176" s="25" t="inlineStr">
        <is>
          <t>Open</t>
        </is>
      </c>
      <c r="N176" s="24" t="n">
        <v>4</v>
      </c>
      <c r="O176" s="24" t="inlineStr">
        <is>
          <t>https://africanmarketingconfederation.org/amc-conference-2023/::aioseo_no_schema_markup_detected</t>
        </is>
      </c>
      <c r="P176" s="24" t="inlineStr">
        <is>
          <t>Schema improves understanding and rich result eligibility.</t>
        </is>
      </c>
      <c r="Q176">
        <f>IFERROR(HYPERLINK("#Main!A"&amp;MATCH(A176,Main!A:A,0),"Open"),HYPERLINK("#Main!A1","Open"))</f>
        <v/>
      </c>
      <c r="R176">
        <f>IFERROR(HYPERLINK("#Technical!A"&amp;MATCH(A176,Technical!A:A,0),"Open"),HYPERLINK("#Technical!A1","Open"))</f>
        <v/>
      </c>
    </row>
    <row r="177" ht="45" customHeight="1">
      <c r="A177" s="33" t="inlineStr">
        <is>
          <t>https://africanmarketingconfederation.org/amc-conference-2023/amc-awards-book-now/</t>
        </is>
      </c>
      <c r="B177" s="6" t="inlineStr">
        <is>
          <t>Schema</t>
        </is>
      </c>
      <c r="C177" s="25" t="inlineStr">
        <is>
          <t>Warning</t>
        </is>
      </c>
      <c r="D177" s="6" t="inlineStr">
        <is>
          <t>No schema markup detected</t>
        </is>
      </c>
      <c r="E177" s="6" t="n">
        <v>67</v>
      </c>
      <c r="F177" s="6" t="n">
        <v>0</v>
      </c>
      <c r="G177" s="6" t="inlineStr">
        <is>
          <t>At least one relevant schema type</t>
        </is>
      </c>
      <c r="H177" s="6" t="inlineStr">
        <is>
          <t>In AIOSEO schema settings for the page, add the most relevant type (Article/FAQ/HowTo/Product, etc.).</t>
        </is>
      </c>
      <c r="I177" s="31" t="inlineStr">
        <is>
          <t>StructuredData</t>
        </is>
      </c>
      <c r="J177" s="6" t="inlineStr">
        <is>
          <t>Schema Types Count</t>
        </is>
      </c>
      <c r="K177" s="6" t="inlineStr">
        <is>
          <t>Yes</t>
        </is>
      </c>
      <c r="L177" s="6" t="inlineStr">
        <is>
          <t>Copy Writer</t>
        </is>
      </c>
      <c r="M177" s="25" t="inlineStr">
        <is>
          <t>Open</t>
        </is>
      </c>
      <c r="N177" s="6" t="n">
        <v>4</v>
      </c>
      <c r="O177" s="6" t="inlineStr">
        <is>
          <t>https://africanmarketingconfederation.org/amc-conference-2023/amc-awards-book-now/::aioseo_no_schema_markup_detected</t>
        </is>
      </c>
      <c r="P177" s="6" t="inlineStr">
        <is>
          <t>Schema improves understanding and rich result eligibility.</t>
        </is>
      </c>
      <c r="Q177">
        <f>IFERROR(HYPERLINK("#Main!A"&amp;MATCH(A177,Main!A:A,0),"Open"),HYPERLINK("#Main!A1","Open"))</f>
        <v/>
      </c>
      <c r="R177">
        <f>IFERROR(HYPERLINK("#Technical!A"&amp;MATCH(A177,Technical!A:A,0),"Open"),HYPERLINK("#Technical!A1","Open"))</f>
        <v/>
      </c>
    </row>
    <row r="178" ht="45" customHeight="1">
      <c r="A178" s="33" t="inlineStr">
        <is>
          <t>https://africanmarketingconfederation.org/amc-conference-2023/amc-awards/</t>
        </is>
      </c>
      <c r="B178" s="24" t="inlineStr">
        <is>
          <t>Schema</t>
        </is>
      </c>
      <c r="C178" s="25" t="inlineStr">
        <is>
          <t>Warning</t>
        </is>
      </c>
      <c r="D178" s="24" t="inlineStr">
        <is>
          <t>No schema markup detected</t>
        </is>
      </c>
      <c r="E178" s="24" t="n">
        <v>67</v>
      </c>
      <c r="F178" s="24" t="n">
        <v>0</v>
      </c>
      <c r="G178" s="24" t="inlineStr">
        <is>
          <t>At least one relevant schema type</t>
        </is>
      </c>
      <c r="H178" s="24" t="inlineStr">
        <is>
          <t>In AIOSEO schema settings for the page, add the most relevant type (Article/FAQ/HowTo/Product, etc.).</t>
        </is>
      </c>
      <c r="I178" s="28" t="inlineStr">
        <is>
          <t>StructuredData</t>
        </is>
      </c>
      <c r="J178" s="24" t="inlineStr">
        <is>
          <t>Schema Types Count</t>
        </is>
      </c>
      <c r="K178" s="24" t="inlineStr">
        <is>
          <t>Yes</t>
        </is>
      </c>
      <c r="L178" s="24" t="inlineStr">
        <is>
          <t>Copy Writer</t>
        </is>
      </c>
      <c r="M178" s="25" t="inlineStr">
        <is>
          <t>Open</t>
        </is>
      </c>
      <c r="N178" s="24" t="n">
        <v>4</v>
      </c>
      <c r="O178" s="24" t="inlineStr">
        <is>
          <t>https://africanmarketingconfederation.org/amc-conference-2023/amc-awards/::aioseo_no_schema_markup_detected</t>
        </is>
      </c>
      <c r="P178" s="24" t="inlineStr">
        <is>
          <t>Schema improves understanding and rich result eligibility.</t>
        </is>
      </c>
      <c r="Q178">
        <f>IFERROR(HYPERLINK("#Main!A"&amp;MATCH(A178,Main!A:A,0),"Open"),HYPERLINK("#Main!A1","Open"))</f>
        <v/>
      </c>
      <c r="R178">
        <f>IFERROR(HYPERLINK("#Technical!A"&amp;MATCH(A178,Technical!A:A,0),"Open"),HYPERLINK("#Technical!A1","Open"))</f>
        <v/>
      </c>
    </row>
    <row r="179" ht="45" customHeight="1">
      <c r="A179" s="33" t="inlineStr">
        <is>
          <t>https://africanmarketingconfederation.org/amc-conference-2023/book-now-thank-you/</t>
        </is>
      </c>
      <c r="B179" s="6" t="inlineStr">
        <is>
          <t>Schema</t>
        </is>
      </c>
      <c r="C179" s="25" t="inlineStr">
        <is>
          <t>Warning</t>
        </is>
      </c>
      <c r="D179" s="6" t="inlineStr">
        <is>
          <t>No schema markup detected</t>
        </is>
      </c>
      <c r="E179" s="6" t="n">
        <v>67</v>
      </c>
      <c r="F179" s="6" t="n">
        <v>0</v>
      </c>
      <c r="G179" s="6" t="inlineStr">
        <is>
          <t>At least one relevant schema type</t>
        </is>
      </c>
      <c r="H179" s="6" t="inlineStr">
        <is>
          <t>In AIOSEO schema settings for the page, add the most relevant type (Article/FAQ/HowTo/Product, etc.).</t>
        </is>
      </c>
      <c r="I179" s="31" t="inlineStr">
        <is>
          <t>StructuredData</t>
        </is>
      </c>
      <c r="J179" s="6" t="inlineStr">
        <is>
          <t>Schema Types Count</t>
        </is>
      </c>
      <c r="K179" s="6" t="inlineStr">
        <is>
          <t>Yes</t>
        </is>
      </c>
      <c r="L179" s="6" t="inlineStr">
        <is>
          <t>Copy Writer</t>
        </is>
      </c>
      <c r="M179" s="25" t="inlineStr">
        <is>
          <t>Open</t>
        </is>
      </c>
      <c r="N179" s="6" t="n">
        <v>4</v>
      </c>
      <c r="O179" s="6" t="inlineStr">
        <is>
          <t>https://africanmarketingconfederation.org/amc-conference-2023/book-now-thank-you/::aioseo_no_schema_markup_detected</t>
        </is>
      </c>
      <c r="P179" s="6" t="inlineStr">
        <is>
          <t>Schema improves understanding and rich result eligibility.</t>
        </is>
      </c>
      <c r="Q179">
        <f>IFERROR(HYPERLINK("#Main!A"&amp;MATCH(A179,Main!A:A,0),"Open"),HYPERLINK("#Main!A1","Open"))</f>
        <v/>
      </c>
      <c r="R179">
        <f>IFERROR(HYPERLINK("#Technical!A"&amp;MATCH(A179,Technical!A:A,0),"Open"),HYPERLINK("#Technical!A1","Open"))</f>
        <v/>
      </c>
    </row>
    <row r="180" ht="45" customHeight="1">
      <c r="A180" s="33" t="inlineStr">
        <is>
          <t>https://africanmarketingconfederation.org/amc-conference-2023/book-now/</t>
        </is>
      </c>
      <c r="B180" s="24" t="inlineStr">
        <is>
          <t>Schema</t>
        </is>
      </c>
      <c r="C180" s="25" t="inlineStr">
        <is>
          <t>Warning</t>
        </is>
      </c>
      <c r="D180" s="24" t="inlineStr">
        <is>
          <t>No schema markup detected</t>
        </is>
      </c>
      <c r="E180" s="24" t="n">
        <v>67</v>
      </c>
      <c r="F180" s="24" t="n">
        <v>0</v>
      </c>
      <c r="G180" s="24" t="inlineStr">
        <is>
          <t>At least one relevant schema type</t>
        </is>
      </c>
      <c r="H180" s="24" t="inlineStr">
        <is>
          <t>In AIOSEO schema settings for the page, add the most relevant type (Article/FAQ/HowTo/Product, etc.).</t>
        </is>
      </c>
      <c r="I180" s="28" t="inlineStr">
        <is>
          <t>StructuredData</t>
        </is>
      </c>
      <c r="J180" s="24" t="inlineStr">
        <is>
          <t>Schema Types Count</t>
        </is>
      </c>
      <c r="K180" s="24" t="inlineStr">
        <is>
          <t>Yes</t>
        </is>
      </c>
      <c r="L180" s="24" t="inlineStr">
        <is>
          <t>Copy Writer</t>
        </is>
      </c>
      <c r="M180" s="25" t="inlineStr">
        <is>
          <t>Open</t>
        </is>
      </c>
      <c r="N180" s="24" t="n">
        <v>4</v>
      </c>
      <c r="O180" s="24" t="inlineStr">
        <is>
          <t>https://africanmarketingconfederation.org/amc-conference-2023/book-now/::aioseo_no_schema_markup_detected</t>
        </is>
      </c>
      <c r="P180" s="24" t="inlineStr">
        <is>
          <t>Schema improves understanding and rich result eligibility.</t>
        </is>
      </c>
      <c r="Q180">
        <f>IFERROR(HYPERLINK("#Main!A"&amp;MATCH(A180,Main!A:A,0),"Open"),HYPERLINK("#Main!A1","Open"))</f>
        <v/>
      </c>
      <c r="R180">
        <f>IFERROR(HYPERLINK("#Technical!A"&amp;MATCH(A180,Technical!A:A,0),"Open"),HYPERLINK("#Technical!A1","Open"))</f>
        <v/>
      </c>
    </row>
    <row r="181" ht="45" customHeight="1">
      <c r="A181" s="33" t="inlineStr">
        <is>
          <t>https://africanmarketingconfederation.org/amc-conference-2023/download-prospectus/</t>
        </is>
      </c>
      <c r="B181" s="6" t="inlineStr">
        <is>
          <t>Schema</t>
        </is>
      </c>
      <c r="C181" s="25" t="inlineStr">
        <is>
          <t>Warning</t>
        </is>
      </c>
      <c r="D181" s="6" t="inlineStr">
        <is>
          <t>No schema markup detected</t>
        </is>
      </c>
      <c r="E181" s="6" t="n">
        <v>67</v>
      </c>
      <c r="F181" s="6" t="n">
        <v>0</v>
      </c>
      <c r="G181" s="6" t="inlineStr">
        <is>
          <t>At least one relevant schema type</t>
        </is>
      </c>
      <c r="H181" s="6" t="inlineStr">
        <is>
          <t>In AIOSEO schema settings for the page, add the most relevant type (Article/FAQ/HowTo/Product, etc.).</t>
        </is>
      </c>
      <c r="I181" s="31" t="inlineStr">
        <is>
          <t>StructuredData</t>
        </is>
      </c>
      <c r="J181" s="6" t="inlineStr">
        <is>
          <t>Schema Types Count</t>
        </is>
      </c>
      <c r="K181" s="6" t="inlineStr">
        <is>
          <t>Yes</t>
        </is>
      </c>
      <c r="L181" s="6" t="inlineStr">
        <is>
          <t>Copy Writer</t>
        </is>
      </c>
      <c r="M181" s="25" t="inlineStr">
        <is>
          <t>Open</t>
        </is>
      </c>
      <c r="N181" s="6" t="n">
        <v>4</v>
      </c>
      <c r="O181" s="6" t="inlineStr">
        <is>
          <t>https://africanmarketingconfederation.org/amc-conference-2023/download-prospectus/::aioseo_no_schema_markup_detected</t>
        </is>
      </c>
      <c r="P181" s="6" t="inlineStr">
        <is>
          <t>Schema improves understanding and rich result eligibility.</t>
        </is>
      </c>
      <c r="Q181">
        <f>IFERROR(HYPERLINK("#Main!A"&amp;MATCH(A181,Main!A:A,0),"Open"),HYPERLINK("#Main!A1","Open"))</f>
        <v/>
      </c>
      <c r="R181">
        <f>IFERROR(HYPERLINK("#Technical!A"&amp;MATCH(A181,Technical!A:A,0),"Open"),HYPERLINK("#Technical!A1","Open"))</f>
        <v/>
      </c>
    </row>
    <row r="182" ht="45" customHeight="1">
      <c r="A182" s="33" t="inlineStr">
        <is>
          <t>https://africanmarketingconfederation.org/amc-conference-2023/gallery/</t>
        </is>
      </c>
      <c r="B182" s="24" t="inlineStr">
        <is>
          <t>Schema</t>
        </is>
      </c>
      <c r="C182" s="25" t="inlineStr">
        <is>
          <t>Warning</t>
        </is>
      </c>
      <c r="D182" s="24" t="inlineStr">
        <is>
          <t>No schema markup detected</t>
        </is>
      </c>
      <c r="E182" s="24" t="n">
        <v>67</v>
      </c>
      <c r="F182" s="24" t="n">
        <v>0</v>
      </c>
      <c r="G182" s="24" t="inlineStr">
        <is>
          <t>At least one relevant schema type</t>
        </is>
      </c>
      <c r="H182" s="24" t="inlineStr">
        <is>
          <t>In AIOSEO schema settings for the page, add the most relevant type (Article/FAQ/HowTo/Product, etc.).</t>
        </is>
      </c>
      <c r="I182" s="28" t="inlineStr">
        <is>
          <t>StructuredData</t>
        </is>
      </c>
      <c r="J182" s="24" t="inlineStr">
        <is>
          <t>Schema Types Count</t>
        </is>
      </c>
      <c r="K182" s="24" t="inlineStr">
        <is>
          <t>Yes</t>
        </is>
      </c>
      <c r="L182" s="24" t="inlineStr">
        <is>
          <t>Copy Writer</t>
        </is>
      </c>
      <c r="M182" s="25" t="inlineStr">
        <is>
          <t>Open</t>
        </is>
      </c>
      <c r="N182" s="24" t="n">
        <v>4</v>
      </c>
      <c r="O182" s="24" t="inlineStr">
        <is>
          <t>https://africanmarketingconfederation.org/amc-conference-2023/gallery/::aioseo_no_schema_markup_detected</t>
        </is>
      </c>
      <c r="P182" s="24" t="inlineStr">
        <is>
          <t>Schema improves understanding and rich result eligibility.</t>
        </is>
      </c>
      <c r="Q182">
        <f>IFERROR(HYPERLINK("#Main!A"&amp;MATCH(A182,Main!A:A,0),"Open"),HYPERLINK("#Main!A1","Open"))</f>
        <v/>
      </c>
      <c r="R182">
        <f>IFERROR(HYPERLINK("#Technical!A"&amp;MATCH(A182,Technical!A:A,0),"Open"),HYPERLINK("#Technical!A1","Open"))</f>
        <v/>
      </c>
    </row>
    <row r="183" ht="45" customHeight="1">
      <c r="A183" s="33" t="inlineStr">
        <is>
          <t>https://africanmarketingconfederation.org/amc-conference-2023/partners/</t>
        </is>
      </c>
      <c r="B183" s="6" t="inlineStr">
        <is>
          <t>Schema</t>
        </is>
      </c>
      <c r="C183" s="25" t="inlineStr">
        <is>
          <t>Warning</t>
        </is>
      </c>
      <c r="D183" s="6" t="inlineStr">
        <is>
          <t>No schema markup detected</t>
        </is>
      </c>
      <c r="E183" s="6" t="n">
        <v>67</v>
      </c>
      <c r="F183" s="6" t="n">
        <v>0</v>
      </c>
      <c r="G183" s="6" t="inlineStr">
        <is>
          <t>At least one relevant schema type</t>
        </is>
      </c>
      <c r="H183" s="6" t="inlineStr">
        <is>
          <t>In AIOSEO schema settings for the page, add the most relevant type (Article/FAQ/HowTo/Product, etc.).</t>
        </is>
      </c>
      <c r="I183" s="31" t="inlineStr">
        <is>
          <t>StructuredData</t>
        </is>
      </c>
      <c r="J183" s="6" t="inlineStr">
        <is>
          <t>Schema Types Count</t>
        </is>
      </c>
      <c r="K183" s="6" t="inlineStr">
        <is>
          <t>Yes</t>
        </is>
      </c>
      <c r="L183" s="6" t="inlineStr">
        <is>
          <t>Copy Writer</t>
        </is>
      </c>
      <c r="M183" s="25" t="inlineStr">
        <is>
          <t>Open</t>
        </is>
      </c>
      <c r="N183" s="6" t="n">
        <v>4</v>
      </c>
      <c r="O183" s="6" t="inlineStr">
        <is>
          <t>https://africanmarketingconfederation.org/amc-conference-2023/partners/::aioseo_no_schema_markup_detected</t>
        </is>
      </c>
      <c r="P183" s="6" t="inlineStr">
        <is>
          <t>Schema improves understanding and rich result eligibility.</t>
        </is>
      </c>
      <c r="Q183">
        <f>IFERROR(HYPERLINK("#Main!A"&amp;MATCH(A183,Main!A:A,0),"Open"),HYPERLINK("#Main!A1","Open"))</f>
        <v/>
      </c>
      <c r="R183">
        <f>IFERROR(HYPERLINK("#Technical!A"&amp;MATCH(A183,Technical!A:A,0),"Open"),HYPERLINK("#Technical!A1","Open"))</f>
        <v/>
      </c>
    </row>
    <row r="184" ht="45" customHeight="1">
      <c r="A184" s="33" t="inlineStr">
        <is>
          <t>https://africanmarketingconfederation.org/amc-conference-2023/programme/</t>
        </is>
      </c>
      <c r="B184" s="24" t="inlineStr">
        <is>
          <t>Schema</t>
        </is>
      </c>
      <c r="C184" s="25" t="inlineStr">
        <is>
          <t>Warning</t>
        </is>
      </c>
      <c r="D184" s="24" t="inlineStr">
        <is>
          <t>No schema markup detected</t>
        </is>
      </c>
      <c r="E184" s="24" t="n">
        <v>67</v>
      </c>
      <c r="F184" s="24" t="n">
        <v>0</v>
      </c>
      <c r="G184" s="24" t="inlineStr">
        <is>
          <t>At least one relevant schema type</t>
        </is>
      </c>
      <c r="H184" s="24" t="inlineStr">
        <is>
          <t>In AIOSEO schema settings for the page, add the most relevant type (Article/FAQ/HowTo/Product, etc.).</t>
        </is>
      </c>
      <c r="I184" s="28" t="inlineStr">
        <is>
          <t>StructuredData</t>
        </is>
      </c>
      <c r="J184" s="24" t="inlineStr">
        <is>
          <t>Schema Types Count</t>
        </is>
      </c>
      <c r="K184" s="24" t="inlineStr">
        <is>
          <t>Yes</t>
        </is>
      </c>
      <c r="L184" s="24" t="inlineStr">
        <is>
          <t>Copy Writer</t>
        </is>
      </c>
      <c r="M184" s="25" t="inlineStr">
        <is>
          <t>Open</t>
        </is>
      </c>
      <c r="N184" s="24" t="n">
        <v>4</v>
      </c>
      <c r="O184" s="24" t="inlineStr">
        <is>
          <t>https://africanmarketingconfederation.org/amc-conference-2023/programme/::aioseo_no_schema_markup_detected</t>
        </is>
      </c>
      <c r="P184" s="24" t="inlineStr">
        <is>
          <t>Schema improves understanding and rich result eligibility.</t>
        </is>
      </c>
      <c r="Q184">
        <f>IFERROR(HYPERLINK("#Main!A"&amp;MATCH(A184,Main!A:A,0),"Open"),HYPERLINK("#Main!A1","Open"))</f>
        <v/>
      </c>
      <c r="R184">
        <f>IFERROR(HYPERLINK("#Technical!A"&amp;MATCH(A184,Technical!A:A,0),"Open"),HYPERLINK("#Technical!A1","Open"))</f>
        <v/>
      </c>
    </row>
    <row r="185" ht="45" customHeight="1">
      <c r="A185" s="33" t="inlineStr">
        <is>
          <t>https://africanmarketingconfederation.org/amc-conference-2023/speakers/</t>
        </is>
      </c>
      <c r="B185" s="6" t="inlineStr">
        <is>
          <t>Schema</t>
        </is>
      </c>
      <c r="C185" s="25" t="inlineStr">
        <is>
          <t>Warning</t>
        </is>
      </c>
      <c r="D185" s="6" t="inlineStr">
        <is>
          <t>No schema markup detected</t>
        </is>
      </c>
      <c r="E185" s="6" t="n">
        <v>67</v>
      </c>
      <c r="F185" s="6" t="n">
        <v>0</v>
      </c>
      <c r="G185" s="6" t="inlineStr">
        <is>
          <t>At least one relevant schema type</t>
        </is>
      </c>
      <c r="H185" s="6" t="inlineStr">
        <is>
          <t>In AIOSEO schema settings for the page, add the most relevant type (Article/FAQ/HowTo/Product, etc.).</t>
        </is>
      </c>
      <c r="I185" s="31" t="inlineStr">
        <is>
          <t>StructuredData</t>
        </is>
      </c>
      <c r="J185" s="6" t="inlineStr">
        <is>
          <t>Schema Types Count</t>
        </is>
      </c>
      <c r="K185" s="6" t="inlineStr">
        <is>
          <t>Yes</t>
        </is>
      </c>
      <c r="L185" s="6" t="inlineStr">
        <is>
          <t>Copy Writer</t>
        </is>
      </c>
      <c r="M185" s="25" t="inlineStr">
        <is>
          <t>Open</t>
        </is>
      </c>
      <c r="N185" s="6" t="n">
        <v>4</v>
      </c>
      <c r="O185" s="6" t="inlineStr">
        <is>
          <t>https://africanmarketingconfederation.org/amc-conference-2023/speakers/::aioseo_no_schema_markup_detected</t>
        </is>
      </c>
      <c r="P185" s="6" t="inlineStr">
        <is>
          <t>Schema improves understanding and rich result eligibility.</t>
        </is>
      </c>
      <c r="Q185">
        <f>IFERROR(HYPERLINK("#Main!A"&amp;MATCH(A185,Main!A:A,0),"Open"),HYPERLINK("#Main!A1","Open"))</f>
        <v/>
      </c>
      <c r="R185">
        <f>IFERROR(HYPERLINK("#Technical!A"&amp;MATCH(A185,Technical!A:A,0),"Open"),HYPERLINK("#Technical!A1","Open"))</f>
        <v/>
      </c>
    </row>
    <row r="186" ht="45" customHeight="1">
      <c r="A186" s="33" t="inlineStr">
        <is>
          <t>https://africanmarketingconfederation.org/amc-conference-2024-recap/</t>
        </is>
      </c>
      <c r="B186" s="24" t="inlineStr">
        <is>
          <t>Schema</t>
        </is>
      </c>
      <c r="C186" s="25" t="inlineStr">
        <is>
          <t>Warning</t>
        </is>
      </c>
      <c r="D186" s="24" t="inlineStr">
        <is>
          <t>No schema markup detected</t>
        </is>
      </c>
      <c r="E186" s="24" t="n">
        <v>67</v>
      </c>
      <c r="F186" s="24" t="n">
        <v>0</v>
      </c>
      <c r="G186" s="24" t="inlineStr">
        <is>
          <t>At least one relevant schema type</t>
        </is>
      </c>
      <c r="H186" s="24" t="inlineStr">
        <is>
          <t>In AIOSEO schema settings for the page, add the most relevant type (Article/FAQ/HowTo/Product, etc.).</t>
        </is>
      </c>
      <c r="I186" s="28" t="inlineStr">
        <is>
          <t>StructuredData</t>
        </is>
      </c>
      <c r="J186" s="24" t="inlineStr">
        <is>
          <t>Schema Types Count</t>
        </is>
      </c>
      <c r="K186" s="24" t="inlineStr">
        <is>
          <t>Yes</t>
        </is>
      </c>
      <c r="L186" s="24" t="inlineStr">
        <is>
          <t>Copy Writer</t>
        </is>
      </c>
      <c r="M186" s="25" t="inlineStr">
        <is>
          <t>Open</t>
        </is>
      </c>
      <c r="N186" s="24" t="n">
        <v>4</v>
      </c>
      <c r="O186" s="24" t="inlineStr">
        <is>
          <t>https://africanmarketingconfederation.org/amc-conference-2024-recap/::aioseo_no_schema_markup_detected</t>
        </is>
      </c>
      <c r="P186" s="24" t="inlineStr">
        <is>
          <t>Schema improves understanding and rich result eligibility.</t>
        </is>
      </c>
      <c r="Q186">
        <f>IFERROR(HYPERLINK("#Main!A"&amp;MATCH(A186,Main!A:A,0),"Open"),HYPERLINK("#Main!A1","Open"))</f>
        <v/>
      </c>
      <c r="R186">
        <f>IFERROR(HYPERLINK("#Technical!A"&amp;MATCH(A186,Technical!A:A,0),"Open"),HYPERLINK("#Technical!A1","Open"))</f>
        <v/>
      </c>
    </row>
    <row r="187" ht="45" customHeight="1">
      <c r="A187" s="33" t="inlineStr">
        <is>
          <t>https://africanmarketingconfederation.org/amc-conference-2024-sponsors-packages/</t>
        </is>
      </c>
      <c r="B187" s="6" t="inlineStr">
        <is>
          <t>Schema</t>
        </is>
      </c>
      <c r="C187" s="25" t="inlineStr">
        <is>
          <t>Warning</t>
        </is>
      </c>
      <c r="D187" s="6" t="inlineStr">
        <is>
          <t>No schema markup detected</t>
        </is>
      </c>
      <c r="E187" s="6" t="n">
        <v>67</v>
      </c>
      <c r="F187" s="6" t="n">
        <v>0</v>
      </c>
      <c r="G187" s="6" t="inlineStr">
        <is>
          <t>At least one relevant schema type</t>
        </is>
      </c>
      <c r="H187" s="6" t="inlineStr">
        <is>
          <t>In AIOSEO schema settings for the page, add the most relevant type (Article/FAQ/HowTo/Product, etc.).</t>
        </is>
      </c>
      <c r="I187" s="31" t="inlineStr">
        <is>
          <t>StructuredData</t>
        </is>
      </c>
      <c r="J187" s="6" t="inlineStr">
        <is>
          <t>Schema Types Count</t>
        </is>
      </c>
      <c r="K187" s="6" t="inlineStr">
        <is>
          <t>Yes</t>
        </is>
      </c>
      <c r="L187" s="6" t="inlineStr">
        <is>
          <t>Copy Writer</t>
        </is>
      </c>
      <c r="M187" s="25" t="inlineStr">
        <is>
          <t>Open</t>
        </is>
      </c>
      <c r="N187" s="6" t="n">
        <v>4</v>
      </c>
      <c r="O187" s="6" t="inlineStr">
        <is>
          <t>https://africanmarketingconfederation.org/amc-conference-2024-sponsors-packages/::aioseo_no_schema_markup_detected</t>
        </is>
      </c>
      <c r="P187" s="6" t="inlineStr">
        <is>
          <t>Schema improves understanding and rich result eligibility.</t>
        </is>
      </c>
      <c r="Q187">
        <f>IFERROR(HYPERLINK("#Main!A"&amp;MATCH(A187,Main!A:A,0),"Open"),HYPERLINK("#Main!A1","Open"))</f>
        <v/>
      </c>
      <c r="R187">
        <f>IFERROR(HYPERLINK("#Technical!A"&amp;MATCH(A187,Technical!A:A,0),"Open"),HYPERLINK("#Technical!A1","Open"))</f>
        <v/>
      </c>
    </row>
    <row r="188" ht="45" customHeight="1">
      <c r="A188" s="33" t="inlineStr">
        <is>
          <t>https://africanmarketingconfederation.org/amc-conference-2025-highlights/</t>
        </is>
      </c>
      <c r="B188" s="24" t="inlineStr">
        <is>
          <t>Schema</t>
        </is>
      </c>
      <c r="C188" s="25" t="inlineStr">
        <is>
          <t>Warning</t>
        </is>
      </c>
      <c r="D188" s="24" t="inlineStr">
        <is>
          <t>No schema markup detected</t>
        </is>
      </c>
      <c r="E188" s="24" t="n">
        <v>67</v>
      </c>
      <c r="F188" s="24" t="n">
        <v>0</v>
      </c>
      <c r="G188" s="24" t="inlineStr">
        <is>
          <t>At least one relevant schema type</t>
        </is>
      </c>
      <c r="H188" s="24" t="inlineStr">
        <is>
          <t>In AIOSEO schema settings for the page, add the most relevant type (Article/FAQ/HowTo/Product, etc.).</t>
        </is>
      </c>
      <c r="I188" s="28" t="inlineStr">
        <is>
          <t>StructuredData</t>
        </is>
      </c>
      <c r="J188" s="24" t="inlineStr">
        <is>
          <t>Schema Types Count</t>
        </is>
      </c>
      <c r="K188" s="24" t="inlineStr">
        <is>
          <t>Yes</t>
        </is>
      </c>
      <c r="L188" s="24" t="inlineStr">
        <is>
          <t>Copy Writer</t>
        </is>
      </c>
      <c r="M188" s="25" t="inlineStr">
        <is>
          <t>Open</t>
        </is>
      </c>
      <c r="N188" s="24" t="n">
        <v>4</v>
      </c>
      <c r="O188" s="24" t="inlineStr">
        <is>
          <t>https://africanmarketingconfederation.org/amc-conference-2025-highlights/::aioseo_no_schema_markup_detected</t>
        </is>
      </c>
      <c r="P188" s="24" t="inlineStr">
        <is>
          <t>Schema improves understanding and rich result eligibility.</t>
        </is>
      </c>
      <c r="Q188">
        <f>IFERROR(HYPERLINK("#Main!A"&amp;MATCH(A188,Main!A:A,0),"Open"),HYPERLINK("#Main!A1","Open"))</f>
        <v/>
      </c>
      <c r="R188">
        <f>IFERROR(HYPERLINK("#Technical!A"&amp;MATCH(A188,Technical!A:A,0),"Open"),HYPERLINK("#Technical!A1","Open"))</f>
        <v/>
      </c>
    </row>
    <row r="189" ht="45" customHeight="1">
      <c r="A189" s="33" t="inlineStr">
        <is>
          <t>https://africanmarketingconfederation.org/amc-conference-2025/</t>
        </is>
      </c>
      <c r="B189" s="6" t="inlineStr">
        <is>
          <t>Schema</t>
        </is>
      </c>
      <c r="C189" s="25" t="inlineStr">
        <is>
          <t>Warning</t>
        </is>
      </c>
      <c r="D189" s="6" t="inlineStr">
        <is>
          <t>No schema markup detected</t>
        </is>
      </c>
      <c r="E189" s="6" t="n">
        <v>67</v>
      </c>
      <c r="F189" s="6" t="n">
        <v>0</v>
      </c>
      <c r="G189" s="6" t="inlineStr">
        <is>
          <t>At least one relevant schema type</t>
        </is>
      </c>
      <c r="H189" s="6" t="inlineStr">
        <is>
          <t>In AIOSEO schema settings for the page, add the most relevant type (Article/FAQ/HowTo/Product, etc.).</t>
        </is>
      </c>
      <c r="I189" s="31" t="inlineStr">
        <is>
          <t>StructuredData</t>
        </is>
      </c>
      <c r="J189" s="6" t="inlineStr">
        <is>
          <t>Schema Types Count</t>
        </is>
      </c>
      <c r="K189" s="6" t="inlineStr">
        <is>
          <t>Yes</t>
        </is>
      </c>
      <c r="L189" s="6" t="inlineStr">
        <is>
          <t>Copy Writer</t>
        </is>
      </c>
      <c r="M189" s="25" t="inlineStr">
        <is>
          <t>Open</t>
        </is>
      </c>
      <c r="N189" s="6" t="n">
        <v>4</v>
      </c>
      <c r="O189" s="6" t="inlineStr">
        <is>
          <t>https://africanmarketingconfederation.org/amc-conference-2025/::aioseo_no_schema_markup_detected</t>
        </is>
      </c>
      <c r="P189" s="6" t="inlineStr">
        <is>
          <t>Schema improves understanding and rich result eligibility.</t>
        </is>
      </c>
      <c r="Q189">
        <f>IFERROR(HYPERLINK("#Main!A"&amp;MATCH(A189,Main!A:A,0),"Open"),HYPERLINK("#Main!A1","Open"))</f>
        <v/>
      </c>
      <c r="R189">
        <f>IFERROR(HYPERLINK("#Technical!A"&amp;MATCH(A189,Technical!A:A,0),"Open"),HYPERLINK("#Technical!A1","Open"))</f>
        <v/>
      </c>
    </row>
    <row r="190" ht="45" customHeight="1">
      <c r="A190" s="33" t="inlineStr">
        <is>
          <t>https://africanmarketingconfederation.org/amc-conference-2026-awards-nominations-thank-you/</t>
        </is>
      </c>
      <c r="B190" s="24" t="inlineStr">
        <is>
          <t>Schema</t>
        </is>
      </c>
      <c r="C190" s="25" t="inlineStr">
        <is>
          <t>Warning</t>
        </is>
      </c>
      <c r="D190" s="24" t="inlineStr">
        <is>
          <t>No schema markup detected</t>
        </is>
      </c>
      <c r="E190" s="24" t="n">
        <v>67</v>
      </c>
      <c r="F190" s="24" t="n">
        <v>0</v>
      </c>
      <c r="G190" s="24" t="inlineStr">
        <is>
          <t>At least one relevant schema type</t>
        </is>
      </c>
      <c r="H190" s="24" t="inlineStr">
        <is>
          <t>In AIOSEO schema settings for the page, add the most relevant type (Article/FAQ/HowTo/Product, etc.).</t>
        </is>
      </c>
      <c r="I190" s="28" t="inlineStr">
        <is>
          <t>StructuredData</t>
        </is>
      </c>
      <c r="J190" s="24" t="inlineStr">
        <is>
          <t>Schema Types Count</t>
        </is>
      </c>
      <c r="K190" s="24" t="inlineStr">
        <is>
          <t>Yes</t>
        </is>
      </c>
      <c r="L190" s="24" t="inlineStr">
        <is>
          <t>Copy Writer</t>
        </is>
      </c>
      <c r="M190" s="25" t="inlineStr">
        <is>
          <t>Open</t>
        </is>
      </c>
      <c r="N190" s="24" t="n">
        <v>4</v>
      </c>
      <c r="O190" s="24" t="inlineStr">
        <is>
          <t>https://africanmarketingconfederation.org/amc-conference-2026-awards-nominations-thank-you/::aioseo_no_schema_markup_detected</t>
        </is>
      </c>
      <c r="P190" s="24" t="inlineStr">
        <is>
          <t>Schema improves understanding and rich result eligibility.</t>
        </is>
      </c>
      <c r="Q190">
        <f>IFERROR(HYPERLINK("#Main!A"&amp;MATCH(A190,Main!A:A,0),"Open"),HYPERLINK("#Main!A1","Open"))</f>
        <v/>
      </c>
      <c r="R190">
        <f>IFERROR(HYPERLINK("#Technical!A"&amp;MATCH(A190,Technical!A:A,0),"Open"),HYPERLINK("#Technical!A1","Open"))</f>
        <v/>
      </c>
    </row>
    <row r="191" ht="45" customHeight="1">
      <c r="A191" s="33" t="inlineStr">
        <is>
          <t>https://africanmarketingconfederation.org/amc-conference-2026-zambia-thank-you/</t>
        </is>
      </c>
      <c r="B191" s="6" t="inlineStr">
        <is>
          <t>Schema</t>
        </is>
      </c>
      <c r="C191" s="25" t="inlineStr">
        <is>
          <t>Warning</t>
        </is>
      </c>
      <c r="D191" s="6" t="inlineStr">
        <is>
          <t>No schema markup detected</t>
        </is>
      </c>
      <c r="E191" s="6" t="n">
        <v>67</v>
      </c>
      <c r="F191" s="6" t="n">
        <v>0</v>
      </c>
      <c r="G191" s="6" t="inlineStr">
        <is>
          <t>At least one relevant schema type</t>
        </is>
      </c>
      <c r="H191" s="6" t="inlineStr">
        <is>
          <t>In AIOSEO schema settings for the page, add the most relevant type (Article/FAQ/HowTo/Product, etc.).</t>
        </is>
      </c>
      <c r="I191" s="31" t="inlineStr">
        <is>
          <t>StructuredData</t>
        </is>
      </c>
      <c r="J191" s="6" t="inlineStr">
        <is>
          <t>Schema Types Count</t>
        </is>
      </c>
      <c r="K191" s="6" t="inlineStr">
        <is>
          <t>Yes</t>
        </is>
      </c>
      <c r="L191" s="6" t="inlineStr">
        <is>
          <t>Copy Writer</t>
        </is>
      </c>
      <c r="M191" s="25" t="inlineStr">
        <is>
          <t>Open</t>
        </is>
      </c>
      <c r="N191" s="6" t="n">
        <v>4</v>
      </c>
      <c r="O191" s="6" t="inlineStr">
        <is>
          <t>https://africanmarketingconfederation.org/amc-conference-2026-zambia-thank-you/::aioseo_no_schema_markup_detected</t>
        </is>
      </c>
      <c r="P191" s="6" t="inlineStr">
        <is>
          <t>Schema improves understanding and rich result eligibility.</t>
        </is>
      </c>
      <c r="Q191">
        <f>IFERROR(HYPERLINK("#Main!A"&amp;MATCH(A191,Main!A:A,0),"Open"),HYPERLINK("#Main!A1","Open"))</f>
        <v/>
      </c>
      <c r="R191">
        <f>IFERROR(HYPERLINK("#Technical!A"&amp;MATCH(A191,Technical!A:A,0),"Open"),HYPERLINK("#Technical!A1","Open"))</f>
        <v/>
      </c>
    </row>
    <row r="192" ht="45" customHeight="1">
      <c r="A192" s="33" t="inlineStr">
        <is>
          <t>https://africanmarketingconfederation.org/amc-conference-2026/</t>
        </is>
      </c>
      <c r="B192" s="24" t="inlineStr">
        <is>
          <t>Schema</t>
        </is>
      </c>
      <c r="C192" s="25" t="inlineStr">
        <is>
          <t>Warning</t>
        </is>
      </c>
      <c r="D192" s="24" t="inlineStr">
        <is>
          <t>No schema markup detected</t>
        </is>
      </c>
      <c r="E192" s="24" t="n">
        <v>67</v>
      </c>
      <c r="F192" s="24" t="n">
        <v>0</v>
      </c>
      <c r="G192" s="24" t="inlineStr">
        <is>
          <t>At least one relevant schema type</t>
        </is>
      </c>
      <c r="H192" s="24" t="inlineStr">
        <is>
          <t>In AIOSEO schema settings for the page, add the most relevant type (Article/FAQ/HowTo/Product, etc.).</t>
        </is>
      </c>
      <c r="I192" s="28" t="inlineStr">
        <is>
          <t>StructuredData</t>
        </is>
      </c>
      <c r="J192" s="24" t="inlineStr">
        <is>
          <t>Schema Types Count</t>
        </is>
      </c>
      <c r="K192" s="24" t="inlineStr">
        <is>
          <t>Yes</t>
        </is>
      </c>
      <c r="L192" s="24" t="inlineStr">
        <is>
          <t>Copy Writer</t>
        </is>
      </c>
      <c r="M192" s="25" t="inlineStr">
        <is>
          <t>Open</t>
        </is>
      </c>
      <c r="N192" s="24" t="n">
        <v>4</v>
      </c>
      <c r="O192" s="24" t="inlineStr">
        <is>
          <t>https://africanmarketingconfederation.org/amc-conference-2026/::aioseo_no_schema_markup_detected</t>
        </is>
      </c>
      <c r="P192" s="24" t="inlineStr">
        <is>
          <t>Schema improves understanding and rich result eligibility.</t>
        </is>
      </c>
      <c r="Q192">
        <f>IFERROR(HYPERLINK("#Main!A"&amp;MATCH(A192,Main!A:A,0),"Open"),HYPERLINK("#Main!A1","Open"))</f>
        <v/>
      </c>
      <c r="R192">
        <f>IFERROR(HYPERLINK("#Technical!A"&amp;MATCH(A192,Technical!A:A,0),"Open"),HYPERLINK("#Technical!A1","Open"))</f>
        <v/>
      </c>
    </row>
    <row r="193" ht="45" customHeight="1">
      <c r="A193" s="33" t="inlineStr">
        <is>
          <t>https://africanmarketingconfederation.org/amc-conference-programme/</t>
        </is>
      </c>
      <c r="B193" s="6" t="inlineStr">
        <is>
          <t>Schema</t>
        </is>
      </c>
      <c r="C193" s="25" t="inlineStr">
        <is>
          <t>Warning</t>
        </is>
      </c>
      <c r="D193" s="6" t="inlineStr">
        <is>
          <t>No schema markup detected</t>
        </is>
      </c>
      <c r="E193" s="6" t="n">
        <v>67</v>
      </c>
      <c r="F193" s="6" t="n">
        <v>0</v>
      </c>
      <c r="G193" s="6" t="inlineStr">
        <is>
          <t>At least one relevant schema type</t>
        </is>
      </c>
      <c r="H193" s="6" t="inlineStr">
        <is>
          <t>In AIOSEO schema settings for the page, add the most relevant type (Article/FAQ/HowTo/Product, etc.).</t>
        </is>
      </c>
      <c r="I193" s="31" t="inlineStr">
        <is>
          <t>StructuredData</t>
        </is>
      </c>
      <c r="J193" s="6" t="inlineStr">
        <is>
          <t>Schema Types Count</t>
        </is>
      </c>
      <c r="K193" s="6" t="inlineStr">
        <is>
          <t>Yes</t>
        </is>
      </c>
      <c r="L193" s="6" t="inlineStr">
        <is>
          <t>Copy Writer</t>
        </is>
      </c>
      <c r="M193" s="25" t="inlineStr">
        <is>
          <t>Open</t>
        </is>
      </c>
      <c r="N193" s="6" t="n">
        <v>4</v>
      </c>
      <c r="O193" s="6" t="inlineStr">
        <is>
          <t>https://africanmarketingconfederation.org/amc-conference-programme/::aioseo_no_schema_markup_detected</t>
        </is>
      </c>
      <c r="P193" s="6" t="inlineStr">
        <is>
          <t>Schema improves understanding and rich result eligibility.</t>
        </is>
      </c>
      <c r="Q193">
        <f>IFERROR(HYPERLINK("#Main!A"&amp;MATCH(A193,Main!A:A,0),"Open"),HYPERLINK("#Main!A1","Open"))</f>
        <v/>
      </c>
      <c r="R193">
        <f>IFERROR(HYPERLINK("#Technical!A"&amp;MATCH(A193,Technical!A:A,0),"Open"),HYPERLINK("#Technical!A1","Open"))</f>
        <v/>
      </c>
    </row>
    <row r="194" ht="45" customHeight="1">
      <c r="A194" s="33" t="inlineStr">
        <is>
          <t>https://africanmarketingconfederation.org/amc-conference-sponsors/</t>
        </is>
      </c>
      <c r="B194" s="24" t="inlineStr">
        <is>
          <t>Schema</t>
        </is>
      </c>
      <c r="C194" s="25" t="inlineStr">
        <is>
          <t>Warning</t>
        </is>
      </c>
      <c r="D194" s="24" t="inlineStr">
        <is>
          <t>No schema markup detected</t>
        </is>
      </c>
      <c r="E194" s="24" t="n">
        <v>67</v>
      </c>
      <c r="F194" s="24" t="n">
        <v>0</v>
      </c>
      <c r="G194" s="24" t="inlineStr">
        <is>
          <t>At least one relevant schema type</t>
        </is>
      </c>
      <c r="H194" s="24" t="inlineStr">
        <is>
          <t>In AIOSEO schema settings for the page, add the most relevant type (Article/FAQ/HowTo/Product, etc.).</t>
        </is>
      </c>
      <c r="I194" s="28" t="inlineStr">
        <is>
          <t>StructuredData</t>
        </is>
      </c>
      <c r="J194" s="24" t="inlineStr">
        <is>
          <t>Schema Types Count</t>
        </is>
      </c>
      <c r="K194" s="24" t="inlineStr">
        <is>
          <t>Yes</t>
        </is>
      </c>
      <c r="L194" s="24" t="inlineStr">
        <is>
          <t>Copy Writer</t>
        </is>
      </c>
      <c r="M194" s="25" t="inlineStr">
        <is>
          <t>Open</t>
        </is>
      </c>
      <c r="N194" s="24" t="n">
        <v>4</v>
      </c>
      <c r="O194" s="24" t="inlineStr">
        <is>
          <t>https://africanmarketingconfederation.org/amc-conference-sponsors/::aioseo_no_schema_markup_detected</t>
        </is>
      </c>
      <c r="P194" s="24" t="inlineStr">
        <is>
          <t>Schema improves understanding and rich result eligibility.</t>
        </is>
      </c>
      <c r="Q194">
        <f>IFERROR(HYPERLINK("#Main!A"&amp;MATCH(A194,Main!A:A,0),"Open"),HYPERLINK("#Main!A1","Open"))</f>
        <v/>
      </c>
      <c r="R194">
        <f>IFERROR(HYPERLINK("#Technical!A"&amp;MATCH(A194,Technical!A:A,0),"Open"),HYPERLINK("#Technical!A1","Open"))</f>
        <v/>
      </c>
    </row>
    <row r="195" ht="45" customHeight="1">
      <c r="A195" s="33" t="inlineStr">
        <is>
          <t>https://africanmarketingconfederation.org/amc-conference-thank-you/</t>
        </is>
      </c>
      <c r="B195" s="6" t="inlineStr">
        <is>
          <t>Schema</t>
        </is>
      </c>
      <c r="C195" s="25" t="inlineStr">
        <is>
          <t>Warning</t>
        </is>
      </c>
      <c r="D195" s="6" t="inlineStr">
        <is>
          <t>No schema markup detected</t>
        </is>
      </c>
      <c r="E195" s="6" t="n">
        <v>67</v>
      </c>
      <c r="F195" s="6" t="n">
        <v>0</v>
      </c>
      <c r="G195" s="6" t="inlineStr">
        <is>
          <t>At least one relevant schema type</t>
        </is>
      </c>
      <c r="H195" s="6" t="inlineStr">
        <is>
          <t>In AIOSEO schema settings for the page, add the most relevant type (Article/FAQ/HowTo/Product, etc.).</t>
        </is>
      </c>
      <c r="I195" s="31" t="inlineStr">
        <is>
          <t>StructuredData</t>
        </is>
      </c>
      <c r="J195" s="6" t="inlineStr">
        <is>
          <t>Schema Types Count</t>
        </is>
      </c>
      <c r="K195" s="6" t="inlineStr">
        <is>
          <t>Yes</t>
        </is>
      </c>
      <c r="L195" s="6" t="inlineStr">
        <is>
          <t>Copy Writer</t>
        </is>
      </c>
      <c r="M195" s="25" t="inlineStr">
        <is>
          <t>Open</t>
        </is>
      </c>
      <c r="N195" s="6" t="n">
        <v>4</v>
      </c>
      <c r="O195" s="6" t="inlineStr">
        <is>
          <t>https://africanmarketingconfederation.org/amc-conference-thank-you/::aioseo_no_schema_markup_detected</t>
        </is>
      </c>
      <c r="P195" s="6" t="inlineStr">
        <is>
          <t>Schema improves understanding and rich result eligibility.</t>
        </is>
      </c>
      <c r="Q195">
        <f>IFERROR(HYPERLINK("#Main!A"&amp;MATCH(A195,Main!A:A,0),"Open"),HYPERLINK("#Main!A1","Open"))</f>
        <v/>
      </c>
      <c r="R195">
        <f>IFERROR(HYPERLINK("#Technical!A"&amp;MATCH(A195,Technical!A:A,0),"Open"),HYPERLINK("#Technical!A1","Open"))</f>
        <v/>
      </c>
    </row>
    <row r="196" ht="45" customHeight="1">
      <c r="A196" s="33" t="inlineStr">
        <is>
          <t>https://africanmarketingconfederation.org/amc-forum-mombasa/</t>
        </is>
      </c>
      <c r="B196" s="24" t="inlineStr">
        <is>
          <t>Schema</t>
        </is>
      </c>
      <c r="C196" s="25" t="inlineStr">
        <is>
          <t>Warning</t>
        </is>
      </c>
      <c r="D196" s="24" t="inlineStr">
        <is>
          <t>No schema markup detected</t>
        </is>
      </c>
      <c r="E196" s="24" t="n">
        <v>67</v>
      </c>
      <c r="F196" s="24" t="n">
        <v>0</v>
      </c>
      <c r="G196" s="24" t="inlineStr">
        <is>
          <t>At least one relevant schema type</t>
        </is>
      </c>
      <c r="H196" s="24" t="inlineStr">
        <is>
          <t>In AIOSEO schema settings for the page, add the most relevant type (Article/FAQ/HowTo/Product, etc.).</t>
        </is>
      </c>
      <c r="I196" s="28" t="inlineStr">
        <is>
          <t>StructuredData</t>
        </is>
      </c>
      <c r="J196" s="24" t="inlineStr">
        <is>
          <t>Schema Types Count</t>
        </is>
      </c>
      <c r="K196" s="24" t="inlineStr">
        <is>
          <t>Yes</t>
        </is>
      </c>
      <c r="L196" s="24" t="inlineStr">
        <is>
          <t>Copy Writer</t>
        </is>
      </c>
      <c r="M196" s="25" t="inlineStr">
        <is>
          <t>Open</t>
        </is>
      </c>
      <c r="N196" s="24" t="n">
        <v>4</v>
      </c>
      <c r="O196" s="24" t="inlineStr">
        <is>
          <t>https://africanmarketingconfederation.org/amc-forum-mombasa/::aioseo_no_schema_markup_detected</t>
        </is>
      </c>
      <c r="P196" s="24" t="inlineStr">
        <is>
          <t>Schema improves understanding and rich result eligibility.</t>
        </is>
      </c>
      <c r="Q196">
        <f>IFERROR(HYPERLINK("#Main!A"&amp;MATCH(A196,Main!A:A,0),"Open"),HYPERLINK("#Main!A1","Open"))</f>
        <v/>
      </c>
      <c r="R196">
        <f>IFERROR(HYPERLINK("#Technical!A"&amp;MATCH(A196,Technical!A:A,0),"Open"),HYPERLINK("#Technical!A1","Open"))</f>
        <v/>
      </c>
    </row>
    <row r="197" ht="45" customHeight="1">
      <c r="A197" s="33" t="inlineStr">
        <is>
          <t>https://africanmarketingconfederation.org/amc-forum-payments/</t>
        </is>
      </c>
      <c r="B197" s="6" t="inlineStr">
        <is>
          <t>Schema</t>
        </is>
      </c>
      <c r="C197" s="25" t="inlineStr">
        <is>
          <t>Warning</t>
        </is>
      </c>
      <c r="D197" s="6" t="inlineStr">
        <is>
          <t>No schema markup detected</t>
        </is>
      </c>
      <c r="E197" s="6" t="n">
        <v>67</v>
      </c>
      <c r="F197" s="6" t="n">
        <v>0</v>
      </c>
      <c r="G197" s="6" t="inlineStr">
        <is>
          <t>At least one relevant schema type</t>
        </is>
      </c>
      <c r="H197" s="6" t="inlineStr">
        <is>
          <t>In AIOSEO schema settings for the page, add the most relevant type (Article/FAQ/HowTo/Product, etc.).</t>
        </is>
      </c>
      <c r="I197" s="31" t="inlineStr">
        <is>
          <t>StructuredData</t>
        </is>
      </c>
      <c r="J197" s="6" t="inlineStr">
        <is>
          <t>Schema Types Count</t>
        </is>
      </c>
      <c r="K197" s="6" t="inlineStr">
        <is>
          <t>Yes</t>
        </is>
      </c>
      <c r="L197" s="6" t="inlineStr">
        <is>
          <t>Copy Writer</t>
        </is>
      </c>
      <c r="M197" s="25" t="inlineStr">
        <is>
          <t>Open</t>
        </is>
      </c>
      <c r="N197" s="6" t="n">
        <v>4</v>
      </c>
      <c r="O197" s="6" t="inlineStr">
        <is>
          <t>https://africanmarketingconfederation.org/amc-forum-payments/::aioseo_no_schema_markup_detected</t>
        </is>
      </c>
      <c r="P197" s="6" t="inlineStr">
        <is>
          <t>Schema improves understanding and rich result eligibility.</t>
        </is>
      </c>
      <c r="Q197">
        <f>IFERROR(HYPERLINK("#Main!A"&amp;MATCH(A197,Main!A:A,0),"Open"),HYPERLINK("#Main!A1","Open"))</f>
        <v/>
      </c>
      <c r="R197">
        <f>IFERROR(HYPERLINK("#Technical!A"&amp;MATCH(A197,Technical!A:A,0),"Open"),HYPERLINK("#Technical!A1","Open"))</f>
        <v/>
      </c>
    </row>
    <row r="198" ht="45" customHeight="1">
      <c r="A198" s="33" t="inlineStr">
        <is>
          <t>https://africanmarketingconfederation.org/amc-launch-event-zambia-thank-you-2026/</t>
        </is>
      </c>
      <c r="B198" s="24" t="inlineStr">
        <is>
          <t>Schema</t>
        </is>
      </c>
      <c r="C198" s="25" t="inlineStr">
        <is>
          <t>Warning</t>
        </is>
      </c>
      <c r="D198" s="24" t="inlineStr">
        <is>
          <t>No schema markup detected</t>
        </is>
      </c>
      <c r="E198" s="24" t="n">
        <v>67</v>
      </c>
      <c r="F198" s="24" t="n">
        <v>0</v>
      </c>
      <c r="G198" s="24" t="inlineStr">
        <is>
          <t>At least one relevant schema type</t>
        </is>
      </c>
      <c r="H198" s="24" t="inlineStr">
        <is>
          <t>In AIOSEO schema settings for the page, add the most relevant type (Article/FAQ/HowTo/Product, etc.).</t>
        </is>
      </c>
      <c r="I198" s="28" t="inlineStr">
        <is>
          <t>StructuredData</t>
        </is>
      </c>
      <c r="J198" s="24" t="inlineStr">
        <is>
          <t>Schema Types Count</t>
        </is>
      </c>
      <c r="K198" s="24" t="inlineStr">
        <is>
          <t>Yes</t>
        </is>
      </c>
      <c r="L198" s="24" t="inlineStr">
        <is>
          <t>Copy Writer</t>
        </is>
      </c>
      <c r="M198" s="25" t="inlineStr">
        <is>
          <t>Open</t>
        </is>
      </c>
      <c r="N198" s="24" t="n">
        <v>4</v>
      </c>
      <c r="O198" s="24" t="inlineStr">
        <is>
          <t>https://africanmarketingconfederation.org/amc-launch-event-zambia-thank-you-2026/::aioseo_no_schema_markup_detected</t>
        </is>
      </c>
      <c r="P198" s="24" t="inlineStr">
        <is>
          <t>Schema improves understanding and rich result eligibility.</t>
        </is>
      </c>
      <c r="Q198">
        <f>IFERROR(HYPERLINK("#Main!A"&amp;MATCH(A198,Main!A:A,0),"Open"),HYPERLINK("#Main!A1","Open"))</f>
        <v/>
      </c>
      <c r="R198">
        <f>IFERROR(HYPERLINK("#Technical!A"&amp;MATCH(A198,Technical!A:A,0),"Open"),HYPERLINK("#Technical!A1","Open"))</f>
        <v/>
      </c>
    </row>
    <row r="199" ht="45" customHeight="1">
      <c r="A199" s="33" t="inlineStr">
        <is>
          <t>https://africanmarketingconfederation.org/amc-marketing-conference-2024/</t>
        </is>
      </c>
      <c r="B199" s="6" t="inlineStr">
        <is>
          <t>Schema</t>
        </is>
      </c>
      <c r="C199" s="25" t="inlineStr">
        <is>
          <t>Warning</t>
        </is>
      </c>
      <c r="D199" s="6" t="inlineStr">
        <is>
          <t>No schema markup detected</t>
        </is>
      </c>
      <c r="E199" s="6" t="n">
        <v>67</v>
      </c>
      <c r="F199" s="6" t="n">
        <v>0</v>
      </c>
      <c r="G199" s="6" t="inlineStr">
        <is>
          <t>At least one relevant schema type</t>
        </is>
      </c>
      <c r="H199" s="6" t="inlineStr">
        <is>
          <t>In AIOSEO schema settings for the page, add the most relevant type (Article/FAQ/HowTo/Product, etc.).</t>
        </is>
      </c>
      <c r="I199" s="31" t="inlineStr">
        <is>
          <t>StructuredData</t>
        </is>
      </c>
      <c r="J199" s="6" t="inlineStr">
        <is>
          <t>Schema Types Count</t>
        </is>
      </c>
      <c r="K199" s="6" t="inlineStr">
        <is>
          <t>Yes</t>
        </is>
      </c>
      <c r="L199" s="6" t="inlineStr">
        <is>
          <t>Copy Writer</t>
        </is>
      </c>
      <c r="M199" s="25" t="inlineStr">
        <is>
          <t>Open</t>
        </is>
      </c>
      <c r="N199" s="6" t="n">
        <v>4</v>
      </c>
      <c r="O199" s="6" t="inlineStr">
        <is>
          <t>https://africanmarketingconfederation.org/amc-marketing-conference-2024/::aioseo_no_schema_markup_detected</t>
        </is>
      </c>
      <c r="P199" s="6" t="inlineStr">
        <is>
          <t>Schema improves understanding and rich result eligibility.</t>
        </is>
      </c>
      <c r="Q199">
        <f>IFERROR(HYPERLINK("#Main!A"&amp;MATCH(A199,Main!A:A,0),"Open"),HYPERLINK("#Main!A1","Open"))</f>
        <v/>
      </c>
      <c r="R199">
        <f>IFERROR(HYPERLINK("#Technical!A"&amp;MATCH(A199,Technical!A:A,0),"Open"),HYPERLINK("#Technical!A1","Open"))</f>
        <v/>
      </c>
    </row>
    <row r="200" ht="45" customHeight="1">
      <c r="A200" s="33" t="inlineStr">
        <is>
          <t>https://africanmarketingconfederation.org/amc-marketing-conference-2024/amc-conference-2025-ghana-sponsors/</t>
        </is>
      </c>
      <c r="B200" s="24" t="inlineStr">
        <is>
          <t>Schema</t>
        </is>
      </c>
      <c r="C200" s="25" t="inlineStr">
        <is>
          <t>Warning</t>
        </is>
      </c>
      <c r="D200" s="24" t="inlineStr">
        <is>
          <t>No schema markup detected</t>
        </is>
      </c>
      <c r="E200" s="24" t="n">
        <v>67</v>
      </c>
      <c r="F200" s="24" t="n">
        <v>0</v>
      </c>
      <c r="G200" s="24" t="inlineStr">
        <is>
          <t>At least one relevant schema type</t>
        </is>
      </c>
      <c r="H200" s="24" t="inlineStr">
        <is>
          <t>In AIOSEO schema settings for the page, add the most relevant type (Article/FAQ/HowTo/Product, etc.).</t>
        </is>
      </c>
      <c r="I200" s="28" t="inlineStr">
        <is>
          <t>StructuredData</t>
        </is>
      </c>
      <c r="J200" s="24" t="inlineStr">
        <is>
          <t>Schema Types Count</t>
        </is>
      </c>
      <c r="K200" s="24" t="inlineStr">
        <is>
          <t>Yes</t>
        </is>
      </c>
      <c r="L200" s="24" t="inlineStr">
        <is>
          <t>Copy Writer</t>
        </is>
      </c>
      <c r="M200" s="25" t="inlineStr">
        <is>
          <t>Open</t>
        </is>
      </c>
      <c r="N200" s="24" t="n">
        <v>4</v>
      </c>
      <c r="O200" s="24" t="inlineStr">
        <is>
          <t>https://africanmarketingconfederation.org/amc-marketing-conference-2024/amc-conference-2025-ghana-sponsors/::aioseo_no_schema_markup_detected</t>
        </is>
      </c>
      <c r="P200" s="24" t="inlineStr">
        <is>
          <t>Schema improves understanding and rich result eligibility.</t>
        </is>
      </c>
      <c r="Q200">
        <f>IFERROR(HYPERLINK("#Main!A"&amp;MATCH(A200,Main!A:A,0),"Open"),HYPERLINK("#Main!A1","Open"))</f>
        <v/>
      </c>
      <c r="R200">
        <f>IFERROR(HYPERLINK("#Technical!A"&amp;MATCH(A200,Technical!A:A,0),"Open"),HYPERLINK("#Technical!A1","Open"))</f>
        <v/>
      </c>
    </row>
    <row r="201" ht="45" customHeight="1">
      <c r="A201" s="33" t="inlineStr">
        <is>
          <t>https://africanmarketingconfederation.org/amc-marketing-conference-2024/amc-launch-event-2025/</t>
        </is>
      </c>
      <c r="B201" s="6" t="inlineStr">
        <is>
          <t>Schema</t>
        </is>
      </c>
      <c r="C201" s="25" t="inlineStr">
        <is>
          <t>Warning</t>
        </is>
      </c>
      <c r="D201" s="6" t="inlineStr">
        <is>
          <t>No schema markup detected</t>
        </is>
      </c>
      <c r="E201" s="6" t="n">
        <v>67</v>
      </c>
      <c r="F201" s="6" t="n">
        <v>0</v>
      </c>
      <c r="G201" s="6" t="inlineStr">
        <is>
          <t>At least one relevant schema type</t>
        </is>
      </c>
      <c r="H201" s="6" t="inlineStr">
        <is>
          <t>In AIOSEO schema settings for the page, add the most relevant type (Article/FAQ/HowTo/Product, etc.).</t>
        </is>
      </c>
      <c r="I201" s="31" t="inlineStr">
        <is>
          <t>StructuredData</t>
        </is>
      </c>
      <c r="J201" s="6" t="inlineStr">
        <is>
          <t>Schema Types Count</t>
        </is>
      </c>
      <c r="K201" s="6" t="inlineStr">
        <is>
          <t>Yes</t>
        </is>
      </c>
      <c r="L201" s="6" t="inlineStr">
        <is>
          <t>Copy Writer</t>
        </is>
      </c>
      <c r="M201" s="25" t="inlineStr">
        <is>
          <t>Open</t>
        </is>
      </c>
      <c r="N201" s="6" t="n">
        <v>4</v>
      </c>
      <c r="O201" s="6" t="inlineStr">
        <is>
          <t>https://africanmarketingconfederation.org/amc-marketing-conference-2024/amc-launch-event-2025/::aioseo_no_schema_markup_detected</t>
        </is>
      </c>
      <c r="P201" s="6" t="inlineStr">
        <is>
          <t>Schema improves understanding and rich result eligibility.</t>
        </is>
      </c>
      <c r="Q201">
        <f>IFERROR(HYPERLINK("#Main!A"&amp;MATCH(A201,Main!A:A,0),"Open"),HYPERLINK("#Main!A1","Open"))</f>
        <v/>
      </c>
      <c r="R201">
        <f>IFERROR(HYPERLINK("#Technical!A"&amp;MATCH(A201,Technical!A:A,0),"Open"),HYPERLINK("#Technical!A1","Open"))</f>
        <v/>
      </c>
    </row>
    <row r="202" ht="45" customHeight="1">
      <c r="A202" s="33" t="inlineStr">
        <is>
          <t>https://africanmarketingconfederation.org/amc-marketing-conference-2024/amc-preregister-2025/</t>
        </is>
      </c>
      <c r="B202" s="24" t="inlineStr">
        <is>
          <t>Schema</t>
        </is>
      </c>
      <c r="C202" s="25" t="inlineStr">
        <is>
          <t>Warning</t>
        </is>
      </c>
      <c r="D202" s="24" t="inlineStr">
        <is>
          <t>No schema markup detected</t>
        </is>
      </c>
      <c r="E202" s="24" t="n">
        <v>67</v>
      </c>
      <c r="F202" s="24" t="n">
        <v>0</v>
      </c>
      <c r="G202" s="24" t="inlineStr">
        <is>
          <t>At least one relevant schema type</t>
        </is>
      </c>
      <c r="H202" s="24" t="inlineStr">
        <is>
          <t>In AIOSEO schema settings for the page, add the most relevant type (Article/FAQ/HowTo/Product, etc.).</t>
        </is>
      </c>
      <c r="I202" s="28" t="inlineStr">
        <is>
          <t>StructuredData</t>
        </is>
      </c>
      <c r="J202" s="24" t="inlineStr">
        <is>
          <t>Schema Types Count</t>
        </is>
      </c>
      <c r="K202" s="24" t="inlineStr">
        <is>
          <t>Yes</t>
        </is>
      </c>
      <c r="L202" s="24" t="inlineStr">
        <is>
          <t>Copy Writer</t>
        </is>
      </c>
      <c r="M202" s="25" t="inlineStr">
        <is>
          <t>Open</t>
        </is>
      </c>
      <c r="N202" s="24" t="n">
        <v>4</v>
      </c>
      <c r="O202" s="24" t="inlineStr">
        <is>
          <t>https://africanmarketingconfederation.org/amc-marketing-conference-2024/amc-preregister-2025/::aioseo_no_schema_markup_detected</t>
        </is>
      </c>
      <c r="P202" s="24" t="inlineStr">
        <is>
          <t>Schema improves understanding and rich result eligibility.</t>
        </is>
      </c>
      <c r="Q202">
        <f>IFERROR(HYPERLINK("#Main!A"&amp;MATCH(A202,Main!A:A,0),"Open"),HYPERLINK("#Main!A1","Open"))</f>
        <v/>
      </c>
      <c r="R202">
        <f>IFERROR(HYPERLINK("#Technical!A"&amp;MATCH(A202,Technical!A:A,0),"Open"),HYPERLINK("#Technical!A1","Open"))</f>
        <v/>
      </c>
    </row>
    <row r="203" ht="45" customHeight="1">
      <c r="A203" s="33" t="inlineStr">
        <is>
          <t>https://africanmarketingconfederation.org/amc-marketing-conference-2024/amc-programme-2025/</t>
        </is>
      </c>
      <c r="B203" s="6" t="inlineStr">
        <is>
          <t>Schema</t>
        </is>
      </c>
      <c r="C203" s="25" t="inlineStr">
        <is>
          <t>Warning</t>
        </is>
      </c>
      <c r="D203" s="6" t="inlineStr">
        <is>
          <t>No schema markup detected</t>
        </is>
      </c>
      <c r="E203" s="6" t="n">
        <v>67</v>
      </c>
      <c r="F203" s="6" t="n">
        <v>0</v>
      </c>
      <c r="G203" s="6" t="inlineStr">
        <is>
          <t>At least one relevant schema type</t>
        </is>
      </c>
      <c r="H203" s="6" t="inlineStr">
        <is>
          <t>In AIOSEO schema settings for the page, add the most relevant type (Article/FAQ/HowTo/Product, etc.).</t>
        </is>
      </c>
      <c r="I203" s="31" t="inlineStr">
        <is>
          <t>StructuredData</t>
        </is>
      </c>
      <c r="J203" s="6" t="inlineStr">
        <is>
          <t>Schema Types Count</t>
        </is>
      </c>
      <c r="K203" s="6" t="inlineStr">
        <is>
          <t>Yes</t>
        </is>
      </c>
      <c r="L203" s="6" t="inlineStr">
        <is>
          <t>Copy Writer</t>
        </is>
      </c>
      <c r="M203" s="25" t="inlineStr">
        <is>
          <t>Open</t>
        </is>
      </c>
      <c r="N203" s="6" t="n">
        <v>4</v>
      </c>
      <c r="O203" s="6" t="inlineStr">
        <is>
          <t>https://africanmarketingconfederation.org/amc-marketing-conference-2024/amc-programme-2025/::aioseo_no_schema_markup_detected</t>
        </is>
      </c>
      <c r="P203" s="6" t="inlineStr">
        <is>
          <t>Schema improves understanding and rich result eligibility.</t>
        </is>
      </c>
      <c r="Q203">
        <f>IFERROR(HYPERLINK("#Main!A"&amp;MATCH(A203,Main!A:A,0),"Open"),HYPERLINK("#Main!A1","Open"))</f>
        <v/>
      </c>
      <c r="R203">
        <f>IFERROR(HYPERLINK("#Technical!A"&amp;MATCH(A203,Technical!A:A,0),"Open"),HYPERLINK("#Technical!A1","Open"))</f>
        <v/>
      </c>
    </row>
    <row r="204" ht="45" customHeight="1">
      <c r="A204" s="33" t="inlineStr">
        <is>
          <t>https://africanmarketingconfederation.org/amc-marketing-conference-2024/amc-speakers-presentations-2024/</t>
        </is>
      </c>
      <c r="B204" s="24" t="inlineStr">
        <is>
          <t>Schema</t>
        </is>
      </c>
      <c r="C204" s="25" t="inlineStr">
        <is>
          <t>Warning</t>
        </is>
      </c>
      <c r="D204" s="24" t="inlineStr">
        <is>
          <t>No schema markup detected</t>
        </is>
      </c>
      <c r="E204" s="24" t="n">
        <v>67</v>
      </c>
      <c r="F204" s="24" t="n">
        <v>0</v>
      </c>
      <c r="G204" s="24" t="inlineStr">
        <is>
          <t>At least one relevant schema type</t>
        </is>
      </c>
      <c r="H204" s="24" t="inlineStr">
        <is>
          <t>In AIOSEO schema settings for the page, add the most relevant type (Article/FAQ/HowTo/Product, etc.).</t>
        </is>
      </c>
      <c r="I204" s="28" t="inlineStr">
        <is>
          <t>StructuredData</t>
        </is>
      </c>
      <c r="J204" s="24" t="inlineStr">
        <is>
          <t>Schema Types Count</t>
        </is>
      </c>
      <c r="K204" s="24" t="inlineStr">
        <is>
          <t>Yes</t>
        </is>
      </c>
      <c r="L204" s="24" t="inlineStr">
        <is>
          <t>Copy Writer</t>
        </is>
      </c>
      <c r="M204" s="25" t="inlineStr">
        <is>
          <t>Open</t>
        </is>
      </c>
      <c r="N204" s="24" t="n">
        <v>4</v>
      </c>
      <c r="O204" s="24" t="inlineStr">
        <is>
          <t>https://africanmarketingconfederation.org/amc-marketing-conference-2024/amc-speakers-presentations-2024/::aioseo_no_schema_markup_detected</t>
        </is>
      </c>
      <c r="P204" s="24" t="inlineStr">
        <is>
          <t>Schema improves understanding and rich result eligibility.</t>
        </is>
      </c>
      <c r="Q204">
        <f>IFERROR(HYPERLINK("#Main!A"&amp;MATCH(A204,Main!A:A,0),"Open"),HYPERLINK("#Main!A1","Open"))</f>
        <v/>
      </c>
      <c r="R204">
        <f>IFERROR(HYPERLINK("#Technical!A"&amp;MATCH(A204,Technical!A:A,0),"Open"),HYPERLINK("#Technical!A1","Open"))</f>
        <v/>
      </c>
    </row>
    <row r="205" ht="45" customHeight="1">
      <c r="A205" s="33" t="inlineStr">
        <is>
          <t>https://africanmarketingconfederation.org/amc-marketing-conference-2024/awards-2025/</t>
        </is>
      </c>
      <c r="B205" s="6" t="inlineStr">
        <is>
          <t>Schema</t>
        </is>
      </c>
      <c r="C205" s="25" t="inlineStr">
        <is>
          <t>Warning</t>
        </is>
      </c>
      <c r="D205" s="6" t="inlineStr">
        <is>
          <t>No schema markup detected</t>
        </is>
      </c>
      <c r="E205" s="6" t="n">
        <v>67</v>
      </c>
      <c r="F205" s="6" t="n">
        <v>0</v>
      </c>
      <c r="G205" s="6" t="inlineStr">
        <is>
          <t>At least one relevant schema type</t>
        </is>
      </c>
      <c r="H205" s="6" t="inlineStr">
        <is>
          <t>In AIOSEO schema settings for the page, add the most relevant type (Article/FAQ/HowTo/Product, etc.).</t>
        </is>
      </c>
      <c r="I205" s="31" t="inlineStr">
        <is>
          <t>StructuredData</t>
        </is>
      </c>
      <c r="J205" s="6" t="inlineStr">
        <is>
          <t>Schema Types Count</t>
        </is>
      </c>
      <c r="K205" s="6" t="inlineStr">
        <is>
          <t>Yes</t>
        </is>
      </c>
      <c r="L205" s="6" t="inlineStr">
        <is>
          <t>Copy Writer</t>
        </is>
      </c>
      <c r="M205" s="25" t="inlineStr">
        <is>
          <t>Open</t>
        </is>
      </c>
      <c r="N205" s="6" t="n">
        <v>4</v>
      </c>
      <c r="O205" s="6" t="inlineStr">
        <is>
          <t>https://africanmarketingconfederation.org/amc-marketing-conference-2024/awards-2025/::aioseo_no_schema_markup_detected</t>
        </is>
      </c>
      <c r="P205" s="6" t="inlineStr">
        <is>
          <t>Schema improves understanding and rich result eligibility.</t>
        </is>
      </c>
      <c r="Q205">
        <f>IFERROR(HYPERLINK("#Main!A"&amp;MATCH(A205,Main!A:A,0),"Open"),HYPERLINK("#Main!A1","Open"))</f>
        <v/>
      </c>
      <c r="R205">
        <f>IFERROR(HYPERLINK("#Technical!A"&amp;MATCH(A205,Technical!A:A,0),"Open"),HYPERLINK("#Technical!A1","Open"))</f>
        <v/>
      </c>
    </row>
    <row r="206" ht="45" customHeight="1">
      <c r="A206" s="33" t="inlineStr">
        <is>
          <t>https://africanmarketingconfederation.org/amc-marketing-conference-2024/programme-2024/</t>
        </is>
      </c>
      <c r="B206" s="24" t="inlineStr">
        <is>
          <t>Schema</t>
        </is>
      </c>
      <c r="C206" s="25" t="inlineStr">
        <is>
          <t>Warning</t>
        </is>
      </c>
      <c r="D206" s="24" t="inlineStr">
        <is>
          <t>No schema markup detected</t>
        </is>
      </c>
      <c r="E206" s="24" t="n">
        <v>67</v>
      </c>
      <c r="F206" s="24" t="n">
        <v>0</v>
      </c>
      <c r="G206" s="24" t="inlineStr">
        <is>
          <t>At least one relevant schema type</t>
        </is>
      </c>
      <c r="H206" s="24" t="inlineStr">
        <is>
          <t>In AIOSEO schema settings for the page, add the most relevant type (Article/FAQ/HowTo/Product, etc.).</t>
        </is>
      </c>
      <c r="I206" s="28" t="inlineStr">
        <is>
          <t>StructuredData</t>
        </is>
      </c>
      <c r="J206" s="24" t="inlineStr">
        <is>
          <t>Schema Types Count</t>
        </is>
      </c>
      <c r="K206" s="24" t="inlineStr">
        <is>
          <t>Yes</t>
        </is>
      </c>
      <c r="L206" s="24" t="inlineStr">
        <is>
          <t>Copy Writer</t>
        </is>
      </c>
      <c r="M206" s="25" t="inlineStr">
        <is>
          <t>Open</t>
        </is>
      </c>
      <c r="N206" s="24" t="n">
        <v>4</v>
      </c>
      <c r="O206" s="24" t="inlineStr">
        <is>
          <t>https://africanmarketingconfederation.org/amc-marketing-conference-2024/programme-2024/::aioseo_no_schema_markup_detected</t>
        </is>
      </c>
      <c r="P206" s="24" t="inlineStr">
        <is>
          <t>Schema improves understanding and rich result eligibility.</t>
        </is>
      </c>
      <c r="Q206">
        <f>IFERROR(HYPERLINK("#Main!A"&amp;MATCH(A206,Main!A:A,0),"Open"),HYPERLINK("#Main!A1","Open"))</f>
        <v/>
      </c>
      <c r="R206">
        <f>IFERROR(HYPERLINK("#Technical!A"&amp;MATCH(A206,Technical!A:A,0),"Open"),HYPERLINK("#Technical!A1","Open"))</f>
        <v/>
      </c>
    </row>
    <row r="207" ht="45" customHeight="1">
      <c r="A207" s="33" t="inlineStr">
        <is>
          <t>https://africanmarketingconfederation.org/amc-marketing-conference-2024/speakers-2024/</t>
        </is>
      </c>
      <c r="B207" s="6" t="inlineStr">
        <is>
          <t>Schema</t>
        </is>
      </c>
      <c r="C207" s="25" t="inlineStr">
        <is>
          <t>Warning</t>
        </is>
      </c>
      <c r="D207" s="6" t="inlineStr">
        <is>
          <t>No schema markup detected</t>
        </is>
      </c>
      <c r="E207" s="6" t="n">
        <v>67</v>
      </c>
      <c r="F207" s="6" t="n">
        <v>0</v>
      </c>
      <c r="G207" s="6" t="inlineStr">
        <is>
          <t>At least one relevant schema type</t>
        </is>
      </c>
      <c r="H207" s="6" t="inlineStr">
        <is>
          <t>In AIOSEO schema settings for the page, add the most relevant type (Article/FAQ/HowTo/Product, etc.).</t>
        </is>
      </c>
      <c r="I207" s="31" t="inlineStr">
        <is>
          <t>StructuredData</t>
        </is>
      </c>
      <c r="J207" s="6" t="inlineStr">
        <is>
          <t>Schema Types Count</t>
        </is>
      </c>
      <c r="K207" s="6" t="inlineStr">
        <is>
          <t>Yes</t>
        </is>
      </c>
      <c r="L207" s="6" t="inlineStr">
        <is>
          <t>Copy Writer</t>
        </is>
      </c>
      <c r="M207" s="25" t="inlineStr">
        <is>
          <t>Open</t>
        </is>
      </c>
      <c r="N207" s="6" t="n">
        <v>4</v>
      </c>
      <c r="O207" s="6" t="inlineStr">
        <is>
          <t>https://africanmarketingconfederation.org/amc-marketing-conference-2024/speakers-2024/::aioseo_no_schema_markup_detected</t>
        </is>
      </c>
      <c r="P207" s="6" t="inlineStr">
        <is>
          <t>Schema improves understanding and rich result eligibility.</t>
        </is>
      </c>
      <c r="Q207">
        <f>IFERROR(HYPERLINK("#Main!A"&amp;MATCH(A207,Main!A:A,0),"Open"),HYPERLINK("#Main!A1","Open"))</f>
        <v/>
      </c>
      <c r="R207">
        <f>IFERROR(HYPERLINK("#Technical!A"&amp;MATCH(A207,Technical!A:A,0),"Open"),HYPERLINK("#Technical!A1","Open"))</f>
        <v/>
      </c>
    </row>
    <row r="208" ht="45" customHeight="1">
      <c r="A208" s="33" t="inlineStr">
        <is>
          <t>https://africanmarketingconfederation.org/amc-marketing-conference-2024/testimony-thank-you-page/</t>
        </is>
      </c>
      <c r="B208" s="24" t="inlineStr">
        <is>
          <t>Schema</t>
        </is>
      </c>
      <c r="C208" s="25" t="inlineStr">
        <is>
          <t>Warning</t>
        </is>
      </c>
      <c r="D208" s="24" t="inlineStr">
        <is>
          <t>No schema markup detected</t>
        </is>
      </c>
      <c r="E208" s="24" t="n">
        <v>67</v>
      </c>
      <c r="F208" s="24" t="n">
        <v>0</v>
      </c>
      <c r="G208" s="24" t="inlineStr">
        <is>
          <t>At least one relevant schema type</t>
        </is>
      </c>
      <c r="H208" s="24" t="inlineStr">
        <is>
          <t>In AIOSEO schema settings for the page, add the most relevant type (Article/FAQ/HowTo/Product, etc.).</t>
        </is>
      </c>
      <c r="I208" s="28" t="inlineStr">
        <is>
          <t>StructuredData</t>
        </is>
      </c>
      <c r="J208" s="24" t="inlineStr">
        <is>
          <t>Schema Types Count</t>
        </is>
      </c>
      <c r="K208" s="24" t="inlineStr">
        <is>
          <t>Yes</t>
        </is>
      </c>
      <c r="L208" s="24" t="inlineStr">
        <is>
          <t>Copy Writer</t>
        </is>
      </c>
      <c r="M208" s="25" t="inlineStr">
        <is>
          <t>Open</t>
        </is>
      </c>
      <c r="N208" s="24" t="n">
        <v>4</v>
      </c>
      <c r="O208" s="24" t="inlineStr">
        <is>
          <t>https://africanmarketingconfederation.org/amc-marketing-conference-2024/testimony-thank-you-page/::aioseo_no_schema_markup_detected</t>
        </is>
      </c>
      <c r="P208" s="24" t="inlineStr">
        <is>
          <t>Schema improves understanding and rich result eligibility.</t>
        </is>
      </c>
      <c r="Q208">
        <f>IFERROR(HYPERLINK("#Main!A"&amp;MATCH(A208,Main!A:A,0),"Open"),HYPERLINK("#Main!A1","Open"))</f>
        <v/>
      </c>
      <c r="R208">
        <f>IFERROR(HYPERLINK("#Technical!A"&amp;MATCH(A208,Technical!A:A,0),"Open"),HYPERLINK("#Technical!A1","Open"))</f>
        <v/>
      </c>
    </row>
    <row r="209" ht="45" customHeight="1">
      <c r="A209" s="33" t="inlineStr">
        <is>
          <t>https://africanmarketingconfederation.org/amc-masterclass-bookings/</t>
        </is>
      </c>
      <c r="B209" s="6" t="inlineStr">
        <is>
          <t>Schema</t>
        </is>
      </c>
      <c r="C209" s="25" t="inlineStr">
        <is>
          <t>Warning</t>
        </is>
      </c>
      <c r="D209" s="6" t="inlineStr">
        <is>
          <t>No schema markup detected</t>
        </is>
      </c>
      <c r="E209" s="6" t="n">
        <v>67</v>
      </c>
      <c r="F209" s="6" t="n">
        <v>0</v>
      </c>
      <c r="G209" s="6" t="inlineStr">
        <is>
          <t>At least one relevant schema type</t>
        </is>
      </c>
      <c r="H209" s="6" t="inlineStr">
        <is>
          <t>In AIOSEO schema settings for the page, add the most relevant type (Article/FAQ/HowTo/Product, etc.).</t>
        </is>
      </c>
      <c r="I209" s="31" t="inlineStr">
        <is>
          <t>StructuredData</t>
        </is>
      </c>
      <c r="J209" s="6" t="inlineStr">
        <is>
          <t>Schema Types Count</t>
        </is>
      </c>
      <c r="K209" s="6" t="inlineStr">
        <is>
          <t>Yes</t>
        </is>
      </c>
      <c r="L209" s="6" t="inlineStr">
        <is>
          <t>Copy Writer</t>
        </is>
      </c>
      <c r="M209" s="25" t="inlineStr">
        <is>
          <t>Open</t>
        </is>
      </c>
      <c r="N209" s="6" t="n">
        <v>4</v>
      </c>
      <c r="O209" s="6" t="inlineStr">
        <is>
          <t>https://africanmarketingconfederation.org/amc-masterclass-bookings/::aioseo_no_schema_markup_detected</t>
        </is>
      </c>
      <c r="P209" s="6" t="inlineStr">
        <is>
          <t>Schema improves understanding and rich result eligibility.</t>
        </is>
      </c>
      <c r="Q209">
        <f>IFERROR(HYPERLINK("#Main!A"&amp;MATCH(A209,Main!A:A,0),"Open"),HYPERLINK("#Main!A1","Open"))</f>
        <v/>
      </c>
      <c r="R209">
        <f>IFERROR(HYPERLINK("#Technical!A"&amp;MATCH(A209,Technical!A:A,0),"Open"),HYPERLINK("#Technical!A1","Open"))</f>
        <v/>
      </c>
    </row>
    <row r="210" ht="45" customHeight="1">
      <c r="A210" s="33" t="inlineStr">
        <is>
          <t>https://africanmarketingconfederation.org/amc-masterclass-thank-you/</t>
        </is>
      </c>
      <c r="B210" s="24" t="inlineStr">
        <is>
          <t>Schema</t>
        </is>
      </c>
      <c r="C210" s="25" t="inlineStr">
        <is>
          <t>Warning</t>
        </is>
      </c>
      <c r="D210" s="24" t="inlineStr">
        <is>
          <t>No schema markup detected</t>
        </is>
      </c>
      <c r="E210" s="24" t="n">
        <v>67</v>
      </c>
      <c r="F210" s="24" t="n">
        <v>0</v>
      </c>
      <c r="G210" s="24" t="inlineStr">
        <is>
          <t>At least one relevant schema type</t>
        </is>
      </c>
      <c r="H210" s="24" t="inlineStr">
        <is>
          <t>In AIOSEO schema settings for the page, add the most relevant type (Article/FAQ/HowTo/Product, etc.).</t>
        </is>
      </c>
      <c r="I210" s="28" t="inlineStr">
        <is>
          <t>StructuredData</t>
        </is>
      </c>
      <c r="J210" s="24" t="inlineStr">
        <is>
          <t>Schema Types Count</t>
        </is>
      </c>
      <c r="K210" s="24" t="inlineStr">
        <is>
          <t>Yes</t>
        </is>
      </c>
      <c r="L210" s="24" t="inlineStr">
        <is>
          <t>Copy Writer</t>
        </is>
      </c>
      <c r="M210" s="25" t="inlineStr">
        <is>
          <t>Open</t>
        </is>
      </c>
      <c r="N210" s="24" t="n">
        <v>4</v>
      </c>
      <c r="O210" s="24" t="inlineStr">
        <is>
          <t>https://africanmarketingconfederation.org/amc-masterclass-thank-you/::aioseo_no_schema_markup_detected</t>
        </is>
      </c>
      <c r="P210" s="24" t="inlineStr">
        <is>
          <t>Schema improves understanding and rich result eligibility.</t>
        </is>
      </c>
      <c r="Q210">
        <f>IFERROR(HYPERLINK("#Main!A"&amp;MATCH(A210,Main!A:A,0),"Open"),HYPERLINK("#Main!A1","Open"))</f>
        <v/>
      </c>
      <c r="R210">
        <f>IFERROR(HYPERLINK("#Technical!A"&amp;MATCH(A210,Technical!A:A,0),"Open"),HYPERLINK("#Technical!A1","Open"))</f>
        <v/>
      </c>
    </row>
    <row r="211" ht="45" customHeight="1">
      <c r="A211" s="33" t="inlineStr">
        <is>
          <t>https://africanmarketingconfederation.org/amc-masterclass/</t>
        </is>
      </c>
      <c r="B211" s="6" t="inlineStr">
        <is>
          <t>Schema</t>
        </is>
      </c>
      <c r="C211" s="25" t="inlineStr">
        <is>
          <t>Warning</t>
        </is>
      </c>
      <c r="D211" s="6" t="inlineStr">
        <is>
          <t>No schema markup detected</t>
        </is>
      </c>
      <c r="E211" s="6" t="n">
        <v>67</v>
      </c>
      <c r="F211" s="6" t="n">
        <v>0</v>
      </c>
      <c r="G211" s="6" t="inlineStr">
        <is>
          <t>At least one relevant schema type</t>
        </is>
      </c>
      <c r="H211" s="6" t="inlineStr">
        <is>
          <t>In AIOSEO schema settings for the page, add the most relevant type (Article/FAQ/HowTo/Product, etc.).</t>
        </is>
      </c>
      <c r="I211" s="31" t="inlineStr">
        <is>
          <t>StructuredData</t>
        </is>
      </c>
      <c r="J211" s="6" t="inlineStr">
        <is>
          <t>Schema Types Count</t>
        </is>
      </c>
      <c r="K211" s="6" t="inlineStr">
        <is>
          <t>Yes</t>
        </is>
      </c>
      <c r="L211" s="6" t="inlineStr">
        <is>
          <t>Copy Writer</t>
        </is>
      </c>
      <c r="M211" s="25" t="inlineStr">
        <is>
          <t>Open</t>
        </is>
      </c>
      <c r="N211" s="6" t="n">
        <v>4</v>
      </c>
      <c r="O211" s="6" t="inlineStr">
        <is>
          <t>https://africanmarketingconfederation.org/amc-masterclass/::aioseo_no_schema_markup_detected</t>
        </is>
      </c>
      <c r="P211" s="6" t="inlineStr">
        <is>
          <t>Schema improves understanding and rich result eligibility.</t>
        </is>
      </c>
      <c r="Q211">
        <f>IFERROR(HYPERLINK("#Main!A"&amp;MATCH(A211,Main!A:A,0),"Open"),HYPERLINK("#Main!A1","Open"))</f>
        <v/>
      </c>
      <c r="R211">
        <f>IFERROR(HYPERLINK("#Technical!A"&amp;MATCH(A211,Technical!A:A,0),"Open"),HYPERLINK("#Technical!A1","Open"))</f>
        <v/>
      </c>
    </row>
    <row r="212" ht="45" customHeight="1">
      <c r="A212" s="33" t="inlineStr">
        <is>
          <t>https://africanmarketingconfederation.org/amc-relaunch-programme/</t>
        </is>
      </c>
      <c r="B212" s="24" t="inlineStr">
        <is>
          <t>Schema</t>
        </is>
      </c>
      <c r="C212" s="25" t="inlineStr">
        <is>
          <t>Warning</t>
        </is>
      </c>
      <c r="D212" s="24" t="inlineStr">
        <is>
          <t>No schema markup detected</t>
        </is>
      </c>
      <c r="E212" s="24" t="n">
        <v>67</v>
      </c>
      <c r="F212" s="24" t="n">
        <v>0</v>
      </c>
      <c r="G212" s="24" t="inlineStr">
        <is>
          <t>At least one relevant schema type</t>
        </is>
      </c>
      <c r="H212" s="24" t="inlineStr">
        <is>
          <t>In AIOSEO schema settings for the page, add the most relevant type (Article/FAQ/HowTo/Product, etc.).</t>
        </is>
      </c>
      <c r="I212" s="28" t="inlineStr">
        <is>
          <t>StructuredData</t>
        </is>
      </c>
      <c r="J212" s="24" t="inlineStr">
        <is>
          <t>Schema Types Count</t>
        </is>
      </c>
      <c r="K212" s="24" t="inlineStr">
        <is>
          <t>Yes</t>
        </is>
      </c>
      <c r="L212" s="24" t="inlineStr">
        <is>
          <t>Copy Writer</t>
        </is>
      </c>
      <c r="M212" s="25" t="inlineStr">
        <is>
          <t>Open</t>
        </is>
      </c>
      <c r="N212" s="24" t="n">
        <v>4</v>
      </c>
      <c r="O212" s="24" t="inlineStr">
        <is>
          <t>https://africanmarketingconfederation.org/amc-relaunch-programme/::aioseo_no_schema_markup_detected</t>
        </is>
      </c>
      <c r="P212" s="24" t="inlineStr">
        <is>
          <t>Schema improves understanding and rich result eligibility.</t>
        </is>
      </c>
      <c r="Q212">
        <f>IFERROR(HYPERLINK("#Main!A"&amp;MATCH(A212,Main!A:A,0),"Open"),HYPERLINK("#Main!A1","Open"))</f>
        <v/>
      </c>
      <c r="R212">
        <f>IFERROR(HYPERLINK("#Technical!A"&amp;MATCH(A212,Technical!A:A,0),"Open"),HYPERLINK("#Technical!A1","Open"))</f>
        <v/>
      </c>
    </row>
    <row r="213" ht="45" customHeight="1">
      <c r="A213" s="33" t="inlineStr">
        <is>
          <t>https://africanmarketingconfederation.org/amc-sign-up-now-form-2025/</t>
        </is>
      </c>
      <c r="B213" s="6" t="inlineStr">
        <is>
          <t>Schema</t>
        </is>
      </c>
      <c r="C213" s="25" t="inlineStr">
        <is>
          <t>Warning</t>
        </is>
      </c>
      <c r="D213" s="6" t="inlineStr">
        <is>
          <t>No schema markup detected</t>
        </is>
      </c>
      <c r="E213" s="6" t="n">
        <v>67</v>
      </c>
      <c r="F213" s="6" t="n">
        <v>0</v>
      </c>
      <c r="G213" s="6" t="inlineStr">
        <is>
          <t>At least one relevant schema type</t>
        </is>
      </c>
      <c r="H213" s="6" t="inlineStr">
        <is>
          <t>In AIOSEO schema settings for the page, add the most relevant type (Article/FAQ/HowTo/Product, etc.).</t>
        </is>
      </c>
      <c r="I213" s="31" t="inlineStr">
        <is>
          <t>StructuredData</t>
        </is>
      </c>
      <c r="J213" s="6" t="inlineStr">
        <is>
          <t>Schema Types Count</t>
        </is>
      </c>
      <c r="K213" s="6" t="inlineStr">
        <is>
          <t>Yes</t>
        </is>
      </c>
      <c r="L213" s="6" t="inlineStr">
        <is>
          <t>Copy Writer</t>
        </is>
      </c>
      <c r="M213" s="25" t="inlineStr">
        <is>
          <t>Open</t>
        </is>
      </c>
      <c r="N213" s="6" t="n">
        <v>4</v>
      </c>
      <c r="O213" s="6" t="inlineStr">
        <is>
          <t>https://africanmarketingconfederation.org/amc-sign-up-now-form-2025/::aioseo_no_schema_markup_detected</t>
        </is>
      </c>
      <c r="P213" s="6" t="inlineStr">
        <is>
          <t>Schema improves understanding and rich result eligibility.</t>
        </is>
      </c>
      <c r="Q213">
        <f>IFERROR(HYPERLINK("#Main!A"&amp;MATCH(A213,Main!A:A,0),"Open"),HYPERLINK("#Main!A1","Open"))</f>
        <v/>
      </c>
      <c r="R213">
        <f>IFERROR(HYPERLINK("#Technical!A"&amp;MATCH(A213,Technical!A:A,0),"Open"),HYPERLINK("#Technical!A1","Open"))</f>
        <v/>
      </c>
    </row>
    <row r="214" ht="45" customHeight="1">
      <c r="A214" s="33" t="inlineStr">
        <is>
          <t>https://africanmarketingconfederation.org/amc-sponsors-2025/</t>
        </is>
      </c>
      <c r="B214" s="24" t="inlineStr">
        <is>
          <t>Schema</t>
        </is>
      </c>
      <c r="C214" s="25" t="inlineStr">
        <is>
          <t>Warning</t>
        </is>
      </c>
      <c r="D214" s="24" t="inlineStr">
        <is>
          <t>No schema markup detected</t>
        </is>
      </c>
      <c r="E214" s="24" t="n">
        <v>67</v>
      </c>
      <c r="F214" s="24" t="n">
        <v>0</v>
      </c>
      <c r="G214" s="24" t="inlineStr">
        <is>
          <t>At least one relevant schema type</t>
        </is>
      </c>
      <c r="H214" s="24" t="inlineStr">
        <is>
          <t>In AIOSEO schema settings for the page, add the most relevant type (Article/FAQ/HowTo/Product, etc.).</t>
        </is>
      </c>
      <c r="I214" s="28" t="inlineStr">
        <is>
          <t>StructuredData</t>
        </is>
      </c>
      <c r="J214" s="24" t="inlineStr">
        <is>
          <t>Schema Types Count</t>
        </is>
      </c>
      <c r="K214" s="24" t="inlineStr">
        <is>
          <t>Yes</t>
        </is>
      </c>
      <c r="L214" s="24" t="inlineStr">
        <is>
          <t>Copy Writer</t>
        </is>
      </c>
      <c r="M214" s="25" t="inlineStr">
        <is>
          <t>Open</t>
        </is>
      </c>
      <c r="N214" s="24" t="n">
        <v>4</v>
      </c>
      <c r="O214" s="24" t="inlineStr">
        <is>
          <t>https://africanmarketingconfederation.org/amc-sponsors-2025/::aioseo_no_schema_markup_detected</t>
        </is>
      </c>
      <c r="P214" s="24" t="inlineStr">
        <is>
          <t>Schema improves understanding and rich result eligibility.</t>
        </is>
      </c>
      <c r="Q214">
        <f>IFERROR(HYPERLINK("#Main!A"&amp;MATCH(A214,Main!A:A,0),"Open"),HYPERLINK("#Main!A1","Open"))</f>
        <v/>
      </c>
      <c r="R214">
        <f>IFERROR(HYPERLINK("#Technical!A"&amp;MATCH(A214,Technical!A:A,0),"Open"),HYPERLINK("#Technical!A1","Open"))</f>
        <v/>
      </c>
    </row>
    <row r="215" ht="45" customHeight="1">
      <c r="A215" s="33" t="inlineStr">
        <is>
          <t>https://africanmarketingconfederation.org/amc-testimony-page-2024/</t>
        </is>
      </c>
      <c r="B215" s="6" t="inlineStr">
        <is>
          <t>Schema</t>
        </is>
      </c>
      <c r="C215" s="25" t="inlineStr">
        <is>
          <t>Warning</t>
        </is>
      </c>
      <c r="D215" s="6" t="inlineStr">
        <is>
          <t>No schema markup detected</t>
        </is>
      </c>
      <c r="E215" s="6" t="n">
        <v>67</v>
      </c>
      <c r="F215" s="6" t="n">
        <v>0</v>
      </c>
      <c r="G215" s="6" t="inlineStr">
        <is>
          <t>At least one relevant schema type</t>
        </is>
      </c>
      <c r="H215" s="6" t="inlineStr">
        <is>
          <t>In AIOSEO schema settings for the page, add the most relevant type (Article/FAQ/HowTo/Product, etc.).</t>
        </is>
      </c>
      <c r="I215" s="31" t="inlineStr">
        <is>
          <t>StructuredData</t>
        </is>
      </c>
      <c r="J215" s="6" t="inlineStr">
        <is>
          <t>Schema Types Count</t>
        </is>
      </c>
      <c r="K215" s="6" t="inlineStr">
        <is>
          <t>Yes</t>
        </is>
      </c>
      <c r="L215" s="6" t="inlineStr">
        <is>
          <t>Copy Writer</t>
        </is>
      </c>
      <c r="M215" s="25" t="inlineStr">
        <is>
          <t>Open</t>
        </is>
      </c>
      <c r="N215" s="6" t="n">
        <v>4</v>
      </c>
      <c r="O215" s="6" t="inlineStr">
        <is>
          <t>https://africanmarketingconfederation.org/amc-testimony-page-2024/::aioseo_no_schema_markup_detected</t>
        </is>
      </c>
      <c r="P215" s="6" t="inlineStr">
        <is>
          <t>Schema improves understanding and rich result eligibility.</t>
        </is>
      </c>
      <c r="Q215">
        <f>IFERROR(HYPERLINK("#Main!A"&amp;MATCH(A215,Main!A:A,0),"Open"),HYPERLINK("#Main!A1","Open"))</f>
        <v/>
      </c>
      <c r="R215">
        <f>IFERROR(HYPERLINK("#Technical!A"&amp;MATCH(A215,Technical!A:A,0),"Open"),HYPERLINK("#Technical!A1","Open"))</f>
        <v/>
      </c>
    </row>
    <row r="216" ht="45" customHeight="1">
      <c r="A216" s="33" t="inlineStr">
        <is>
          <t>https://africanmarketingconfederation.org/awards-2026-1/</t>
        </is>
      </c>
      <c r="B216" s="24" t="inlineStr">
        <is>
          <t>Schema</t>
        </is>
      </c>
      <c r="C216" s="25" t="inlineStr">
        <is>
          <t>Warning</t>
        </is>
      </c>
      <c r="D216" s="24" t="inlineStr">
        <is>
          <t>No schema markup detected</t>
        </is>
      </c>
      <c r="E216" s="24" t="n">
        <v>67</v>
      </c>
      <c r="F216" s="24" t="n">
        <v>0</v>
      </c>
      <c r="G216" s="24" t="inlineStr">
        <is>
          <t>At least one relevant schema type</t>
        </is>
      </c>
      <c r="H216" s="24" t="inlineStr">
        <is>
          <t>In AIOSEO schema settings for the page, add the most relevant type (Article/FAQ/HowTo/Product, etc.).</t>
        </is>
      </c>
      <c r="I216" s="28" t="inlineStr">
        <is>
          <t>StructuredData</t>
        </is>
      </c>
      <c r="J216" s="24" t="inlineStr">
        <is>
          <t>Schema Types Count</t>
        </is>
      </c>
      <c r="K216" s="24" t="inlineStr">
        <is>
          <t>Yes</t>
        </is>
      </c>
      <c r="L216" s="24" t="inlineStr">
        <is>
          <t>Copy Writer</t>
        </is>
      </c>
      <c r="M216" s="25" t="inlineStr">
        <is>
          <t>Open</t>
        </is>
      </c>
      <c r="N216" s="24" t="n">
        <v>4</v>
      </c>
      <c r="O216" s="24" t="inlineStr">
        <is>
          <t>https://africanmarketingconfederation.org/awards-2026-1/::aioseo_no_schema_markup_detected</t>
        </is>
      </c>
      <c r="P216" s="24" t="inlineStr">
        <is>
          <t>Schema improves understanding and rich result eligibility.</t>
        </is>
      </c>
      <c r="Q216">
        <f>IFERROR(HYPERLINK("#Main!A"&amp;MATCH(A216,Main!A:A,0),"Open"),HYPERLINK("#Main!A1","Open"))</f>
        <v/>
      </c>
      <c r="R216">
        <f>IFERROR(HYPERLINK("#Technical!A"&amp;MATCH(A216,Technical!A:A,0),"Open"),HYPERLINK("#Technical!A1","Open"))</f>
        <v/>
      </c>
    </row>
    <row r="217" ht="45" customHeight="1">
      <c r="A217" s="33" t="inlineStr">
        <is>
          <t>https://africanmarketingconfederation.org/awards-2026-test/</t>
        </is>
      </c>
      <c r="B217" s="6" t="inlineStr">
        <is>
          <t>Schema</t>
        </is>
      </c>
      <c r="C217" s="25" t="inlineStr">
        <is>
          <t>Warning</t>
        </is>
      </c>
      <c r="D217" s="6" t="inlineStr">
        <is>
          <t>No schema markup detected</t>
        </is>
      </c>
      <c r="E217" s="6" t="n">
        <v>67</v>
      </c>
      <c r="F217" s="6" t="n">
        <v>0</v>
      </c>
      <c r="G217" s="6" t="inlineStr">
        <is>
          <t>At least one relevant schema type</t>
        </is>
      </c>
      <c r="H217" s="6" t="inlineStr">
        <is>
          <t>In AIOSEO schema settings for the page, add the most relevant type (Article/FAQ/HowTo/Product, etc.).</t>
        </is>
      </c>
      <c r="I217" s="31" t="inlineStr">
        <is>
          <t>StructuredData</t>
        </is>
      </c>
      <c r="J217" s="6" t="inlineStr">
        <is>
          <t>Schema Types Count</t>
        </is>
      </c>
      <c r="K217" s="6" t="inlineStr">
        <is>
          <t>Yes</t>
        </is>
      </c>
      <c r="L217" s="6" t="inlineStr">
        <is>
          <t>Copy Writer</t>
        </is>
      </c>
      <c r="M217" s="25" t="inlineStr">
        <is>
          <t>Open</t>
        </is>
      </c>
      <c r="N217" s="6" t="n">
        <v>4</v>
      </c>
      <c r="O217" s="6" t="inlineStr">
        <is>
          <t>https://africanmarketingconfederation.org/awards-2026-test/::aioseo_no_schema_markup_detected</t>
        </is>
      </c>
      <c r="P217" s="6" t="inlineStr">
        <is>
          <t>Schema improves understanding and rich result eligibility.</t>
        </is>
      </c>
      <c r="Q217">
        <f>IFERROR(HYPERLINK("#Main!A"&amp;MATCH(A217,Main!A:A,0),"Open"),HYPERLINK("#Main!A1","Open"))</f>
        <v/>
      </c>
      <c r="R217">
        <f>IFERROR(HYPERLINK("#Technical!A"&amp;MATCH(A217,Technical!A:A,0),"Open"),HYPERLINK("#Technical!A1","Open"))</f>
        <v/>
      </c>
    </row>
    <row r="218" ht="45" customHeight="1">
      <c r="A218" s="33" t="inlineStr">
        <is>
          <t>https://africanmarketingconfederation.org/awards-2026/</t>
        </is>
      </c>
      <c r="B218" s="24" t="inlineStr">
        <is>
          <t>Schema</t>
        </is>
      </c>
      <c r="C218" s="25" t="inlineStr">
        <is>
          <t>Warning</t>
        </is>
      </c>
      <c r="D218" s="24" t="inlineStr">
        <is>
          <t>No schema markup detected</t>
        </is>
      </c>
      <c r="E218" s="24" t="n">
        <v>67</v>
      </c>
      <c r="F218" s="24" t="n">
        <v>0</v>
      </c>
      <c r="G218" s="24" t="inlineStr">
        <is>
          <t>At least one relevant schema type</t>
        </is>
      </c>
      <c r="H218" s="24" t="inlineStr">
        <is>
          <t>In AIOSEO schema settings for the page, add the most relevant type (Article/FAQ/HowTo/Product, etc.).</t>
        </is>
      </c>
      <c r="I218" s="28" t="inlineStr">
        <is>
          <t>StructuredData</t>
        </is>
      </c>
      <c r="J218" s="24" t="inlineStr">
        <is>
          <t>Schema Types Count</t>
        </is>
      </c>
      <c r="K218" s="24" t="inlineStr">
        <is>
          <t>Yes</t>
        </is>
      </c>
      <c r="L218" s="24" t="inlineStr">
        <is>
          <t>Copy Writer</t>
        </is>
      </c>
      <c r="M218" s="25" t="inlineStr">
        <is>
          <t>Open</t>
        </is>
      </c>
      <c r="N218" s="24" t="n">
        <v>4</v>
      </c>
      <c r="O218" s="24" t="inlineStr">
        <is>
          <t>https://africanmarketingconfederation.org/awards-2026/::aioseo_no_schema_markup_detected</t>
        </is>
      </c>
      <c r="P218" s="24" t="inlineStr">
        <is>
          <t>Schema improves understanding and rich result eligibility.</t>
        </is>
      </c>
      <c r="Q218">
        <f>IFERROR(HYPERLINK("#Main!A"&amp;MATCH(A218,Main!A:A,0),"Open"),HYPERLINK("#Main!A1","Open"))</f>
        <v/>
      </c>
      <c r="R218">
        <f>IFERROR(HYPERLINK("#Technical!A"&amp;MATCH(A218,Technical!A:A,0),"Open"),HYPERLINK("#Technical!A1","Open"))</f>
        <v/>
      </c>
    </row>
    <row r="219" ht="45" customHeight="1">
      <c r="A219" s="33" t="inlineStr">
        <is>
          <t>https://africanmarketingconfederation.org/certified-professional-marketer-africa/</t>
        </is>
      </c>
      <c r="B219" s="6" t="inlineStr">
        <is>
          <t>Schema</t>
        </is>
      </c>
      <c r="C219" s="25" t="inlineStr">
        <is>
          <t>Warning</t>
        </is>
      </c>
      <c r="D219" s="6" t="inlineStr">
        <is>
          <t>No schema markup detected</t>
        </is>
      </c>
      <c r="E219" s="6" t="n">
        <v>67</v>
      </c>
      <c r="F219" s="6" t="n">
        <v>0</v>
      </c>
      <c r="G219" s="6" t="inlineStr">
        <is>
          <t>At least one relevant schema type</t>
        </is>
      </c>
      <c r="H219" s="6" t="inlineStr">
        <is>
          <t>In AIOSEO schema settings for the page, add the most relevant type (Article/FAQ/HowTo/Product, etc.).</t>
        </is>
      </c>
      <c r="I219" s="31" t="inlineStr">
        <is>
          <t>StructuredData</t>
        </is>
      </c>
      <c r="J219" s="6" t="inlineStr">
        <is>
          <t>Schema Types Count</t>
        </is>
      </c>
      <c r="K219" s="6" t="inlineStr">
        <is>
          <t>Yes</t>
        </is>
      </c>
      <c r="L219" s="6" t="inlineStr">
        <is>
          <t>Copy Writer</t>
        </is>
      </c>
      <c r="M219" s="25" t="inlineStr">
        <is>
          <t>Open</t>
        </is>
      </c>
      <c r="N219" s="6" t="n">
        <v>4</v>
      </c>
      <c r="O219" s="6" t="inlineStr">
        <is>
          <t>https://africanmarketingconfederation.org/certified-professional-marketer-africa/::aioseo_no_schema_markup_detected</t>
        </is>
      </c>
      <c r="P219" s="6" t="inlineStr">
        <is>
          <t>Schema improves understanding and rich result eligibility.</t>
        </is>
      </c>
      <c r="Q219">
        <f>IFERROR(HYPERLINK("#Main!A"&amp;MATCH(A219,Main!A:A,0),"Open"),HYPERLINK("#Main!A1","Open"))</f>
        <v/>
      </c>
      <c r="R219">
        <f>IFERROR(HYPERLINK("#Technical!A"&amp;MATCH(A219,Technical!A:A,0),"Open"),HYPERLINK("#Technical!A1","Open"))</f>
        <v/>
      </c>
    </row>
    <row r="220" ht="45" customHeight="1">
      <c r="A220" s="33" t="inlineStr">
        <is>
          <t>https://africanmarketingconfederation.org/chartered-marketer-africa-final-submission-fee/</t>
        </is>
      </c>
      <c r="B220" s="24" t="inlineStr">
        <is>
          <t>Schema</t>
        </is>
      </c>
      <c r="C220" s="25" t="inlineStr">
        <is>
          <t>Warning</t>
        </is>
      </c>
      <c r="D220" s="24" t="inlineStr">
        <is>
          <t>No schema markup detected</t>
        </is>
      </c>
      <c r="E220" s="24" t="n">
        <v>67</v>
      </c>
      <c r="F220" s="24" t="n">
        <v>0</v>
      </c>
      <c r="G220" s="24" t="inlineStr">
        <is>
          <t>At least one relevant schema type</t>
        </is>
      </c>
      <c r="H220" s="24" t="inlineStr">
        <is>
          <t>In AIOSEO schema settings for the page, add the most relevant type (Article/FAQ/HowTo/Product, etc.).</t>
        </is>
      </c>
      <c r="I220" s="28" t="inlineStr">
        <is>
          <t>StructuredData</t>
        </is>
      </c>
      <c r="J220" s="24" t="inlineStr">
        <is>
          <t>Schema Types Count</t>
        </is>
      </c>
      <c r="K220" s="24" t="inlineStr">
        <is>
          <t>Yes</t>
        </is>
      </c>
      <c r="L220" s="24" t="inlineStr">
        <is>
          <t>Copy Writer</t>
        </is>
      </c>
      <c r="M220" s="25" t="inlineStr">
        <is>
          <t>Open</t>
        </is>
      </c>
      <c r="N220" s="24" t="n">
        <v>4</v>
      </c>
      <c r="O220" s="24" t="inlineStr">
        <is>
          <t>https://africanmarketingconfederation.org/chartered-marketer-africa-final-submission-fee/::aioseo_no_schema_markup_detected</t>
        </is>
      </c>
      <c r="P220" s="24" t="inlineStr">
        <is>
          <t>Schema improves understanding and rich result eligibility.</t>
        </is>
      </c>
      <c r="Q220">
        <f>IFERROR(HYPERLINK("#Main!A"&amp;MATCH(A220,Main!A:A,0),"Open"),HYPERLINK("#Main!A1","Open"))</f>
        <v/>
      </c>
      <c r="R220">
        <f>IFERROR(HYPERLINK("#Technical!A"&amp;MATCH(A220,Technical!A:A,0),"Open"),HYPERLINK("#Technical!A1","Open"))</f>
        <v/>
      </c>
    </row>
    <row r="221" ht="45" customHeight="1">
      <c r="A221" s="33" t="inlineStr">
        <is>
          <t>https://africanmarketingconfederation.org/chartered-marketer-africa-programme-fee/</t>
        </is>
      </c>
      <c r="B221" s="6" t="inlineStr">
        <is>
          <t>Schema</t>
        </is>
      </c>
      <c r="C221" s="25" t="inlineStr">
        <is>
          <t>Warning</t>
        </is>
      </c>
      <c r="D221" s="6" t="inlineStr">
        <is>
          <t>No schema markup detected</t>
        </is>
      </c>
      <c r="E221" s="6" t="n">
        <v>67</v>
      </c>
      <c r="F221" s="6" t="n">
        <v>0</v>
      </c>
      <c r="G221" s="6" t="inlineStr">
        <is>
          <t>At least one relevant schema type</t>
        </is>
      </c>
      <c r="H221" s="6" t="inlineStr">
        <is>
          <t>In AIOSEO schema settings for the page, add the most relevant type (Article/FAQ/HowTo/Product, etc.).</t>
        </is>
      </c>
      <c r="I221" s="31" t="inlineStr">
        <is>
          <t>StructuredData</t>
        </is>
      </c>
      <c r="J221" s="6" t="inlineStr">
        <is>
          <t>Schema Types Count</t>
        </is>
      </c>
      <c r="K221" s="6" t="inlineStr">
        <is>
          <t>Yes</t>
        </is>
      </c>
      <c r="L221" s="6" t="inlineStr">
        <is>
          <t>Copy Writer</t>
        </is>
      </c>
      <c r="M221" s="25" t="inlineStr">
        <is>
          <t>Open</t>
        </is>
      </c>
      <c r="N221" s="6" t="n">
        <v>4</v>
      </c>
      <c r="O221" s="6" t="inlineStr">
        <is>
          <t>https://africanmarketingconfederation.org/chartered-marketer-africa-programme-fee/::aioseo_no_schema_markup_detected</t>
        </is>
      </c>
      <c r="P221" s="6" t="inlineStr">
        <is>
          <t>Schema improves understanding and rich result eligibility.</t>
        </is>
      </c>
      <c r="Q221">
        <f>IFERROR(HYPERLINK("#Main!A"&amp;MATCH(A221,Main!A:A,0),"Open"),HYPERLINK("#Main!A1","Open"))</f>
        <v/>
      </c>
      <c r="R221">
        <f>IFERROR(HYPERLINK("#Technical!A"&amp;MATCH(A221,Technical!A:A,0),"Open"),HYPERLINK("#Technical!A1","Open"))</f>
        <v/>
      </c>
    </row>
    <row r="222" ht="45" customHeight="1">
      <c r="A222" s="33" t="inlineStr">
        <is>
          <t>https://africanmarketingconfederation.org/chartered-marketer-africa-thank-you/</t>
        </is>
      </c>
      <c r="B222" s="24" t="inlineStr">
        <is>
          <t>Schema</t>
        </is>
      </c>
      <c r="C222" s="25" t="inlineStr">
        <is>
          <t>Warning</t>
        </is>
      </c>
      <c r="D222" s="24" t="inlineStr">
        <is>
          <t>No schema markup detected</t>
        </is>
      </c>
      <c r="E222" s="24" t="n">
        <v>67</v>
      </c>
      <c r="F222" s="24" t="n">
        <v>0</v>
      </c>
      <c r="G222" s="24" t="inlineStr">
        <is>
          <t>At least one relevant schema type</t>
        </is>
      </c>
      <c r="H222" s="24" t="inlineStr">
        <is>
          <t>In AIOSEO schema settings for the page, add the most relevant type (Article/FAQ/HowTo/Product, etc.).</t>
        </is>
      </c>
      <c r="I222" s="28" t="inlineStr">
        <is>
          <t>StructuredData</t>
        </is>
      </c>
      <c r="J222" s="24" t="inlineStr">
        <is>
          <t>Schema Types Count</t>
        </is>
      </c>
      <c r="K222" s="24" t="inlineStr">
        <is>
          <t>Yes</t>
        </is>
      </c>
      <c r="L222" s="24" t="inlineStr">
        <is>
          <t>Copy Writer</t>
        </is>
      </c>
      <c r="M222" s="25" t="inlineStr">
        <is>
          <t>Open</t>
        </is>
      </c>
      <c r="N222" s="24" t="n">
        <v>4</v>
      </c>
      <c r="O222" s="24" t="inlineStr">
        <is>
          <t>https://africanmarketingconfederation.org/chartered-marketer-africa-thank-you/::aioseo_no_schema_markup_detected</t>
        </is>
      </c>
      <c r="P222" s="24" t="inlineStr">
        <is>
          <t>Schema improves understanding and rich result eligibility.</t>
        </is>
      </c>
      <c r="Q222">
        <f>IFERROR(HYPERLINK("#Main!A"&amp;MATCH(A222,Main!A:A,0),"Open"),HYPERLINK("#Main!A1","Open"))</f>
        <v/>
      </c>
      <c r="R222">
        <f>IFERROR(HYPERLINK("#Technical!A"&amp;MATCH(A222,Technical!A:A,0),"Open"),HYPERLINK("#Technical!A1","Open"))</f>
        <v/>
      </c>
    </row>
    <row r="223" ht="45" customHeight="1">
      <c r="A223" s="33" t="inlineStr">
        <is>
          <t>https://africanmarketingconfederation.org/chartered-marketer-africa/</t>
        </is>
      </c>
      <c r="B223" s="6" t="inlineStr">
        <is>
          <t>Schema</t>
        </is>
      </c>
      <c r="C223" s="25" t="inlineStr">
        <is>
          <t>Warning</t>
        </is>
      </c>
      <c r="D223" s="6" t="inlineStr">
        <is>
          <t>No schema markup detected</t>
        </is>
      </c>
      <c r="E223" s="6" t="n">
        <v>67</v>
      </c>
      <c r="F223" s="6" t="n">
        <v>0</v>
      </c>
      <c r="G223" s="6" t="inlineStr">
        <is>
          <t>At least one relevant schema type</t>
        </is>
      </c>
      <c r="H223" s="6" t="inlineStr">
        <is>
          <t>In AIOSEO schema settings for the page, add the most relevant type (Article/FAQ/HowTo/Product, etc.).</t>
        </is>
      </c>
      <c r="I223" s="31" t="inlineStr">
        <is>
          <t>StructuredData</t>
        </is>
      </c>
      <c r="J223" s="6" t="inlineStr">
        <is>
          <t>Schema Types Count</t>
        </is>
      </c>
      <c r="K223" s="6" t="inlineStr">
        <is>
          <t>Yes</t>
        </is>
      </c>
      <c r="L223" s="6" t="inlineStr">
        <is>
          <t>Copy Writer</t>
        </is>
      </c>
      <c r="M223" s="25" t="inlineStr">
        <is>
          <t>Open</t>
        </is>
      </c>
      <c r="N223" s="6" t="n">
        <v>4</v>
      </c>
      <c r="O223" s="6" t="inlineStr">
        <is>
          <t>https://africanmarketingconfederation.org/chartered-marketer-africa/::aioseo_no_schema_markup_detected</t>
        </is>
      </c>
      <c r="P223" s="6" t="inlineStr">
        <is>
          <t>Schema improves understanding and rich result eligibility.</t>
        </is>
      </c>
      <c r="Q223">
        <f>IFERROR(HYPERLINK("#Main!A"&amp;MATCH(A223,Main!A:A,0),"Open"),HYPERLINK("#Main!A1","Open"))</f>
        <v/>
      </c>
      <c r="R223">
        <f>IFERROR(HYPERLINK("#Technical!A"&amp;MATCH(A223,Technical!A:A,0),"Open"),HYPERLINK("#Technical!A1","Open"))</f>
        <v/>
      </c>
    </row>
    <row r="224" ht="45" customHeight="1">
      <c r="A224" s="33" t="inlineStr">
        <is>
          <t>https://africanmarketingconfederation.org/checkout/</t>
        </is>
      </c>
      <c r="B224" s="24" t="inlineStr">
        <is>
          <t>Schema</t>
        </is>
      </c>
      <c r="C224" s="25" t="inlineStr">
        <is>
          <t>Warning</t>
        </is>
      </c>
      <c r="D224" s="24" t="inlineStr">
        <is>
          <t>No schema markup detected</t>
        </is>
      </c>
      <c r="E224" s="24" t="n">
        <v>67</v>
      </c>
      <c r="F224" s="24" t="n">
        <v>0</v>
      </c>
      <c r="G224" s="24" t="inlineStr">
        <is>
          <t>At least one relevant schema type</t>
        </is>
      </c>
      <c r="H224" s="24" t="inlineStr">
        <is>
          <t>In AIOSEO schema settings for the page, add the most relevant type (Article/FAQ/HowTo/Product, etc.).</t>
        </is>
      </c>
      <c r="I224" s="28" t="inlineStr">
        <is>
          <t>StructuredData</t>
        </is>
      </c>
      <c r="J224" s="24" t="inlineStr">
        <is>
          <t>Schema Types Count</t>
        </is>
      </c>
      <c r="K224" s="24" t="inlineStr">
        <is>
          <t>Yes</t>
        </is>
      </c>
      <c r="L224" s="24" t="inlineStr">
        <is>
          <t>Copy Writer</t>
        </is>
      </c>
      <c r="M224" s="25" t="inlineStr">
        <is>
          <t>Open</t>
        </is>
      </c>
      <c r="N224" s="24" t="n">
        <v>4</v>
      </c>
      <c r="O224" s="24" t="inlineStr">
        <is>
          <t>https://africanmarketingconfederation.org/checkout/::aioseo_no_schema_markup_detected</t>
        </is>
      </c>
      <c r="P224" s="24" t="inlineStr">
        <is>
          <t>Schema improves understanding and rich result eligibility.</t>
        </is>
      </c>
      <c r="Q224">
        <f>IFERROR(HYPERLINK("#Main!A"&amp;MATCH(A224,Main!A:A,0),"Open"),HYPERLINK("#Main!A1","Open"))</f>
        <v/>
      </c>
      <c r="R224">
        <f>IFERROR(HYPERLINK("#Technical!A"&amp;MATCH(A224,Technical!A:A,0),"Open"),HYPERLINK("#Technical!A1","Open"))</f>
        <v/>
      </c>
    </row>
    <row r="225" ht="45" customHeight="1">
      <c r="A225" s="33" t="inlineStr">
        <is>
          <t>https://africanmarketingconfederation.org/conference-faq-2025/</t>
        </is>
      </c>
      <c r="B225" s="6" t="inlineStr">
        <is>
          <t>Schema</t>
        </is>
      </c>
      <c r="C225" s="25" t="inlineStr">
        <is>
          <t>Warning</t>
        </is>
      </c>
      <c r="D225" s="6" t="inlineStr">
        <is>
          <t>No schema markup detected</t>
        </is>
      </c>
      <c r="E225" s="6" t="n">
        <v>67</v>
      </c>
      <c r="F225" s="6" t="n">
        <v>0</v>
      </c>
      <c r="G225" s="6" t="inlineStr">
        <is>
          <t>At least one relevant schema type</t>
        </is>
      </c>
      <c r="H225" s="6" t="inlineStr">
        <is>
          <t>In AIOSEO schema settings for the page, add the most relevant type (Article/FAQ/HowTo/Product, etc.).</t>
        </is>
      </c>
      <c r="I225" s="31" t="inlineStr">
        <is>
          <t>StructuredData</t>
        </is>
      </c>
      <c r="J225" s="6" t="inlineStr">
        <is>
          <t>Schema Types Count</t>
        </is>
      </c>
      <c r="K225" s="6" t="inlineStr">
        <is>
          <t>Yes</t>
        </is>
      </c>
      <c r="L225" s="6" t="inlineStr">
        <is>
          <t>Copy Writer</t>
        </is>
      </c>
      <c r="M225" s="25" t="inlineStr">
        <is>
          <t>Open</t>
        </is>
      </c>
      <c r="N225" s="6" t="n">
        <v>4</v>
      </c>
      <c r="O225" s="6" t="inlineStr">
        <is>
          <t>https://africanmarketingconfederation.org/conference-faq-2025/::aioseo_no_schema_markup_detected</t>
        </is>
      </c>
      <c r="P225" s="6" t="inlineStr">
        <is>
          <t>Schema improves understanding and rich result eligibility.</t>
        </is>
      </c>
      <c r="Q225">
        <f>IFERROR(HYPERLINK("#Main!A"&amp;MATCH(A225,Main!A:A,0),"Open"),HYPERLINK("#Main!A1","Open"))</f>
        <v/>
      </c>
      <c r="R225">
        <f>IFERROR(HYPERLINK("#Technical!A"&amp;MATCH(A225,Technical!A:A,0),"Open"),HYPERLINK("#Technical!A1","Open"))</f>
        <v/>
      </c>
    </row>
    <row r="226" ht="45" customHeight="1">
      <c r="A226" s="33" t="inlineStr">
        <is>
          <t>https://africanmarketingconfederation.org/conference-registrations-2024/</t>
        </is>
      </c>
      <c r="B226" s="24" t="inlineStr">
        <is>
          <t>Schema</t>
        </is>
      </c>
      <c r="C226" s="25" t="inlineStr">
        <is>
          <t>Warning</t>
        </is>
      </c>
      <c r="D226" s="24" t="inlineStr">
        <is>
          <t>No schema markup detected</t>
        </is>
      </c>
      <c r="E226" s="24" t="n">
        <v>67</v>
      </c>
      <c r="F226" s="24" t="n">
        <v>0</v>
      </c>
      <c r="G226" s="24" t="inlineStr">
        <is>
          <t>At least one relevant schema type</t>
        </is>
      </c>
      <c r="H226" s="24" t="inlineStr">
        <is>
          <t>In AIOSEO schema settings for the page, add the most relevant type (Article/FAQ/HowTo/Product, etc.).</t>
        </is>
      </c>
      <c r="I226" s="28" t="inlineStr">
        <is>
          <t>StructuredData</t>
        </is>
      </c>
      <c r="J226" s="24" t="inlineStr">
        <is>
          <t>Schema Types Count</t>
        </is>
      </c>
      <c r="K226" s="24" t="inlineStr">
        <is>
          <t>Yes</t>
        </is>
      </c>
      <c r="L226" s="24" t="inlineStr">
        <is>
          <t>Copy Writer</t>
        </is>
      </c>
      <c r="M226" s="25" t="inlineStr">
        <is>
          <t>Open</t>
        </is>
      </c>
      <c r="N226" s="24" t="n">
        <v>4</v>
      </c>
      <c r="O226" s="24" t="inlineStr">
        <is>
          <t>https://africanmarketingconfederation.org/conference-registrations-2024/::aioseo_no_schema_markup_detected</t>
        </is>
      </c>
      <c r="P226" s="24" t="inlineStr">
        <is>
          <t>Schema improves understanding and rich result eligibility.</t>
        </is>
      </c>
      <c r="Q226">
        <f>IFERROR(HYPERLINK("#Main!A"&amp;MATCH(A226,Main!A:A,0),"Open"),HYPERLINK("#Main!A1","Open"))</f>
        <v/>
      </c>
      <c r="R226">
        <f>IFERROR(HYPERLINK("#Technical!A"&amp;MATCH(A226,Technical!A:A,0),"Open"),HYPERLINK("#Technical!A1","Open"))</f>
        <v/>
      </c>
    </row>
    <row r="227" ht="45" customHeight="1">
      <c r="A227" s="33" t="inlineStr">
        <is>
          <t>https://africanmarketingconfederation.org/contact-us/</t>
        </is>
      </c>
      <c r="B227" s="6" t="inlineStr">
        <is>
          <t>Schema</t>
        </is>
      </c>
      <c r="C227" s="25" t="inlineStr">
        <is>
          <t>Warning</t>
        </is>
      </c>
      <c r="D227" s="6" t="inlineStr">
        <is>
          <t>No schema markup detected</t>
        </is>
      </c>
      <c r="E227" s="6" t="n">
        <v>67</v>
      </c>
      <c r="F227" s="6" t="n">
        <v>0</v>
      </c>
      <c r="G227" s="6" t="inlineStr">
        <is>
          <t>At least one relevant schema type</t>
        </is>
      </c>
      <c r="H227" s="6" t="inlineStr">
        <is>
          <t>In AIOSEO schema settings for the page, add the most relevant type (Article/FAQ/HowTo/Product, etc.).</t>
        </is>
      </c>
      <c r="I227" s="31" t="inlineStr">
        <is>
          <t>StructuredData</t>
        </is>
      </c>
      <c r="J227" s="6" t="inlineStr">
        <is>
          <t>Schema Types Count</t>
        </is>
      </c>
      <c r="K227" s="6" t="inlineStr">
        <is>
          <t>Yes</t>
        </is>
      </c>
      <c r="L227" s="6" t="inlineStr">
        <is>
          <t>Copy Writer</t>
        </is>
      </c>
      <c r="M227" s="25" t="inlineStr">
        <is>
          <t>Open</t>
        </is>
      </c>
      <c r="N227" s="6" t="n">
        <v>4</v>
      </c>
      <c r="O227" s="6" t="inlineStr">
        <is>
          <t>https://africanmarketingconfederation.org/contact-us/::aioseo_no_schema_markup_detected</t>
        </is>
      </c>
      <c r="P227" s="6" t="inlineStr">
        <is>
          <t>Schema improves understanding and rich result eligibility.</t>
        </is>
      </c>
      <c r="Q227">
        <f>IFERROR(HYPERLINK("#Main!A"&amp;MATCH(A227,Main!A:A,0),"Open"),HYPERLINK("#Main!A1","Open"))</f>
        <v/>
      </c>
      <c r="R227">
        <f>IFERROR(HYPERLINK("#Technical!A"&amp;MATCH(A227,Technical!A:A,0),"Open"),HYPERLINK("#Technical!A1","Open"))</f>
        <v/>
      </c>
    </row>
    <row r="228" ht="45" customHeight="1">
      <c r="A228" s="33" t="inlineStr">
        <is>
          <t>https://africanmarketingconfederation.org/download-brochure/</t>
        </is>
      </c>
      <c r="B228" s="24" t="inlineStr">
        <is>
          <t>Schema</t>
        </is>
      </c>
      <c r="C228" s="25" t="inlineStr">
        <is>
          <t>Warning</t>
        </is>
      </c>
      <c r="D228" s="24" t="inlineStr">
        <is>
          <t>No schema markup detected</t>
        </is>
      </c>
      <c r="E228" s="24" t="n">
        <v>67</v>
      </c>
      <c r="F228" s="24" t="n">
        <v>0</v>
      </c>
      <c r="G228" s="24" t="inlineStr">
        <is>
          <t>At least one relevant schema type</t>
        </is>
      </c>
      <c r="H228" s="24" t="inlineStr">
        <is>
          <t>In AIOSEO schema settings for the page, add the most relevant type (Article/FAQ/HowTo/Product, etc.).</t>
        </is>
      </c>
      <c r="I228" s="28" t="inlineStr">
        <is>
          <t>StructuredData</t>
        </is>
      </c>
      <c r="J228" s="24" t="inlineStr">
        <is>
          <t>Schema Types Count</t>
        </is>
      </c>
      <c r="K228" s="24" t="inlineStr">
        <is>
          <t>Yes</t>
        </is>
      </c>
      <c r="L228" s="24" t="inlineStr">
        <is>
          <t>Copy Writer</t>
        </is>
      </c>
      <c r="M228" s="25" t="inlineStr">
        <is>
          <t>Open</t>
        </is>
      </c>
      <c r="N228" s="24" t="n">
        <v>4</v>
      </c>
      <c r="O228" s="24" t="inlineStr">
        <is>
          <t>https://africanmarketingconfederation.org/download-brochure/::aioseo_no_schema_markup_detected</t>
        </is>
      </c>
      <c r="P228" s="24" t="inlineStr">
        <is>
          <t>Schema improves understanding and rich result eligibility.</t>
        </is>
      </c>
      <c r="Q228">
        <f>IFERROR(HYPERLINK("#Main!A"&amp;MATCH(A228,Main!A:A,0),"Open"),HYPERLINK("#Main!A1","Open"))</f>
        <v/>
      </c>
      <c r="R228">
        <f>IFERROR(HYPERLINK("#Technical!A"&amp;MATCH(A228,Technical!A:A,0),"Open"),HYPERLINK("#Technical!A1","Open"))</f>
        <v/>
      </c>
    </row>
    <row r="229" ht="45" customHeight="1">
      <c r="A229" s="33" t="inlineStr">
        <is>
          <t>https://africanmarketingconfederation.org/download-prospectus-2024/</t>
        </is>
      </c>
      <c r="B229" s="6" t="inlineStr">
        <is>
          <t>Schema</t>
        </is>
      </c>
      <c r="C229" s="25" t="inlineStr">
        <is>
          <t>Warning</t>
        </is>
      </c>
      <c r="D229" s="6" t="inlineStr">
        <is>
          <t>No schema markup detected</t>
        </is>
      </c>
      <c r="E229" s="6" t="n">
        <v>67</v>
      </c>
      <c r="F229" s="6" t="n">
        <v>0</v>
      </c>
      <c r="G229" s="6" t="inlineStr">
        <is>
          <t>At least one relevant schema type</t>
        </is>
      </c>
      <c r="H229" s="6" t="inlineStr">
        <is>
          <t>In AIOSEO schema settings for the page, add the most relevant type (Article/FAQ/HowTo/Product, etc.).</t>
        </is>
      </c>
      <c r="I229" s="31" t="inlineStr">
        <is>
          <t>StructuredData</t>
        </is>
      </c>
      <c r="J229" s="6" t="inlineStr">
        <is>
          <t>Schema Types Count</t>
        </is>
      </c>
      <c r="K229" s="6" t="inlineStr">
        <is>
          <t>Yes</t>
        </is>
      </c>
      <c r="L229" s="6" t="inlineStr">
        <is>
          <t>Copy Writer</t>
        </is>
      </c>
      <c r="M229" s="25" t="inlineStr">
        <is>
          <t>Open</t>
        </is>
      </c>
      <c r="N229" s="6" t="n">
        <v>4</v>
      </c>
      <c r="O229" s="6" t="inlineStr">
        <is>
          <t>https://africanmarketingconfederation.org/download-prospectus-2024/::aioseo_no_schema_markup_detected</t>
        </is>
      </c>
      <c r="P229" s="6" t="inlineStr">
        <is>
          <t>Schema improves understanding and rich result eligibility.</t>
        </is>
      </c>
      <c r="Q229">
        <f>IFERROR(HYPERLINK("#Main!A"&amp;MATCH(A229,Main!A:A,0),"Open"),HYPERLINK("#Main!A1","Open"))</f>
        <v/>
      </c>
      <c r="R229">
        <f>IFERROR(HYPERLINK("#Technical!A"&amp;MATCH(A229,Technical!A:A,0),"Open"),HYPERLINK("#Technical!A1","Open"))</f>
        <v/>
      </c>
    </row>
    <row r="230" ht="45" customHeight="1">
      <c r="A230" s="33" t="inlineStr">
        <is>
          <t>https://africanmarketingconfederation.org/education/</t>
        </is>
      </c>
      <c r="B230" s="24" t="inlineStr">
        <is>
          <t>Schema</t>
        </is>
      </c>
      <c r="C230" s="25" t="inlineStr">
        <is>
          <t>Warning</t>
        </is>
      </c>
      <c r="D230" s="24" t="inlineStr">
        <is>
          <t>No schema markup detected</t>
        </is>
      </c>
      <c r="E230" s="24" t="n">
        <v>67</v>
      </c>
      <c r="F230" s="24" t="n">
        <v>0</v>
      </c>
      <c r="G230" s="24" t="inlineStr">
        <is>
          <t>At least one relevant schema type</t>
        </is>
      </c>
      <c r="H230" s="24" t="inlineStr">
        <is>
          <t>In AIOSEO schema settings for the page, add the most relevant type (Article/FAQ/HowTo/Product, etc.).</t>
        </is>
      </c>
      <c r="I230" s="28" t="inlineStr">
        <is>
          <t>StructuredData</t>
        </is>
      </c>
      <c r="J230" s="24" t="inlineStr">
        <is>
          <t>Schema Types Count</t>
        </is>
      </c>
      <c r="K230" s="24" t="inlineStr">
        <is>
          <t>Yes</t>
        </is>
      </c>
      <c r="L230" s="24" t="inlineStr">
        <is>
          <t>Copy Writer</t>
        </is>
      </c>
      <c r="M230" s="25" t="inlineStr">
        <is>
          <t>Open</t>
        </is>
      </c>
      <c r="N230" s="24" t="n">
        <v>4</v>
      </c>
      <c r="O230" s="24" t="inlineStr">
        <is>
          <t>https://africanmarketingconfederation.org/education/::aioseo_no_schema_markup_detected</t>
        </is>
      </c>
      <c r="P230" s="24" t="inlineStr">
        <is>
          <t>Schema improves understanding and rich result eligibility.</t>
        </is>
      </c>
      <c r="Q230">
        <f>IFERROR(HYPERLINK("#Main!A"&amp;MATCH(A230,Main!A:A,0),"Open"),HYPERLINK("#Main!A1","Open"))</f>
        <v/>
      </c>
      <c r="R230">
        <f>IFERROR(HYPERLINK("#Technical!A"&amp;MATCH(A230,Technical!A:A,0),"Open"),HYPERLINK("#Technical!A1","Open"))</f>
        <v/>
      </c>
    </row>
    <row r="231" ht="45" customHeight="1">
      <c r="A231" s="33" t="inlineStr">
        <is>
          <t>https://africanmarketingconfederation.org/elementor-16548/</t>
        </is>
      </c>
      <c r="B231" s="6" t="inlineStr">
        <is>
          <t>Schema</t>
        </is>
      </c>
      <c r="C231" s="25" t="inlineStr">
        <is>
          <t>Warning</t>
        </is>
      </c>
      <c r="D231" s="6" t="inlineStr">
        <is>
          <t>No schema markup detected</t>
        </is>
      </c>
      <c r="E231" s="6" t="n">
        <v>67</v>
      </c>
      <c r="F231" s="6" t="n">
        <v>0</v>
      </c>
      <c r="G231" s="6" t="inlineStr">
        <is>
          <t>At least one relevant schema type</t>
        </is>
      </c>
      <c r="H231" s="6" t="inlineStr">
        <is>
          <t>In AIOSEO schema settings for the page, add the most relevant type (Article/FAQ/HowTo/Product, etc.).</t>
        </is>
      </c>
      <c r="I231" s="31" t="inlineStr">
        <is>
          <t>StructuredData</t>
        </is>
      </c>
      <c r="J231" s="6" t="inlineStr">
        <is>
          <t>Schema Types Count</t>
        </is>
      </c>
      <c r="K231" s="6" t="inlineStr">
        <is>
          <t>Yes</t>
        </is>
      </c>
      <c r="L231" s="6" t="inlineStr">
        <is>
          <t>Copy Writer</t>
        </is>
      </c>
      <c r="M231" s="25" t="inlineStr">
        <is>
          <t>Open</t>
        </is>
      </c>
      <c r="N231" s="6" t="n">
        <v>4</v>
      </c>
      <c r="O231" s="6" t="inlineStr">
        <is>
          <t>https://africanmarketingconfederation.org/elementor-16548/::aioseo_no_schema_markup_detected</t>
        </is>
      </c>
      <c r="P231" s="6" t="inlineStr">
        <is>
          <t>Schema improves understanding and rich result eligibility.</t>
        </is>
      </c>
      <c r="Q231">
        <f>IFERROR(HYPERLINK("#Main!A"&amp;MATCH(A231,Main!A:A,0),"Open"),HYPERLINK("#Main!A1","Open"))</f>
        <v/>
      </c>
      <c r="R231">
        <f>IFERROR(HYPERLINK("#Technical!A"&amp;MATCH(A231,Technical!A:A,0),"Open"),HYPERLINK("#Technical!A1","Open"))</f>
        <v/>
      </c>
    </row>
    <row r="232" ht="45" customHeight="1">
      <c r="A232" s="33" t="inlineStr">
        <is>
          <t>https://africanmarketingconfederation.org/elementor-20341/</t>
        </is>
      </c>
      <c r="B232" s="24" t="inlineStr">
        <is>
          <t>Schema</t>
        </is>
      </c>
      <c r="C232" s="25" t="inlineStr">
        <is>
          <t>Warning</t>
        </is>
      </c>
      <c r="D232" s="24" t="inlineStr">
        <is>
          <t>No schema markup detected</t>
        </is>
      </c>
      <c r="E232" s="24" t="n">
        <v>67</v>
      </c>
      <c r="F232" s="24" t="n">
        <v>0</v>
      </c>
      <c r="G232" s="24" t="inlineStr">
        <is>
          <t>At least one relevant schema type</t>
        </is>
      </c>
      <c r="H232" s="24" t="inlineStr">
        <is>
          <t>In AIOSEO schema settings for the page, add the most relevant type (Article/FAQ/HowTo/Product, etc.).</t>
        </is>
      </c>
      <c r="I232" s="28" t="inlineStr">
        <is>
          <t>StructuredData</t>
        </is>
      </c>
      <c r="J232" s="24" t="inlineStr">
        <is>
          <t>Schema Types Count</t>
        </is>
      </c>
      <c r="K232" s="24" t="inlineStr">
        <is>
          <t>Yes</t>
        </is>
      </c>
      <c r="L232" s="24" t="inlineStr">
        <is>
          <t>Copy Writer</t>
        </is>
      </c>
      <c r="M232" s="25" t="inlineStr">
        <is>
          <t>Open</t>
        </is>
      </c>
      <c r="N232" s="24" t="n">
        <v>4</v>
      </c>
      <c r="O232" s="24" t="inlineStr">
        <is>
          <t>https://africanmarketingconfederation.org/elementor-20341/::aioseo_no_schema_markup_detected</t>
        </is>
      </c>
      <c r="P232" s="24" t="inlineStr">
        <is>
          <t>Schema improves understanding and rich result eligibility.</t>
        </is>
      </c>
      <c r="Q232">
        <f>IFERROR(HYPERLINK("#Main!A"&amp;MATCH(A232,Main!A:A,0),"Open"),HYPERLINK("#Main!A1","Open"))</f>
        <v/>
      </c>
      <c r="R232">
        <f>IFERROR(HYPERLINK("#Technical!A"&amp;MATCH(A232,Technical!A:A,0),"Open"),HYPERLINK("#Technical!A1","Open"))</f>
        <v/>
      </c>
    </row>
    <row r="233" ht="45" customHeight="1">
      <c r="A233" s="33" t="inlineStr">
        <is>
          <t>https://africanmarketingconfederation.org/elementor-31820/</t>
        </is>
      </c>
      <c r="B233" s="6" t="inlineStr">
        <is>
          <t>Schema</t>
        </is>
      </c>
      <c r="C233" s="25" t="inlineStr">
        <is>
          <t>Warning</t>
        </is>
      </c>
      <c r="D233" s="6" t="inlineStr">
        <is>
          <t>No schema markup detected</t>
        </is>
      </c>
      <c r="E233" s="6" t="n">
        <v>67</v>
      </c>
      <c r="F233" s="6" t="n">
        <v>0</v>
      </c>
      <c r="G233" s="6" t="inlineStr">
        <is>
          <t>At least one relevant schema type</t>
        </is>
      </c>
      <c r="H233" s="6" t="inlineStr">
        <is>
          <t>In AIOSEO schema settings for the page, add the most relevant type (Article/FAQ/HowTo/Product, etc.).</t>
        </is>
      </c>
      <c r="I233" s="31" t="inlineStr">
        <is>
          <t>StructuredData</t>
        </is>
      </c>
      <c r="J233" s="6" t="inlineStr">
        <is>
          <t>Schema Types Count</t>
        </is>
      </c>
      <c r="K233" s="6" t="inlineStr">
        <is>
          <t>Yes</t>
        </is>
      </c>
      <c r="L233" s="6" t="inlineStr">
        <is>
          <t>Copy Writer</t>
        </is>
      </c>
      <c r="M233" s="25" t="inlineStr">
        <is>
          <t>Open</t>
        </is>
      </c>
      <c r="N233" s="6" t="n">
        <v>4</v>
      </c>
      <c r="O233" s="6" t="inlineStr">
        <is>
          <t>https://africanmarketingconfederation.org/elementor-31820/::aioseo_no_schema_markup_detected</t>
        </is>
      </c>
      <c r="P233" s="6" t="inlineStr">
        <is>
          <t>Schema improves understanding and rich result eligibility.</t>
        </is>
      </c>
      <c r="Q233">
        <f>IFERROR(HYPERLINK("#Main!A"&amp;MATCH(A233,Main!A:A,0),"Open"),HYPERLINK("#Main!A1","Open"))</f>
        <v/>
      </c>
      <c r="R233">
        <f>IFERROR(HYPERLINK("#Technical!A"&amp;MATCH(A233,Technical!A:A,0),"Open"),HYPERLINK("#Technical!A1","Open"))</f>
        <v/>
      </c>
    </row>
    <row r="234" ht="45" customHeight="1">
      <c r="A234" s="33" t="inlineStr">
        <is>
          <t>https://africanmarketingconfederation.org/general-enquiry-form-thank-you/</t>
        </is>
      </c>
      <c r="B234" s="24" t="inlineStr">
        <is>
          <t>Schema</t>
        </is>
      </c>
      <c r="C234" s="25" t="inlineStr">
        <is>
          <t>Warning</t>
        </is>
      </c>
      <c r="D234" s="24" t="inlineStr">
        <is>
          <t>No schema markup detected</t>
        </is>
      </c>
      <c r="E234" s="24" t="n">
        <v>67</v>
      </c>
      <c r="F234" s="24" t="n">
        <v>0</v>
      </c>
      <c r="G234" s="24" t="inlineStr">
        <is>
          <t>At least one relevant schema type</t>
        </is>
      </c>
      <c r="H234" s="24" t="inlineStr">
        <is>
          <t>In AIOSEO schema settings for the page, add the most relevant type (Article/FAQ/HowTo/Product, etc.).</t>
        </is>
      </c>
      <c r="I234" s="28" t="inlineStr">
        <is>
          <t>StructuredData</t>
        </is>
      </c>
      <c r="J234" s="24" t="inlineStr">
        <is>
          <t>Schema Types Count</t>
        </is>
      </c>
      <c r="K234" s="24" t="inlineStr">
        <is>
          <t>Yes</t>
        </is>
      </c>
      <c r="L234" s="24" t="inlineStr">
        <is>
          <t>Copy Writer</t>
        </is>
      </c>
      <c r="M234" s="25" t="inlineStr">
        <is>
          <t>Open</t>
        </is>
      </c>
      <c r="N234" s="24" t="n">
        <v>4</v>
      </c>
      <c r="O234" s="24" t="inlineStr">
        <is>
          <t>https://africanmarketingconfederation.org/general-enquiry-form-thank-you/::aioseo_no_schema_markup_detected</t>
        </is>
      </c>
      <c r="P234" s="24" t="inlineStr">
        <is>
          <t>Schema improves understanding and rich result eligibility.</t>
        </is>
      </c>
      <c r="Q234">
        <f>IFERROR(HYPERLINK("#Main!A"&amp;MATCH(A234,Main!A:A,0),"Open"),HYPERLINK("#Main!A1","Open"))</f>
        <v/>
      </c>
      <c r="R234">
        <f>IFERROR(HYPERLINK("#Technical!A"&amp;MATCH(A234,Technical!A:A,0),"Open"),HYPERLINK("#Technical!A1","Open"))</f>
        <v/>
      </c>
    </row>
    <row r="235" ht="45" customHeight="1">
      <c r="A235" s="33" t="inlineStr">
        <is>
          <t>https://africanmarketingconfederation.org/launch-event-2026-amc-conference/</t>
        </is>
      </c>
      <c r="B235" s="6" t="inlineStr">
        <is>
          <t>Schema</t>
        </is>
      </c>
      <c r="C235" s="25" t="inlineStr">
        <is>
          <t>Warning</t>
        </is>
      </c>
      <c r="D235" s="6" t="inlineStr">
        <is>
          <t>No schema markup detected</t>
        </is>
      </c>
      <c r="E235" s="6" t="n">
        <v>67</v>
      </c>
      <c r="F235" s="6" t="n">
        <v>0</v>
      </c>
      <c r="G235" s="6" t="inlineStr">
        <is>
          <t>At least one relevant schema type</t>
        </is>
      </c>
      <c r="H235" s="6" t="inlineStr">
        <is>
          <t>In AIOSEO schema settings for the page, add the most relevant type (Article/FAQ/HowTo/Product, etc.).</t>
        </is>
      </c>
      <c r="I235" s="31" t="inlineStr">
        <is>
          <t>StructuredData</t>
        </is>
      </c>
      <c r="J235" s="6" t="inlineStr">
        <is>
          <t>Schema Types Count</t>
        </is>
      </c>
      <c r="K235" s="6" t="inlineStr">
        <is>
          <t>Yes</t>
        </is>
      </c>
      <c r="L235" s="6" t="inlineStr">
        <is>
          <t>Copy Writer</t>
        </is>
      </c>
      <c r="M235" s="25" t="inlineStr">
        <is>
          <t>Open</t>
        </is>
      </c>
      <c r="N235" s="6" t="n">
        <v>4</v>
      </c>
      <c r="O235" s="6" t="inlineStr">
        <is>
          <t>https://africanmarketingconfederation.org/launch-event-2026-amc-conference/::aioseo_no_schema_markup_detected</t>
        </is>
      </c>
      <c r="P235" s="6" t="inlineStr">
        <is>
          <t>Schema improves understanding and rich result eligibility.</t>
        </is>
      </c>
      <c r="Q235">
        <f>IFERROR(HYPERLINK("#Main!A"&amp;MATCH(A235,Main!A:A,0),"Open"),HYPERLINK("#Main!A1","Open"))</f>
        <v/>
      </c>
      <c r="R235">
        <f>IFERROR(HYPERLINK("#Technical!A"&amp;MATCH(A235,Technical!A:A,0),"Open"),HYPERLINK("#Technical!A1","Open"))</f>
        <v/>
      </c>
    </row>
    <row r="236" ht="45" customHeight="1">
      <c r="A236" s="33" t="inlineStr">
        <is>
          <t>https://africanmarketingconfederation.org/members/</t>
        </is>
      </c>
      <c r="B236" s="24" t="inlineStr">
        <is>
          <t>Schema</t>
        </is>
      </c>
      <c r="C236" s="25" t="inlineStr">
        <is>
          <t>Warning</t>
        </is>
      </c>
      <c r="D236" s="24" t="inlineStr">
        <is>
          <t>No schema markup detected</t>
        </is>
      </c>
      <c r="E236" s="24" t="n">
        <v>67</v>
      </c>
      <c r="F236" s="24" t="n">
        <v>0</v>
      </c>
      <c r="G236" s="24" t="inlineStr">
        <is>
          <t>At least one relevant schema type</t>
        </is>
      </c>
      <c r="H236" s="24" t="inlineStr">
        <is>
          <t>In AIOSEO schema settings for the page, add the most relevant type (Article/FAQ/HowTo/Product, etc.).</t>
        </is>
      </c>
      <c r="I236" s="28" t="inlineStr">
        <is>
          <t>StructuredData</t>
        </is>
      </c>
      <c r="J236" s="24" t="inlineStr">
        <is>
          <t>Schema Types Count</t>
        </is>
      </c>
      <c r="K236" s="24" t="inlineStr">
        <is>
          <t>Yes</t>
        </is>
      </c>
      <c r="L236" s="24" t="inlineStr">
        <is>
          <t>Copy Writer</t>
        </is>
      </c>
      <c r="M236" s="25" t="inlineStr">
        <is>
          <t>Open</t>
        </is>
      </c>
      <c r="N236" s="24" t="n">
        <v>4</v>
      </c>
      <c r="O236" s="24" t="inlineStr">
        <is>
          <t>https://africanmarketingconfederation.org/members/::aioseo_no_schema_markup_detected</t>
        </is>
      </c>
      <c r="P236" s="24" t="inlineStr">
        <is>
          <t>Schema improves understanding and rich result eligibility.</t>
        </is>
      </c>
      <c r="Q236">
        <f>IFERROR(HYPERLINK("#Main!A"&amp;MATCH(A236,Main!A:A,0),"Open"),HYPERLINK("#Main!A1","Open"))</f>
        <v/>
      </c>
      <c r="R236">
        <f>IFERROR(HYPERLINK("#Technical!A"&amp;MATCH(A236,Technical!A:A,0),"Open"),HYPERLINK("#Technical!A1","Open"))</f>
        <v/>
      </c>
    </row>
    <row r="237" ht="45" customHeight="1">
      <c r="A237" s="33" t="inlineStr">
        <is>
          <t>https://africanmarketingconfederation.org/news-articles/</t>
        </is>
      </c>
      <c r="B237" s="6" t="inlineStr">
        <is>
          <t>Schema</t>
        </is>
      </c>
      <c r="C237" s="25" t="inlineStr">
        <is>
          <t>Warning</t>
        </is>
      </c>
      <c r="D237" s="6" t="inlineStr">
        <is>
          <t>No schema markup detected</t>
        </is>
      </c>
      <c r="E237" s="6" t="n">
        <v>67</v>
      </c>
      <c r="F237" s="6" t="n">
        <v>0</v>
      </c>
      <c r="G237" s="6" t="inlineStr">
        <is>
          <t>At least one relevant schema type</t>
        </is>
      </c>
      <c r="H237" s="6" t="inlineStr">
        <is>
          <t>In AIOSEO schema settings for the page, add the most relevant type (Article/FAQ/HowTo/Product, etc.).</t>
        </is>
      </c>
      <c r="I237" s="31" t="inlineStr">
        <is>
          <t>StructuredData</t>
        </is>
      </c>
      <c r="J237" s="6" t="inlineStr">
        <is>
          <t>Schema Types Count</t>
        </is>
      </c>
      <c r="K237" s="6" t="inlineStr">
        <is>
          <t>Yes</t>
        </is>
      </c>
      <c r="L237" s="6" t="inlineStr">
        <is>
          <t>Copy Writer</t>
        </is>
      </c>
      <c r="M237" s="25" t="inlineStr">
        <is>
          <t>Open</t>
        </is>
      </c>
      <c r="N237" s="6" t="n">
        <v>4</v>
      </c>
      <c r="O237" s="6" t="inlineStr">
        <is>
          <t>https://africanmarketingconfederation.org/news-articles/::aioseo_no_schema_markup_detected</t>
        </is>
      </c>
      <c r="P237" s="6" t="inlineStr">
        <is>
          <t>Schema improves understanding and rich result eligibility.</t>
        </is>
      </c>
      <c r="Q237">
        <f>IFERROR(HYPERLINK("#Main!A"&amp;MATCH(A237,Main!A:A,0),"Open"),HYPERLINK("#Main!A1","Open"))</f>
        <v/>
      </c>
      <c r="R237">
        <f>IFERROR(HYPERLINK("#Technical!A"&amp;MATCH(A237,Technical!A:A,0),"Open"),HYPERLINK("#Technical!A1","Open"))</f>
        <v/>
      </c>
    </row>
    <row r="238" ht="45" customHeight="1">
      <c r="A238" s="33" t="inlineStr">
        <is>
          <t>https://africanmarketingconfederation.org/privacy-policy/</t>
        </is>
      </c>
      <c r="B238" s="24" t="inlineStr">
        <is>
          <t>Schema</t>
        </is>
      </c>
      <c r="C238" s="25" t="inlineStr">
        <is>
          <t>Warning</t>
        </is>
      </c>
      <c r="D238" s="24" t="inlineStr">
        <is>
          <t>No schema markup detected</t>
        </is>
      </c>
      <c r="E238" s="24" t="n">
        <v>67</v>
      </c>
      <c r="F238" s="24" t="n">
        <v>0</v>
      </c>
      <c r="G238" s="24" t="inlineStr">
        <is>
          <t>At least one relevant schema type</t>
        </is>
      </c>
      <c r="H238" s="24" t="inlineStr">
        <is>
          <t>In AIOSEO schema settings for the page, add the most relevant type (Article/FAQ/HowTo/Product, etc.).</t>
        </is>
      </c>
      <c r="I238" s="28" t="inlineStr">
        <is>
          <t>StructuredData</t>
        </is>
      </c>
      <c r="J238" s="24" t="inlineStr">
        <is>
          <t>Schema Types Count</t>
        </is>
      </c>
      <c r="K238" s="24" t="inlineStr">
        <is>
          <t>Yes</t>
        </is>
      </c>
      <c r="L238" s="24" t="inlineStr">
        <is>
          <t>Copy Writer</t>
        </is>
      </c>
      <c r="M238" s="25" t="inlineStr">
        <is>
          <t>Open</t>
        </is>
      </c>
      <c r="N238" s="24" t="n">
        <v>4</v>
      </c>
      <c r="O238" s="24" t="inlineStr">
        <is>
          <t>https://africanmarketingconfederation.org/privacy-policy/::aioseo_no_schema_markup_detected</t>
        </is>
      </c>
      <c r="P238" s="24" t="inlineStr">
        <is>
          <t>Schema improves understanding and rich result eligibility.</t>
        </is>
      </c>
      <c r="Q238">
        <f>IFERROR(HYPERLINK("#Main!A"&amp;MATCH(A238,Main!A:A,0),"Open"),HYPERLINK("#Main!A1","Open"))</f>
        <v/>
      </c>
      <c r="R238">
        <f>IFERROR(HYPERLINK("#Technical!A"&amp;MATCH(A238,Technical!A:A,0),"Open"),HYPERLINK("#Technical!A1","Open"))</f>
        <v/>
      </c>
    </row>
    <row r="239" ht="45" customHeight="1">
      <c r="A239" s="33" t="inlineStr">
        <is>
          <t>https://africanmarketingconfederation.org/publication-download-list/</t>
        </is>
      </c>
      <c r="B239" s="6" t="inlineStr">
        <is>
          <t>Schema</t>
        </is>
      </c>
      <c r="C239" s="25" t="inlineStr">
        <is>
          <t>Warning</t>
        </is>
      </c>
      <c r="D239" s="6" t="inlineStr">
        <is>
          <t>No schema markup detected</t>
        </is>
      </c>
      <c r="E239" s="6" t="n">
        <v>67</v>
      </c>
      <c r="F239" s="6" t="n">
        <v>0</v>
      </c>
      <c r="G239" s="6" t="inlineStr">
        <is>
          <t>At least one relevant schema type</t>
        </is>
      </c>
      <c r="H239" s="6" t="inlineStr">
        <is>
          <t>In AIOSEO schema settings for the page, add the most relevant type (Article/FAQ/HowTo/Product, etc.).</t>
        </is>
      </c>
      <c r="I239" s="31" t="inlineStr">
        <is>
          <t>StructuredData</t>
        </is>
      </c>
      <c r="J239" s="6" t="inlineStr">
        <is>
          <t>Schema Types Count</t>
        </is>
      </c>
      <c r="K239" s="6" t="inlineStr">
        <is>
          <t>Yes</t>
        </is>
      </c>
      <c r="L239" s="6" t="inlineStr">
        <is>
          <t>Copy Writer</t>
        </is>
      </c>
      <c r="M239" s="25" t="inlineStr">
        <is>
          <t>Open</t>
        </is>
      </c>
      <c r="N239" s="6" t="n">
        <v>4</v>
      </c>
      <c r="O239" s="6" t="inlineStr">
        <is>
          <t>https://africanmarketingconfederation.org/publication-download-list/::aioseo_no_schema_markup_detected</t>
        </is>
      </c>
      <c r="P239" s="6" t="inlineStr">
        <is>
          <t>Schema improves understanding and rich result eligibility.</t>
        </is>
      </c>
      <c r="Q239">
        <f>IFERROR(HYPERLINK("#Main!A"&amp;MATCH(A239,Main!A:A,0),"Open"),HYPERLINK("#Main!A1","Open"))</f>
        <v/>
      </c>
      <c r="R239">
        <f>IFERROR(HYPERLINK("#Technical!A"&amp;MATCH(A239,Technical!A:A,0),"Open"),HYPERLINK("#Technical!A1","Open"))</f>
        <v/>
      </c>
    </row>
    <row r="240" ht="45" customHeight="1">
      <c r="A240" s="33" t="inlineStr">
        <is>
          <t>https://africanmarketingconfederation.org/publications-2/</t>
        </is>
      </c>
      <c r="B240" s="24" t="inlineStr">
        <is>
          <t>Schema</t>
        </is>
      </c>
      <c r="C240" s="25" t="inlineStr">
        <is>
          <t>Warning</t>
        </is>
      </c>
      <c r="D240" s="24" t="inlineStr">
        <is>
          <t>No schema markup detected</t>
        </is>
      </c>
      <c r="E240" s="24" t="n">
        <v>67</v>
      </c>
      <c r="F240" s="24" t="n">
        <v>0</v>
      </c>
      <c r="G240" s="24" t="inlineStr">
        <is>
          <t>At least one relevant schema type</t>
        </is>
      </c>
      <c r="H240" s="24" t="inlineStr">
        <is>
          <t>In AIOSEO schema settings for the page, add the most relevant type (Article/FAQ/HowTo/Product, etc.).</t>
        </is>
      </c>
      <c r="I240" s="28" t="inlineStr">
        <is>
          <t>StructuredData</t>
        </is>
      </c>
      <c r="J240" s="24" t="inlineStr">
        <is>
          <t>Schema Types Count</t>
        </is>
      </c>
      <c r="K240" s="24" t="inlineStr">
        <is>
          <t>Yes</t>
        </is>
      </c>
      <c r="L240" s="24" t="inlineStr">
        <is>
          <t>Copy Writer</t>
        </is>
      </c>
      <c r="M240" s="25" t="inlineStr">
        <is>
          <t>Open</t>
        </is>
      </c>
      <c r="N240" s="24" t="n">
        <v>4</v>
      </c>
      <c r="O240" s="24" t="inlineStr">
        <is>
          <t>https://africanmarketingconfederation.org/publications-2/::aioseo_no_schema_markup_detected</t>
        </is>
      </c>
      <c r="P240" s="24" t="inlineStr">
        <is>
          <t>Schema improves understanding and rich result eligibility.</t>
        </is>
      </c>
      <c r="Q240">
        <f>IFERROR(HYPERLINK("#Main!A"&amp;MATCH(A240,Main!A:A,0),"Open"),HYPERLINK("#Main!A1","Open"))</f>
        <v/>
      </c>
      <c r="R240">
        <f>IFERROR(HYPERLINK("#Technical!A"&amp;MATCH(A240,Technical!A:A,0),"Open"),HYPERLINK("#Technical!A1","Open"))</f>
        <v/>
      </c>
    </row>
    <row r="241" ht="45" customHeight="1">
      <c r="A241" s="33" t="inlineStr">
        <is>
          <t>https://africanmarketingconfederation.org/speakers-2025/</t>
        </is>
      </c>
      <c r="B241" s="6" t="inlineStr">
        <is>
          <t>Schema</t>
        </is>
      </c>
      <c r="C241" s="25" t="inlineStr">
        <is>
          <t>Warning</t>
        </is>
      </c>
      <c r="D241" s="6" t="inlineStr">
        <is>
          <t>No schema markup detected</t>
        </is>
      </c>
      <c r="E241" s="6" t="n">
        <v>67</v>
      </c>
      <c r="F241" s="6" t="n">
        <v>0</v>
      </c>
      <c r="G241" s="6" t="inlineStr">
        <is>
          <t>At least one relevant schema type</t>
        </is>
      </c>
      <c r="H241" s="6" t="inlineStr">
        <is>
          <t>In AIOSEO schema settings for the page, add the most relevant type (Article/FAQ/HowTo/Product, etc.).</t>
        </is>
      </c>
      <c r="I241" s="31" t="inlineStr">
        <is>
          <t>StructuredData</t>
        </is>
      </c>
      <c r="J241" s="6" t="inlineStr">
        <is>
          <t>Schema Types Count</t>
        </is>
      </c>
      <c r="K241" s="6" t="inlineStr">
        <is>
          <t>Yes</t>
        </is>
      </c>
      <c r="L241" s="6" t="inlineStr">
        <is>
          <t>Copy Writer</t>
        </is>
      </c>
      <c r="M241" s="25" t="inlineStr">
        <is>
          <t>Open</t>
        </is>
      </c>
      <c r="N241" s="6" t="n">
        <v>4</v>
      </c>
      <c r="O241" s="6" t="inlineStr">
        <is>
          <t>https://africanmarketingconfederation.org/speakers-2025/::aioseo_no_schema_markup_detected</t>
        </is>
      </c>
      <c r="P241" s="6" t="inlineStr">
        <is>
          <t>Schema improves understanding and rich result eligibility.</t>
        </is>
      </c>
      <c r="Q241">
        <f>IFERROR(HYPERLINK("#Main!A"&amp;MATCH(A241,Main!A:A,0),"Open"),HYPERLINK("#Main!A1","Open"))</f>
        <v/>
      </c>
      <c r="R241">
        <f>IFERROR(HYPERLINK("#Technical!A"&amp;MATCH(A241,Technical!A:A,0),"Open"),HYPERLINK("#Technical!A1","Open"))</f>
        <v/>
      </c>
    </row>
    <row r="242" ht="45" customHeight="1">
      <c r="A242" s="33" t="inlineStr">
        <is>
          <t>https://africanmarketingconfederation.org/speakers/</t>
        </is>
      </c>
      <c r="B242" s="24" t="inlineStr">
        <is>
          <t>Schema</t>
        </is>
      </c>
      <c r="C242" s="25" t="inlineStr">
        <is>
          <t>Warning</t>
        </is>
      </c>
      <c r="D242" s="24" t="inlineStr">
        <is>
          <t>No schema markup detected</t>
        </is>
      </c>
      <c r="E242" s="24" t="n">
        <v>67</v>
      </c>
      <c r="F242" s="24" t="n">
        <v>0</v>
      </c>
      <c r="G242" s="24" t="inlineStr">
        <is>
          <t>At least one relevant schema type</t>
        </is>
      </c>
      <c r="H242" s="24" t="inlineStr">
        <is>
          <t>In AIOSEO schema settings for the page, add the most relevant type (Article/FAQ/HowTo/Product, etc.).</t>
        </is>
      </c>
      <c r="I242" s="28" t="inlineStr">
        <is>
          <t>StructuredData</t>
        </is>
      </c>
      <c r="J242" s="24" t="inlineStr">
        <is>
          <t>Schema Types Count</t>
        </is>
      </c>
      <c r="K242" s="24" t="inlineStr">
        <is>
          <t>Yes</t>
        </is>
      </c>
      <c r="L242" s="24" t="inlineStr">
        <is>
          <t>Copy Writer</t>
        </is>
      </c>
      <c r="M242" s="25" t="inlineStr">
        <is>
          <t>Open</t>
        </is>
      </c>
      <c r="N242" s="24" t="n">
        <v>4</v>
      </c>
      <c r="O242" s="24" t="inlineStr">
        <is>
          <t>https://africanmarketingconfederation.org/speakers/::aioseo_no_schema_markup_detected</t>
        </is>
      </c>
      <c r="P242" s="24" t="inlineStr">
        <is>
          <t>Schema improves understanding and rich result eligibility.</t>
        </is>
      </c>
      <c r="Q242">
        <f>IFERROR(HYPERLINK("#Main!A"&amp;MATCH(A242,Main!A:A,0),"Open"),HYPERLINK("#Main!A1","Open"))</f>
        <v/>
      </c>
      <c r="R242">
        <f>IFERROR(HYPERLINK("#Technical!A"&amp;MATCH(A242,Technical!A:A,0),"Open"),HYPERLINK("#Technical!A1","Open"))</f>
        <v/>
      </c>
    </row>
    <row r="243" ht="45" customHeight="1">
      <c r="A243" s="33" t="inlineStr">
        <is>
          <t>https://africanmarketingconfederation.org/sub-committees/</t>
        </is>
      </c>
      <c r="B243" s="6" t="inlineStr">
        <is>
          <t>Schema</t>
        </is>
      </c>
      <c r="C243" s="25" t="inlineStr">
        <is>
          <t>Warning</t>
        </is>
      </c>
      <c r="D243" s="6" t="inlineStr">
        <is>
          <t>No schema markup detected</t>
        </is>
      </c>
      <c r="E243" s="6" t="n">
        <v>67</v>
      </c>
      <c r="F243" s="6" t="n">
        <v>0</v>
      </c>
      <c r="G243" s="6" t="inlineStr">
        <is>
          <t>At least one relevant schema type</t>
        </is>
      </c>
      <c r="H243" s="6" t="inlineStr">
        <is>
          <t>In AIOSEO schema settings for the page, add the most relevant type (Article/FAQ/HowTo/Product, etc.).</t>
        </is>
      </c>
      <c r="I243" s="31" t="inlineStr">
        <is>
          <t>StructuredData</t>
        </is>
      </c>
      <c r="J243" s="6" t="inlineStr">
        <is>
          <t>Schema Types Count</t>
        </is>
      </c>
      <c r="K243" s="6" t="inlineStr">
        <is>
          <t>Yes</t>
        </is>
      </c>
      <c r="L243" s="6" t="inlineStr">
        <is>
          <t>Copy Writer</t>
        </is>
      </c>
      <c r="M243" s="25" t="inlineStr">
        <is>
          <t>Open</t>
        </is>
      </c>
      <c r="N243" s="6" t="n">
        <v>4</v>
      </c>
      <c r="O243" s="6" t="inlineStr">
        <is>
          <t>https://africanmarketingconfederation.org/sub-committees/::aioseo_no_schema_markup_detected</t>
        </is>
      </c>
      <c r="P243" s="6" t="inlineStr">
        <is>
          <t>Schema improves understanding and rich result eligibility.</t>
        </is>
      </c>
      <c r="Q243">
        <f>IFERROR(HYPERLINK("#Main!A"&amp;MATCH(A243,Main!A:A,0),"Open"),HYPERLINK("#Main!A1","Open"))</f>
        <v/>
      </c>
      <c r="R243">
        <f>IFERROR(HYPERLINK("#Technical!A"&amp;MATCH(A243,Technical!A:A,0),"Open"),HYPERLINK("#Technical!A1","Open"))</f>
        <v/>
      </c>
    </row>
    <row r="244" ht="45" customHeight="1">
      <c r="A244" s="33" t="inlineStr">
        <is>
          <t>https://africanmarketingconfederation.org/subscribe/</t>
        </is>
      </c>
      <c r="B244" s="24" t="inlineStr">
        <is>
          <t>Schema</t>
        </is>
      </c>
      <c r="C244" s="25" t="inlineStr">
        <is>
          <t>Warning</t>
        </is>
      </c>
      <c r="D244" s="24" t="inlineStr">
        <is>
          <t>No schema markup detected</t>
        </is>
      </c>
      <c r="E244" s="24" t="n">
        <v>67</v>
      </c>
      <c r="F244" s="24" t="n">
        <v>0</v>
      </c>
      <c r="G244" s="24" t="inlineStr">
        <is>
          <t>At least one relevant schema type</t>
        </is>
      </c>
      <c r="H244" s="24" t="inlineStr">
        <is>
          <t>In AIOSEO schema settings for the page, add the most relevant type (Article/FAQ/HowTo/Product, etc.).</t>
        </is>
      </c>
      <c r="I244" s="28" t="inlineStr">
        <is>
          <t>StructuredData</t>
        </is>
      </c>
      <c r="J244" s="24" t="inlineStr">
        <is>
          <t>Schema Types Count</t>
        </is>
      </c>
      <c r="K244" s="24" t="inlineStr">
        <is>
          <t>Yes</t>
        </is>
      </c>
      <c r="L244" s="24" t="inlineStr">
        <is>
          <t>Copy Writer</t>
        </is>
      </c>
      <c r="M244" s="25" t="inlineStr">
        <is>
          <t>Open</t>
        </is>
      </c>
      <c r="N244" s="24" t="n">
        <v>4</v>
      </c>
      <c r="O244" s="24" t="inlineStr">
        <is>
          <t>https://africanmarketingconfederation.org/subscribe/::aioseo_no_schema_markup_detected</t>
        </is>
      </c>
      <c r="P244" s="24" t="inlineStr">
        <is>
          <t>Schema improves understanding and rich result eligibility.</t>
        </is>
      </c>
      <c r="Q244">
        <f>IFERROR(HYPERLINK("#Main!A"&amp;MATCH(A244,Main!A:A,0),"Open"),HYPERLINK("#Main!A1","Open"))</f>
        <v/>
      </c>
      <c r="R244">
        <f>IFERROR(HYPERLINK("#Technical!A"&amp;MATCH(A244,Technical!A:A,0),"Open"),HYPERLINK("#Technical!A1","Open"))</f>
        <v/>
      </c>
    </row>
    <row r="245" ht="45" customHeight="1">
      <c r="A245" s="33" t="inlineStr">
        <is>
          <t>https://africanmarketingconfederation.org/test-homeslider/</t>
        </is>
      </c>
      <c r="B245" s="6" t="inlineStr">
        <is>
          <t>Schema</t>
        </is>
      </c>
      <c r="C245" s="25" t="inlineStr">
        <is>
          <t>Warning</t>
        </is>
      </c>
      <c r="D245" s="6" t="inlineStr">
        <is>
          <t>No schema markup detected</t>
        </is>
      </c>
      <c r="E245" s="6" t="n">
        <v>67</v>
      </c>
      <c r="F245" s="6" t="n">
        <v>0</v>
      </c>
      <c r="G245" s="6" t="inlineStr">
        <is>
          <t>At least one relevant schema type</t>
        </is>
      </c>
      <c r="H245" s="6" t="inlineStr">
        <is>
          <t>In AIOSEO schema settings for the page, add the most relevant type (Article/FAQ/HowTo/Product, etc.).</t>
        </is>
      </c>
      <c r="I245" s="31" t="inlineStr">
        <is>
          <t>StructuredData</t>
        </is>
      </c>
      <c r="J245" s="6" t="inlineStr">
        <is>
          <t>Schema Types Count</t>
        </is>
      </c>
      <c r="K245" s="6" t="inlineStr">
        <is>
          <t>Yes</t>
        </is>
      </c>
      <c r="L245" s="6" t="inlineStr">
        <is>
          <t>Copy Writer</t>
        </is>
      </c>
      <c r="M245" s="25" t="inlineStr">
        <is>
          <t>Open</t>
        </is>
      </c>
      <c r="N245" s="6" t="n">
        <v>4</v>
      </c>
      <c r="O245" s="6" t="inlineStr">
        <is>
          <t>https://africanmarketingconfederation.org/test-homeslider/::aioseo_no_schema_markup_detected</t>
        </is>
      </c>
      <c r="P245" s="6" t="inlineStr">
        <is>
          <t>Schema improves understanding and rich result eligibility.</t>
        </is>
      </c>
      <c r="Q245">
        <f>IFERROR(HYPERLINK("#Main!A"&amp;MATCH(A245,Main!A:A,0),"Open"),HYPERLINK("#Main!A1","Open"))</f>
        <v/>
      </c>
      <c r="R245">
        <f>IFERROR(HYPERLINK("#Technical!A"&amp;MATCH(A245,Technical!A:A,0),"Open"),HYPERLINK("#Technical!A1","Open"))</f>
        <v/>
      </c>
    </row>
    <row r="246" ht="45" customHeight="1">
      <c r="A246" s="33" t="inlineStr">
        <is>
          <t>https://africanmarketingconfederation.org/test-payment-gate/</t>
        </is>
      </c>
      <c r="B246" s="24" t="inlineStr">
        <is>
          <t>Schema</t>
        </is>
      </c>
      <c r="C246" s="25" t="inlineStr">
        <is>
          <t>Warning</t>
        </is>
      </c>
      <c r="D246" s="24" t="inlineStr">
        <is>
          <t>No schema markup detected</t>
        </is>
      </c>
      <c r="E246" s="24" t="n">
        <v>67</v>
      </c>
      <c r="F246" s="24" t="n">
        <v>0</v>
      </c>
      <c r="G246" s="24" t="inlineStr">
        <is>
          <t>At least one relevant schema type</t>
        </is>
      </c>
      <c r="H246" s="24" t="inlineStr">
        <is>
          <t>In AIOSEO schema settings for the page, add the most relevant type (Article/FAQ/HowTo/Product, etc.).</t>
        </is>
      </c>
      <c r="I246" s="28" t="inlineStr">
        <is>
          <t>StructuredData</t>
        </is>
      </c>
      <c r="J246" s="24" t="inlineStr">
        <is>
          <t>Schema Types Count</t>
        </is>
      </c>
      <c r="K246" s="24" t="inlineStr">
        <is>
          <t>Yes</t>
        </is>
      </c>
      <c r="L246" s="24" t="inlineStr">
        <is>
          <t>Copy Writer</t>
        </is>
      </c>
      <c r="M246" s="25" t="inlineStr">
        <is>
          <t>Open</t>
        </is>
      </c>
      <c r="N246" s="24" t="n">
        <v>4</v>
      </c>
      <c r="O246" s="24" t="inlineStr">
        <is>
          <t>https://africanmarketingconfederation.org/test-payment-gate/::aioseo_no_schema_markup_detected</t>
        </is>
      </c>
      <c r="P246" s="24" t="inlineStr">
        <is>
          <t>Schema improves understanding and rich result eligibility.</t>
        </is>
      </c>
      <c r="Q246">
        <f>IFERROR(HYPERLINK("#Main!A"&amp;MATCH(A246,Main!A:A,0),"Open"),HYPERLINK("#Main!A1","Open"))</f>
        <v/>
      </c>
      <c r="R246">
        <f>IFERROR(HYPERLINK("#Technical!A"&amp;MATCH(A246,Technical!A:A,0),"Open"),HYPERLINK("#Technical!A1","Open"))</f>
        <v/>
      </c>
    </row>
    <row r="247" ht="45" customHeight="1">
      <c r="A247" s="33" t="inlineStr">
        <is>
          <t>https://africanmarketingconfederation.org/thank-you-for-registering-2024-registrations-kenya/</t>
        </is>
      </c>
      <c r="B247" s="6" t="inlineStr">
        <is>
          <t>Schema</t>
        </is>
      </c>
      <c r="C247" s="25" t="inlineStr">
        <is>
          <t>Warning</t>
        </is>
      </c>
      <c r="D247" s="6" t="inlineStr">
        <is>
          <t>No schema markup detected</t>
        </is>
      </c>
      <c r="E247" s="6" t="n">
        <v>67</v>
      </c>
      <c r="F247" s="6" t="n">
        <v>0</v>
      </c>
      <c r="G247" s="6" t="inlineStr">
        <is>
          <t>At least one relevant schema type</t>
        </is>
      </c>
      <c r="H247" s="6" t="inlineStr">
        <is>
          <t>In AIOSEO schema settings for the page, add the most relevant type (Article/FAQ/HowTo/Product, etc.).</t>
        </is>
      </c>
      <c r="I247" s="31" t="inlineStr">
        <is>
          <t>StructuredData</t>
        </is>
      </c>
      <c r="J247" s="6" t="inlineStr">
        <is>
          <t>Schema Types Count</t>
        </is>
      </c>
      <c r="K247" s="6" t="inlineStr">
        <is>
          <t>Yes</t>
        </is>
      </c>
      <c r="L247" s="6" t="inlineStr">
        <is>
          <t>Copy Writer</t>
        </is>
      </c>
      <c r="M247" s="25" t="inlineStr">
        <is>
          <t>Open</t>
        </is>
      </c>
      <c r="N247" s="6" t="n">
        <v>4</v>
      </c>
      <c r="O247" s="6" t="inlineStr">
        <is>
          <t>https://africanmarketingconfederation.org/thank-you-for-registering-2024-registrations-kenya/::aioseo_no_schema_markup_detected</t>
        </is>
      </c>
      <c r="P247" s="6" t="inlineStr">
        <is>
          <t>Schema improves understanding and rich result eligibility.</t>
        </is>
      </c>
      <c r="Q247">
        <f>IFERROR(HYPERLINK("#Main!A"&amp;MATCH(A247,Main!A:A,0),"Open"),HYPERLINK("#Main!A1","Open"))</f>
        <v/>
      </c>
      <c r="R247">
        <f>IFERROR(HYPERLINK("#Technical!A"&amp;MATCH(A247,Technical!A:A,0),"Open"),HYPERLINK("#Technical!A1","Open"))</f>
        <v/>
      </c>
    </row>
    <row r="248" ht="45" customHeight="1">
      <c r="A248" s="33" t="inlineStr">
        <is>
          <t>https://africanmarketingconfederation.org/thank-you-for-registering-2024-registrations/</t>
        </is>
      </c>
      <c r="B248" s="24" t="inlineStr">
        <is>
          <t>Schema</t>
        </is>
      </c>
      <c r="C248" s="25" t="inlineStr">
        <is>
          <t>Warning</t>
        </is>
      </c>
      <c r="D248" s="24" t="inlineStr">
        <is>
          <t>No schema markup detected</t>
        </is>
      </c>
      <c r="E248" s="24" t="n">
        <v>67</v>
      </c>
      <c r="F248" s="24" t="n">
        <v>0</v>
      </c>
      <c r="G248" s="24" t="inlineStr">
        <is>
          <t>At least one relevant schema type</t>
        </is>
      </c>
      <c r="H248" s="24" t="inlineStr">
        <is>
          <t>In AIOSEO schema settings for the page, add the most relevant type (Article/FAQ/HowTo/Product, etc.).</t>
        </is>
      </c>
      <c r="I248" s="28" t="inlineStr">
        <is>
          <t>StructuredData</t>
        </is>
      </c>
      <c r="J248" s="24" t="inlineStr">
        <is>
          <t>Schema Types Count</t>
        </is>
      </c>
      <c r="K248" s="24" t="inlineStr">
        <is>
          <t>Yes</t>
        </is>
      </c>
      <c r="L248" s="24" t="inlineStr">
        <is>
          <t>Copy Writer</t>
        </is>
      </c>
      <c r="M248" s="25" t="inlineStr">
        <is>
          <t>Open</t>
        </is>
      </c>
      <c r="N248" s="24" t="n">
        <v>4</v>
      </c>
      <c r="O248" s="24" t="inlineStr">
        <is>
          <t>https://africanmarketingconfederation.org/thank-you-for-registering-2024-registrations/::aioseo_no_schema_markup_detected</t>
        </is>
      </c>
      <c r="P248" s="24" t="inlineStr">
        <is>
          <t>Schema improves understanding and rich result eligibility.</t>
        </is>
      </c>
      <c r="Q248">
        <f>IFERROR(HYPERLINK("#Main!A"&amp;MATCH(A248,Main!A:A,0),"Open"),HYPERLINK("#Main!A1","Open"))</f>
        <v/>
      </c>
      <c r="R248">
        <f>IFERROR(HYPERLINK("#Technical!A"&amp;MATCH(A248,Technical!A:A,0),"Open"),HYPERLINK("#Technical!A1","Open"))</f>
        <v/>
      </c>
    </row>
    <row r="249" ht="45" customHeight="1">
      <c r="A249" s="33" t="inlineStr">
        <is>
          <t>https://africanmarketingconfederation.org/thank-you-for-subscribing/</t>
        </is>
      </c>
      <c r="B249" s="6" t="inlineStr">
        <is>
          <t>Schema</t>
        </is>
      </c>
      <c r="C249" s="25" t="inlineStr">
        <is>
          <t>Warning</t>
        </is>
      </c>
      <c r="D249" s="6" t="inlineStr">
        <is>
          <t>No schema markup detected</t>
        </is>
      </c>
      <c r="E249" s="6" t="n">
        <v>67</v>
      </c>
      <c r="F249" s="6" t="n">
        <v>0</v>
      </c>
      <c r="G249" s="6" t="inlineStr">
        <is>
          <t>At least one relevant schema type</t>
        </is>
      </c>
      <c r="H249" s="6" t="inlineStr">
        <is>
          <t>In AIOSEO schema settings for the page, add the most relevant type (Article/FAQ/HowTo/Product, etc.).</t>
        </is>
      </c>
      <c r="I249" s="31" t="inlineStr">
        <is>
          <t>StructuredData</t>
        </is>
      </c>
      <c r="J249" s="6" t="inlineStr">
        <is>
          <t>Schema Types Count</t>
        </is>
      </c>
      <c r="K249" s="6" t="inlineStr">
        <is>
          <t>Yes</t>
        </is>
      </c>
      <c r="L249" s="6" t="inlineStr">
        <is>
          <t>Copy Writer</t>
        </is>
      </c>
      <c r="M249" s="25" t="inlineStr">
        <is>
          <t>Open</t>
        </is>
      </c>
      <c r="N249" s="6" t="n">
        <v>4</v>
      </c>
      <c r="O249" s="6" t="inlineStr">
        <is>
          <t>https://africanmarketingconfederation.org/thank-you-for-subscribing/::aioseo_no_schema_markup_detected</t>
        </is>
      </c>
      <c r="P249" s="6" t="inlineStr">
        <is>
          <t>Schema improves understanding and rich result eligibility.</t>
        </is>
      </c>
      <c r="Q249">
        <f>IFERROR(HYPERLINK("#Main!A"&amp;MATCH(A249,Main!A:A,0),"Open"),HYPERLINK("#Main!A1","Open"))</f>
        <v/>
      </c>
      <c r="R249">
        <f>IFERROR(HYPERLINK("#Technical!A"&amp;MATCH(A249,Technical!A:A,0),"Open"),HYPERLINK("#Technical!A1","Open"))</f>
        <v/>
      </c>
    </row>
    <row r="250" ht="45" customHeight="1">
      <c r="A250" s="33" t="inlineStr">
        <is>
          <t>https://africanmarketingconfederation.org/thank-you-for-the-nomination-2024/</t>
        </is>
      </c>
      <c r="B250" s="24" t="inlineStr">
        <is>
          <t>Schema</t>
        </is>
      </c>
      <c r="C250" s="25" t="inlineStr">
        <is>
          <t>Warning</t>
        </is>
      </c>
      <c r="D250" s="24" t="inlineStr">
        <is>
          <t>No schema markup detected</t>
        </is>
      </c>
      <c r="E250" s="24" t="n">
        <v>67</v>
      </c>
      <c r="F250" s="24" t="n">
        <v>0</v>
      </c>
      <c r="G250" s="24" t="inlineStr">
        <is>
          <t>At least one relevant schema type</t>
        </is>
      </c>
      <c r="H250" s="24" t="inlineStr">
        <is>
          <t>In AIOSEO schema settings for the page, add the most relevant type (Article/FAQ/HowTo/Product, etc.).</t>
        </is>
      </c>
      <c r="I250" s="28" t="inlineStr">
        <is>
          <t>StructuredData</t>
        </is>
      </c>
      <c r="J250" s="24" t="inlineStr">
        <is>
          <t>Schema Types Count</t>
        </is>
      </c>
      <c r="K250" s="24" t="inlineStr">
        <is>
          <t>Yes</t>
        </is>
      </c>
      <c r="L250" s="24" t="inlineStr">
        <is>
          <t>Copy Writer</t>
        </is>
      </c>
      <c r="M250" s="25" t="inlineStr">
        <is>
          <t>Open</t>
        </is>
      </c>
      <c r="N250" s="24" t="n">
        <v>4</v>
      </c>
      <c r="O250" s="24" t="inlineStr">
        <is>
          <t>https://africanmarketingconfederation.org/thank-you-for-the-nomination-2024/::aioseo_no_schema_markup_detected</t>
        </is>
      </c>
      <c r="P250" s="24" t="inlineStr">
        <is>
          <t>Schema improves understanding and rich result eligibility.</t>
        </is>
      </c>
      <c r="Q250">
        <f>IFERROR(HYPERLINK("#Main!A"&amp;MATCH(A250,Main!A:A,0),"Open"),HYPERLINK("#Main!A1","Open"))</f>
        <v/>
      </c>
      <c r="R250">
        <f>IFERROR(HYPERLINK("#Technical!A"&amp;MATCH(A250,Technical!A:A,0),"Open"),HYPERLINK("#Technical!A1","Open"))</f>
        <v/>
      </c>
    </row>
    <row r="251" ht="45" customHeight="1">
      <c r="A251" s="33" t="inlineStr">
        <is>
          <t>https://africanmarketingconfederation.org/thank-you-for-the-submission-2024/</t>
        </is>
      </c>
      <c r="B251" s="6" t="inlineStr">
        <is>
          <t>Schema</t>
        </is>
      </c>
      <c r="C251" s="25" t="inlineStr">
        <is>
          <t>Warning</t>
        </is>
      </c>
      <c r="D251" s="6" t="inlineStr">
        <is>
          <t>No schema markup detected</t>
        </is>
      </c>
      <c r="E251" s="6" t="n">
        <v>67</v>
      </c>
      <c r="F251" s="6" t="n">
        <v>0</v>
      </c>
      <c r="G251" s="6" t="inlineStr">
        <is>
          <t>At least one relevant schema type</t>
        </is>
      </c>
      <c r="H251" s="6" t="inlineStr">
        <is>
          <t>In AIOSEO schema settings for the page, add the most relevant type (Article/FAQ/HowTo/Product, etc.).</t>
        </is>
      </c>
      <c r="I251" s="31" t="inlineStr">
        <is>
          <t>StructuredData</t>
        </is>
      </c>
      <c r="J251" s="6" t="inlineStr">
        <is>
          <t>Schema Types Count</t>
        </is>
      </c>
      <c r="K251" s="6" t="inlineStr">
        <is>
          <t>Yes</t>
        </is>
      </c>
      <c r="L251" s="6" t="inlineStr">
        <is>
          <t>Copy Writer</t>
        </is>
      </c>
      <c r="M251" s="25" t="inlineStr">
        <is>
          <t>Open</t>
        </is>
      </c>
      <c r="N251" s="6" t="n">
        <v>4</v>
      </c>
      <c r="O251" s="6" t="inlineStr">
        <is>
          <t>https://africanmarketingconfederation.org/thank-you-for-the-submission-2024/::aioseo_no_schema_markup_detected</t>
        </is>
      </c>
      <c r="P251" s="6" t="inlineStr">
        <is>
          <t>Schema improves understanding and rich result eligibility.</t>
        </is>
      </c>
      <c r="Q251">
        <f>IFERROR(HYPERLINK("#Main!A"&amp;MATCH(A251,Main!A:A,0),"Open"),HYPERLINK("#Main!A1","Open"))</f>
        <v/>
      </c>
      <c r="R251">
        <f>IFERROR(HYPERLINK("#Technical!A"&amp;MATCH(A251,Technical!A:A,0),"Open"),HYPERLINK("#Technical!A1","Open"))</f>
        <v/>
      </c>
    </row>
    <row r="252" ht="45" customHeight="1">
      <c r="A252" s="33" t="inlineStr">
        <is>
          <t>https://africanmarketingconfederation.org/upcoming-events/</t>
        </is>
      </c>
      <c r="B252" s="24" t="inlineStr">
        <is>
          <t>Schema</t>
        </is>
      </c>
      <c r="C252" s="25" t="inlineStr">
        <is>
          <t>Warning</t>
        </is>
      </c>
      <c r="D252" s="24" t="inlineStr">
        <is>
          <t>No schema markup detected</t>
        </is>
      </c>
      <c r="E252" s="24" t="n">
        <v>67</v>
      </c>
      <c r="F252" s="24" t="n">
        <v>0</v>
      </c>
      <c r="G252" s="24" t="inlineStr">
        <is>
          <t>At least one relevant schema type</t>
        </is>
      </c>
      <c r="H252" s="24" t="inlineStr">
        <is>
          <t>In AIOSEO schema settings for the page, add the most relevant type (Article/FAQ/HowTo/Product, etc.).</t>
        </is>
      </c>
      <c r="I252" s="28" t="inlineStr">
        <is>
          <t>StructuredData</t>
        </is>
      </c>
      <c r="J252" s="24" t="inlineStr">
        <is>
          <t>Schema Types Count</t>
        </is>
      </c>
      <c r="K252" s="24" t="inlineStr">
        <is>
          <t>Yes</t>
        </is>
      </c>
      <c r="L252" s="24" t="inlineStr">
        <is>
          <t>Copy Writer</t>
        </is>
      </c>
      <c r="M252" s="25" t="inlineStr">
        <is>
          <t>Open</t>
        </is>
      </c>
      <c r="N252" s="24" t="n">
        <v>4</v>
      </c>
      <c r="O252" s="24" t="inlineStr">
        <is>
          <t>https://africanmarketingconfederation.org/upcoming-events/::aioseo_no_schema_markup_detected</t>
        </is>
      </c>
      <c r="P252" s="24" t="inlineStr">
        <is>
          <t>Schema improves understanding and rich result eligibility.</t>
        </is>
      </c>
      <c r="Q252">
        <f>IFERROR(HYPERLINK("#Main!A"&amp;MATCH(A252,Main!A:A,0),"Open"),HYPERLINK("#Main!A1","Open"))</f>
        <v/>
      </c>
      <c r="R252">
        <f>IFERROR(HYPERLINK("#Technical!A"&amp;MATCH(A252,Technical!A:A,0),"Open"),HYPERLINK("#Technical!A1","Open"))</f>
        <v/>
      </c>
    </row>
    <row r="253" ht="45" customHeight="1">
      <c r="A253" s="33" t="inlineStr">
        <is>
          <t>https://africanmarketingconfederation.org/virtual-programme/</t>
        </is>
      </c>
      <c r="B253" s="6" t="inlineStr">
        <is>
          <t>Schema</t>
        </is>
      </c>
      <c r="C253" s="25" t="inlineStr">
        <is>
          <t>Warning</t>
        </is>
      </c>
      <c r="D253" s="6" t="inlineStr">
        <is>
          <t>No schema markup detected</t>
        </is>
      </c>
      <c r="E253" s="6" t="n">
        <v>67</v>
      </c>
      <c r="F253" s="6" t="n">
        <v>0</v>
      </c>
      <c r="G253" s="6" t="inlineStr">
        <is>
          <t>At least one relevant schema type</t>
        </is>
      </c>
      <c r="H253" s="6" t="inlineStr">
        <is>
          <t>In AIOSEO schema settings for the page, add the most relevant type (Article/FAQ/HowTo/Product, etc.).</t>
        </is>
      </c>
      <c r="I253" s="31" t="inlineStr">
        <is>
          <t>StructuredData</t>
        </is>
      </c>
      <c r="J253" s="6" t="inlineStr">
        <is>
          <t>Schema Types Count</t>
        </is>
      </c>
      <c r="K253" s="6" t="inlineStr">
        <is>
          <t>Yes</t>
        </is>
      </c>
      <c r="L253" s="6" t="inlineStr">
        <is>
          <t>Copy Writer</t>
        </is>
      </c>
      <c r="M253" s="25" t="inlineStr">
        <is>
          <t>Open</t>
        </is>
      </c>
      <c r="N253" s="6" t="n">
        <v>4</v>
      </c>
      <c r="O253" s="6" t="inlineStr">
        <is>
          <t>https://africanmarketingconfederation.org/virtual-programme/::aioseo_no_schema_markup_detected</t>
        </is>
      </c>
      <c r="P253" s="6" t="inlineStr">
        <is>
          <t>Schema improves understanding and rich result eligibility.</t>
        </is>
      </c>
      <c r="Q253">
        <f>IFERROR(HYPERLINK("#Main!A"&amp;MATCH(A253,Main!A:A,0),"Open"),HYPERLINK("#Main!A1","Open"))</f>
        <v/>
      </c>
      <c r="R253">
        <f>IFERROR(HYPERLINK("#Technical!A"&amp;MATCH(A253,Technical!A:A,0),"Open"),HYPERLINK("#Technical!A1","Open"))</f>
        <v/>
      </c>
    </row>
    <row r="254" ht="30" customHeight="1">
      <c r="A254" s="33" t="inlineStr">
        <is>
          <t>https://africanmarketingconfederation.org/amc-conference-sponsors/</t>
        </is>
      </c>
      <c r="B254" s="24" t="inlineStr">
        <is>
          <t>Title</t>
        </is>
      </c>
      <c r="C254" s="25" t="inlineStr">
        <is>
          <t>Warning</t>
        </is>
      </c>
      <c r="D254" s="24" t="inlineStr">
        <is>
          <t>Missing SEO title</t>
        </is>
      </c>
      <c r="E254" s="24" t="n">
        <v>67</v>
      </c>
      <c r="F254" s="24" t="inlineStr">
        <is>
          <t>Missing</t>
        </is>
      </c>
      <c r="G254" s="24" t="inlineStr">
        <is>
          <t>40-60 characters</t>
        </is>
      </c>
      <c r="H254" s="24" t="inlineStr">
        <is>
          <t>In AIOSEO snippet settings, add a unique SEO title with the primary topic near the beginning.</t>
        </is>
      </c>
      <c r="I254" s="28" t="inlineStr">
        <is>
          <t>Main</t>
        </is>
      </c>
      <c r="J254" s="24" t="inlineStr">
        <is>
          <t>Title</t>
        </is>
      </c>
      <c r="K254" s="24" t="inlineStr">
        <is>
          <t>Yes</t>
        </is>
      </c>
      <c r="L254" s="24" t="inlineStr">
        <is>
          <t>Copy Writer</t>
        </is>
      </c>
      <c r="M254" s="25" t="inlineStr">
        <is>
          <t>Open</t>
        </is>
      </c>
      <c r="N254" s="24" t="n">
        <v>4</v>
      </c>
      <c r="O254" s="24" t="inlineStr">
        <is>
          <t>https://africanmarketingconfederation.org/amc-conference-sponsors/::aioseo_missing_seo_title</t>
        </is>
      </c>
      <c r="P254" s="24" t="inlineStr">
        <is>
          <t>Titles are a core relevance and CTR signal.</t>
        </is>
      </c>
      <c r="Q254">
        <f>IFERROR(HYPERLINK("#Main!A"&amp;MATCH(A254,Main!A:A,0),"Open"),HYPERLINK("#Main!A1","Open"))</f>
        <v/>
      </c>
      <c r="R254">
        <f>IFERROR(HYPERLINK("#Technical!A"&amp;MATCH(A254,Technical!A:A,0),"Open"),HYPERLINK("#Technical!A1","Open"))</f>
        <v/>
      </c>
    </row>
    <row r="255" ht="30" customHeight="1">
      <c r="A255" s="33" t="inlineStr">
        <is>
          <t>https://africanmarketingconfederation.org/amc-marketing-conference-2024/speakers-2024/</t>
        </is>
      </c>
      <c r="B255" s="6" t="inlineStr">
        <is>
          <t>Title</t>
        </is>
      </c>
      <c r="C255" s="25" t="inlineStr">
        <is>
          <t>Warning</t>
        </is>
      </c>
      <c r="D255" s="6" t="inlineStr">
        <is>
          <t>Missing SEO title</t>
        </is>
      </c>
      <c r="E255" s="6" t="n">
        <v>67</v>
      </c>
      <c r="F255" s="6" t="inlineStr">
        <is>
          <t>Missing</t>
        </is>
      </c>
      <c r="G255" s="6" t="inlineStr">
        <is>
          <t>40-60 characters</t>
        </is>
      </c>
      <c r="H255" s="6" t="inlineStr">
        <is>
          <t>In AIOSEO snippet settings, add a unique SEO title with the primary topic near the beginning.</t>
        </is>
      </c>
      <c r="I255" s="31" t="inlineStr">
        <is>
          <t>Main</t>
        </is>
      </c>
      <c r="J255" s="6" t="inlineStr">
        <is>
          <t>Title</t>
        </is>
      </c>
      <c r="K255" s="6" t="inlineStr">
        <is>
          <t>Yes</t>
        </is>
      </c>
      <c r="L255" s="6" t="inlineStr">
        <is>
          <t>Copy Writer</t>
        </is>
      </c>
      <c r="M255" s="25" t="inlineStr">
        <is>
          <t>Open</t>
        </is>
      </c>
      <c r="N255" s="6" t="n">
        <v>4</v>
      </c>
      <c r="O255" s="6" t="inlineStr">
        <is>
          <t>https://africanmarketingconfederation.org/amc-marketing-conference-2024/speakers-2024/::aioseo_missing_seo_title</t>
        </is>
      </c>
      <c r="P255" s="6" t="inlineStr">
        <is>
          <t>Titles are a core relevance and CTR signal.</t>
        </is>
      </c>
      <c r="Q255">
        <f>IFERROR(HYPERLINK("#Main!A"&amp;MATCH(A255,Main!A:A,0),"Open"),HYPERLINK("#Main!A1","Open"))</f>
        <v/>
      </c>
      <c r="R255">
        <f>IFERROR(HYPERLINK("#Technical!A"&amp;MATCH(A255,Technical!A:A,0),"Open"),HYPERLINK("#Technical!A1","Open"))</f>
        <v/>
      </c>
    </row>
    <row r="256" ht="30" customHeight="1">
      <c r="A256" s="33" t="inlineStr">
        <is>
          <t>https://africanmarketingconfederation.org/</t>
        </is>
      </c>
      <c r="B256" s="24" t="inlineStr">
        <is>
          <t>Basic SEO</t>
        </is>
      </c>
      <c r="C256" s="29" t="inlineStr">
        <is>
          <t>Info</t>
        </is>
      </c>
      <c r="D256" s="24" t="inlineStr">
        <is>
          <t>No internal links found</t>
        </is>
      </c>
      <c r="E256" s="24" t="n">
        <v>37</v>
      </c>
      <c r="F256" s="24" t="n">
        <v>0</v>
      </c>
      <c r="G256" s="24" t="inlineStr">
        <is>
          <t>&gt;=2 relevant internal links</t>
        </is>
      </c>
      <c r="H256" s="24" t="inlineStr">
        <is>
          <t>Add contextual internal links from and to related pages using descriptive anchor text.</t>
        </is>
      </c>
      <c r="I256" s="28" t="inlineStr">
        <is>
          <t>Links</t>
        </is>
      </c>
      <c r="J256" s="24" t="inlineStr">
        <is>
          <t>Internal Links Count</t>
        </is>
      </c>
      <c r="K256" s="24" t="inlineStr">
        <is>
          <t>No</t>
        </is>
      </c>
      <c r="L256" s="24" t="inlineStr">
        <is>
          <t>Copy Writer</t>
        </is>
      </c>
      <c r="M256" s="25" t="inlineStr">
        <is>
          <t>Open</t>
        </is>
      </c>
      <c r="N256" s="24" t="n">
        <v>4</v>
      </c>
      <c r="O256" s="24" t="inlineStr">
        <is>
          <t>https://africanmarketingconfederation.org/::aioseo_no_internal_links_found</t>
        </is>
      </c>
      <c r="P256" s="24" t="inlineStr">
        <is>
          <t>Internal links help discovery, topical signals, and authority flow.</t>
        </is>
      </c>
      <c r="Q256">
        <f>IFERROR(HYPERLINK("#Main!A"&amp;MATCH(A256,Main!A:A,0),"Open"),HYPERLINK("#Main!A1","Open"))</f>
        <v/>
      </c>
      <c r="R256">
        <f>IFERROR(HYPERLINK("#Technical!A"&amp;MATCH(A256,Technical!A:A,0),"Open"),HYPERLINK("#Technical!A1","Open"))</f>
        <v/>
      </c>
    </row>
    <row r="257" ht="30" customHeight="1">
      <c r="A257" s="33" t="inlineStr">
        <is>
          <t>https://africanmarketingconfederation.org/about-us/</t>
        </is>
      </c>
      <c r="B257" s="6" t="inlineStr">
        <is>
          <t>Basic SEO</t>
        </is>
      </c>
      <c r="C257" s="29" t="inlineStr">
        <is>
          <t>Info</t>
        </is>
      </c>
      <c r="D257" s="6" t="inlineStr">
        <is>
          <t>Meta description too long</t>
        </is>
      </c>
      <c r="E257" s="6" t="n">
        <v>37</v>
      </c>
      <c r="F257" s="6" t="n">
        <v>405</v>
      </c>
      <c r="G257" s="6" t="inlineStr">
        <is>
          <t>120-160 characters</t>
        </is>
      </c>
      <c r="H257" s="6" t="inlineStr">
        <is>
          <t>Trim meta description in AIOSEO and front-load essential context.</t>
        </is>
      </c>
      <c r="I257" s="31" t="inlineStr">
        <is>
          <t>Main</t>
        </is>
      </c>
      <c r="J257" s="6" t="inlineStr">
        <is>
          <t>Meta Description</t>
        </is>
      </c>
      <c r="K257" s="6" t="inlineStr">
        <is>
          <t>No</t>
        </is>
      </c>
      <c r="L257" s="6" t="inlineStr">
        <is>
          <t>Copy Writer</t>
        </is>
      </c>
      <c r="M257" s="25" t="inlineStr">
        <is>
          <t>Open</t>
        </is>
      </c>
      <c r="N257" s="6" t="n">
        <v>4</v>
      </c>
      <c r="O257" s="6" t="inlineStr">
        <is>
          <t>https://africanmarketingconfederation.org/about-us/::aioseo_meta_description_too_long</t>
        </is>
      </c>
      <c r="P257" s="6" t="inlineStr">
        <is>
          <t>Long descriptions are often truncated and lose message clarity.</t>
        </is>
      </c>
      <c r="Q257">
        <f>IFERROR(HYPERLINK("#Main!A"&amp;MATCH(A257,Main!A:A,0),"Open"),HYPERLINK("#Main!A1","Open"))</f>
        <v/>
      </c>
      <c r="R257">
        <f>IFERROR(HYPERLINK("#Technical!A"&amp;MATCH(A257,Technical!A:A,0),"Open"),HYPERLINK("#Technical!A1","Open"))</f>
        <v/>
      </c>
    </row>
    <row r="258" ht="30" customHeight="1">
      <c r="A258" s="33" t="inlineStr">
        <is>
          <t>https://africanmarketingconfederation.org/about-us/</t>
        </is>
      </c>
      <c r="B258" s="24" t="inlineStr">
        <is>
          <t>Basic SEO</t>
        </is>
      </c>
      <c r="C258" s="29" t="inlineStr">
        <is>
          <t>Info</t>
        </is>
      </c>
      <c r="D258" s="24" t="inlineStr">
        <is>
          <t>No internal links found</t>
        </is>
      </c>
      <c r="E258" s="24" t="n">
        <v>37</v>
      </c>
      <c r="F258" s="24" t="n">
        <v>0</v>
      </c>
      <c r="G258" s="24" t="inlineStr">
        <is>
          <t>&gt;=2 relevant internal links</t>
        </is>
      </c>
      <c r="H258" s="24" t="inlineStr">
        <is>
          <t>Add contextual internal links from and to related pages using descriptive anchor text.</t>
        </is>
      </c>
      <c r="I258" s="28" t="inlineStr">
        <is>
          <t>Links</t>
        </is>
      </c>
      <c r="J258" s="24" t="inlineStr">
        <is>
          <t>Internal Links Count</t>
        </is>
      </c>
      <c r="K258" s="24" t="inlineStr">
        <is>
          <t>No</t>
        </is>
      </c>
      <c r="L258" s="24" t="inlineStr">
        <is>
          <t>Copy Writer</t>
        </is>
      </c>
      <c r="M258" s="25" t="inlineStr">
        <is>
          <t>Open</t>
        </is>
      </c>
      <c r="N258" s="24" t="n">
        <v>4</v>
      </c>
      <c r="O258" s="24" t="inlineStr">
        <is>
          <t>https://africanmarketingconfederation.org/about-us/::aioseo_no_internal_links_found</t>
        </is>
      </c>
      <c r="P258" s="24" t="inlineStr">
        <is>
          <t>Internal links help discovery, topical signals, and authority flow.</t>
        </is>
      </c>
      <c r="Q258">
        <f>IFERROR(HYPERLINK("#Main!A"&amp;MATCH(A258,Main!A:A,0),"Open"),HYPERLINK("#Main!A1","Open"))</f>
        <v/>
      </c>
      <c r="R258">
        <f>IFERROR(HYPERLINK("#Technical!A"&amp;MATCH(A258,Technical!A:A,0),"Open"),HYPERLINK("#Technical!A1","Open"))</f>
        <v/>
      </c>
    </row>
    <row r="259" ht="30" customHeight="1">
      <c r="A259" s="33" t="inlineStr">
        <is>
          <t>https://africanmarketingconfederation.org/african-marketing-confederation-tourism-chapter/</t>
        </is>
      </c>
      <c r="B259" s="6" t="inlineStr">
        <is>
          <t>Basic SEO</t>
        </is>
      </c>
      <c r="C259" s="29" t="inlineStr">
        <is>
          <t>Info</t>
        </is>
      </c>
      <c r="D259" s="6" t="inlineStr">
        <is>
          <t>Meta description too long</t>
        </is>
      </c>
      <c r="E259" s="6" t="n">
        <v>37</v>
      </c>
      <c r="F259" s="6" t="n">
        <v>423</v>
      </c>
      <c r="G259" s="6" t="inlineStr">
        <is>
          <t>120-160 characters</t>
        </is>
      </c>
      <c r="H259" s="6" t="inlineStr">
        <is>
          <t>Trim meta description in AIOSEO and front-load essential context.</t>
        </is>
      </c>
      <c r="I259" s="31" t="inlineStr">
        <is>
          <t>Main</t>
        </is>
      </c>
      <c r="J259" s="6" t="inlineStr">
        <is>
          <t>Meta Description</t>
        </is>
      </c>
      <c r="K259" s="6" t="inlineStr">
        <is>
          <t>No</t>
        </is>
      </c>
      <c r="L259" s="6" t="inlineStr">
        <is>
          <t>Copy Writer</t>
        </is>
      </c>
      <c r="M259" s="25" t="inlineStr">
        <is>
          <t>Open</t>
        </is>
      </c>
      <c r="N259" s="6" t="n">
        <v>4</v>
      </c>
      <c r="O259" s="6" t="inlineStr">
        <is>
          <t>https://africanmarketingconfederation.org/african-marketing-confederation-tourism-chapter/::aioseo_meta_description_too_long</t>
        </is>
      </c>
      <c r="P259" s="6" t="inlineStr">
        <is>
          <t>Long descriptions are often truncated and lose message clarity.</t>
        </is>
      </c>
      <c r="Q259">
        <f>IFERROR(HYPERLINK("#Main!A"&amp;MATCH(A259,Main!A:A,0),"Open"),HYPERLINK("#Main!A1","Open"))</f>
        <v/>
      </c>
      <c r="R259">
        <f>IFERROR(HYPERLINK("#Technical!A"&amp;MATCH(A259,Technical!A:A,0),"Open"),HYPERLINK("#Technical!A1","Open"))</f>
        <v/>
      </c>
    </row>
    <row r="260" ht="30" customHeight="1">
      <c r="A260" s="33" t="inlineStr">
        <is>
          <t>https://africanmarketingconfederation.org/african-marketing-confederation-tourism-chapter/</t>
        </is>
      </c>
      <c r="B260" s="24" t="inlineStr">
        <is>
          <t>Basic SEO</t>
        </is>
      </c>
      <c r="C260" s="29" t="inlineStr">
        <is>
          <t>Info</t>
        </is>
      </c>
      <c r="D260" s="24" t="inlineStr">
        <is>
          <t>No internal links found</t>
        </is>
      </c>
      <c r="E260" s="24" t="n">
        <v>37</v>
      </c>
      <c r="F260" s="24" t="n">
        <v>0</v>
      </c>
      <c r="G260" s="24" t="inlineStr">
        <is>
          <t>&gt;=2 relevant internal links</t>
        </is>
      </c>
      <c r="H260" s="24" t="inlineStr">
        <is>
          <t>Add contextual internal links from and to related pages using descriptive anchor text.</t>
        </is>
      </c>
      <c r="I260" s="28" t="inlineStr">
        <is>
          <t>Links</t>
        </is>
      </c>
      <c r="J260" s="24" t="inlineStr">
        <is>
          <t>Internal Links Count</t>
        </is>
      </c>
      <c r="K260" s="24" t="inlineStr">
        <is>
          <t>No</t>
        </is>
      </c>
      <c r="L260" s="24" t="inlineStr">
        <is>
          <t>Copy Writer</t>
        </is>
      </c>
      <c r="M260" s="25" t="inlineStr">
        <is>
          <t>Open</t>
        </is>
      </c>
      <c r="N260" s="24" t="n">
        <v>4</v>
      </c>
      <c r="O260" s="24" t="inlineStr">
        <is>
          <t>https://africanmarketingconfederation.org/african-marketing-confederation-tourism-chapter/::aioseo_no_internal_links_found</t>
        </is>
      </c>
      <c r="P260" s="24" t="inlineStr">
        <is>
          <t>Internal links help discovery, topical signals, and authority flow.</t>
        </is>
      </c>
      <c r="Q260">
        <f>IFERROR(HYPERLINK("#Main!A"&amp;MATCH(A260,Main!A:A,0),"Open"),HYPERLINK("#Main!A1","Open"))</f>
        <v/>
      </c>
      <c r="R260">
        <f>IFERROR(HYPERLINK("#Technical!A"&amp;MATCH(A260,Technical!A:A,0),"Open"),HYPERLINK("#Technical!A1","Open"))</f>
        <v/>
      </c>
    </row>
    <row r="261" ht="30" customHeight="1">
      <c r="A261" s="33" t="inlineStr">
        <is>
          <t>https://africanmarketingconfederation.org/amc-awards-2024/</t>
        </is>
      </c>
      <c r="B261" s="6" t="inlineStr">
        <is>
          <t>Basic SEO</t>
        </is>
      </c>
      <c r="C261" s="29" t="inlineStr">
        <is>
          <t>Info</t>
        </is>
      </c>
      <c r="D261" s="6" t="inlineStr">
        <is>
          <t>Meta description too long</t>
        </is>
      </c>
      <c r="E261" s="6" t="n">
        <v>37</v>
      </c>
      <c r="F261" s="6" t="n">
        <v>406</v>
      </c>
      <c r="G261" s="6" t="inlineStr">
        <is>
          <t>120-160 characters</t>
        </is>
      </c>
      <c r="H261" s="6" t="inlineStr">
        <is>
          <t>Trim meta description in AIOSEO and front-load essential context.</t>
        </is>
      </c>
      <c r="I261" s="31" t="inlineStr">
        <is>
          <t>Main</t>
        </is>
      </c>
      <c r="J261" s="6" t="inlineStr">
        <is>
          <t>Meta Description</t>
        </is>
      </c>
      <c r="K261" s="6" t="inlineStr">
        <is>
          <t>No</t>
        </is>
      </c>
      <c r="L261" s="6" t="inlineStr">
        <is>
          <t>Copy Writer</t>
        </is>
      </c>
      <c r="M261" s="25" t="inlineStr">
        <is>
          <t>Open</t>
        </is>
      </c>
      <c r="N261" s="6" t="n">
        <v>4</v>
      </c>
      <c r="O261" s="6" t="inlineStr">
        <is>
          <t>https://africanmarketingconfederation.org/amc-awards-2024/::aioseo_meta_description_too_long</t>
        </is>
      </c>
      <c r="P261" s="6" t="inlineStr">
        <is>
          <t>Long descriptions are often truncated and lose message clarity.</t>
        </is>
      </c>
      <c r="Q261">
        <f>IFERROR(HYPERLINK("#Main!A"&amp;MATCH(A261,Main!A:A,0),"Open"),HYPERLINK("#Main!A1","Open"))</f>
        <v/>
      </c>
      <c r="R261">
        <f>IFERROR(HYPERLINK("#Technical!A"&amp;MATCH(A261,Technical!A:A,0),"Open"),HYPERLINK("#Technical!A1","Open"))</f>
        <v/>
      </c>
    </row>
    <row r="262" ht="30" customHeight="1">
      <c r="A262" s="33" t="inlineStr">
        <is>
          <t>https://africanmarketingconfederation.org/amc-awards-2024/</t>
        </is>
      </c>
      <c r="B262" s="24" t="inlineStr">
        <is>
          <t>Basic SEO</t>
        </is>
      </c>
      <c r="C262" s="29" t="inlineStr">
        <is>
          <t>Info</t>
        </is>
      </c>
      <c r="D262" s="24" t="inlineStr">
        <is>
          <t>No internal links found</t>
        </is>
      </c>
      <c r="E262" s="24" t="n">
        <v>37</v>
      </c>
      <c r="F262" s="24" t="n">
        <v>0</v>
      </c>
      <c r="G262" s="24" t="inlineStr">
        <is>
          <t>&gt;=2 relevant internal links</t>
        </is>
      </c>
      <c r="H262" s="24" t="inlineStr">
        <is>
          <t>Add contextual internal links from and to related pages using descriptive anchor text.</t>
        </is>
      </c>
      <c r="I262" s="28" t="inlineStr">
        <is>
          <t>Links</t>
        </is>
      </c>
      <c r="J262" s="24" t="inlineStr">
        <is>
          <t>Internal Links Count</t>
        </is>
      </c>
      <c r="K262" s="24" t="inlineStr">
        <is>
          <t>No</t>
        </is>
      </c>
      <c r="L262" s="24" t="inlineStr">
        <is>
          <t>Copy Writer</t>
        </is>
      </c>
      <c r="M262" s="25" t="inlineStr">
        <is>
          <t>Open</t>
        </is>
      </c>
      <c r="N262" s="24" t="n">
        <v>4</v>
      </c>
      <c r="O262" s="24" t="inlineStr">
        <is>
          <t>https://africanmarketingconfederation.org/amc-awards-2024/::aioseo_no_internal_links_found</t>
        </is>
      </c>
      <c r="P262" s="24" t="inlineStr">
        <is>
          <t>Internal links help discovery, topical signals, and authority flow.</t>
        </is>
      </c>
      <c r="Q262">
        <f>IFERROR(HYPERLINK("#Main!A"&amp;MATCH(A262,Main!A:A,0),"Open"),HYPERLINK("#Main!A1","Open"))</f>
        <v/>
      </c>
      <c r="R262">
        <f>IFERROR(HYPERLINK("#Technical!A"&amp;MATCH(A262,Technical!A:A,0),"Open"),HYPERLINK("#Technical!A1","Open"))</f>
        <v/>
      </c>
    </row>
    <row r="263" ht="30" customHeight="1">
      <c r="A263" s="33" t="inlineStr">
        <is>
          <t>https://africanmarketingconfederation.org/amc-conference-2022-prospectus/</t>
        </is>
      </c>
      <c r="B263" s="6" t="inlineStr">
        <is>
          <t>Basic SEO</t>
        </is>
      </c>
      <c r="C263" s="29" t="inlineStr">
        <is>
          <t>Info</t>
        </is>
      </c>
      <c r="D263" s="6" t="inlineStr">
        <is>
          <t>Meta description too long</t>
        </is>
      </c>
      <c r="E263" s="6" t="n">
        <v>37</v>
      </c>
      <c r="F263" s="6" t="n">
        <v>335</v>
      </c>
      <c r="G263" s="6" t="inlineStr">
        <is>
          <t>120-160 characters</t>
        </is>
      </c>
      <c r="H263" s="6" t="inlineStr">
        <is>
          <t>Trim meta description in AIOSEO and front-load essential context.</t>
        </is>
      </c>
      <c r="I263" s="31" t="inlineStr">
        <is>
          <t>Main</t>
        </is>
      </c>
      <c r="J263" s="6" t="inlineStr">
        <is>
          <t>Meta Description</t>
        </is>
      </c>
      <c r="K263" s="6" t="inlineStr">
        <is>
          <t>No</t>
        </is>
      </c>
      <c r="L263" s="6" t="inlineStr">
        <is>
          <t>Copy Writer</t>
        </is>
      </c>
      <c r="M263" s="25" t="inlineStr">
        <is>
          <t>Open</t>
        </is>
      </c>
      <c r="N263" s="6" t="n">
        <v>4</v>
      </c>
      <c r="O263" s="6" t="inlineStr">
        <is>
          <t>https://africanmarketingconfederation.org/amc-conference-2022-prospectus/::aioseo_meta_description_too_long</t>
        </is>
      </c>
      <c r="P263" s="6" t="inlineStr">
        <is>
          <t>Long descriptions are often truncated and lose message clarity.</t>
        </is>
      </c>
      <c r="Q263">
        <f>IFERROR(HYPERLINK("#Main!A"&amp;MATCH(A263,Main!A:A,0),"Open"),HYPERLINK("#Main!A1","Open"))</f>
        <v/>
      </c>
      <c r="R263">
        <f>IFERROR(HYPERLINK("#Technical!A"&amp;MATCH(A263,Technical!A:A,0),"Open"),HYPERLINK("#Technical!A1","Open"))</f>
        <v/>
      </c>
    </row>
    <row r="264" ht="30" customHeight="1">
      <c r="A264" s="33" t="inlineStr">
        <is>
          <t>https://africanmarketingconfederation.org/amc-conference-2022-prospectus/</t>
        </is>
      </c>
      <c r="B264" s="24" t="inlineStr">
        <is>
          <t>Basic SEO</t>
        </is>
      </c>
      <c r="C264" s="29" t="inlineStr">
        <is>
          <t>Info</t>
        </is>
      </c>
      <c r="D264" s="24" t="inlineStr">
        <is>
          <t>No internal links found</t>
        </is>
      </c>
      <c r="E264" s="24" t="n">
        <v>37</v>
      </c>
      <c r="F264" s="24" t="n">
        <v>0</v>
      </c>
      <c r="G264" s="24" t="inlineStr">
        <is>
          <t>&gt;=2 relevant internal links</t>
        </is>
      </c>
      <c r="H264" s="24" t="inlineStr">
        <is>
          <t>Add contextual internal links from and to related pages using descriptive anchor text.</t>
        </is>
      </c>
      <c r="I264" s="28" t="inlineStr">
        <is>
          <t>Links</t>
        </is>
      </c>
      <c r="J264" s="24" t="inlineStr">
        <is>
          <t>Internal Links Count</t>
        </is>
      </c>
      <c r="K264" s="24" t="inlineStr">
        <is>
          <t>No</t>
        </is>
      </c>
      <c r="L264" s="24" t="inlineStr">
        <is>
          <t>Copy Writer</t>
        </is>
      </c>
      <c r="M264" s="25" t="inlineStr">
        <is>
          <t>Open</t>
        </is>
      </c>
      <c r="N264" s="24" t="n">
        <v>4</v>
      </c>
      <c r="O264" s="24" t="inlineStr">
        <is>
          <t>https://africanmarketingconfederation.org/amc-conference-2022-prospectus/::aioseo_no_internal_links_found</t>
        </is>
      </c>
      <c r="P264" s="24" t="inlineStr">
        <is>
          <t>Internal links help discovery, topical signals, and authority flow.</t>
        </is>
      </c>
      <c r="Q264">
        <f>IFERROR(HYPERLINK("#Main!A"&amp;MATCH(A264,Main!A:A,0),"Open"),HYPERLINK("#Main!A1","Open"))</f>
        <v/>
      </c>
      <c r="R264">
        <f>IFERROR(HYPERLINK("#Technical!A"&amp;MATCH(A264,Technical!A:A,0),"Open"),HYPERLINK("#Technical!A1","Open"))</f>
        <v/>
      </c>
    </row>
    <row r="265" ht="30" customHeight="1">
      <c r="A265" s="33" t="inlineStr">
        <is>
          <t>https://africanmarketingconfederation.org/amc-conference-2022-thank-you/</t>
        </is>
      </c>
      <c r="B265" s="6" t="inlineStr">
        <is>
          <t>Basic SEO</t>
        </is>
      </c>
      <c r="C265" s="29" t="inlineStr">
        <is>
          <t>Info</t>
        </is>
      </c>
      <c r="D265" s="6" t="inlineStr">
        <is>
          <t>Meta description too long</t>
        </is>
      </c>
      <c r="E265" s="6" t="n">
        <v>37</v>
      </c>
      <c r="F265" s="6" t="n">
        <v>337</v>
      </c>
      <c r="G265" s="6" t="inlineStr">
        <is>
          <t>120-160 characters</t>
        </is>
      </c>
      <c r="H265" s="6" t="inlineStr">
        <is>
          <t>Trim meta description in AIOSEO and front-load essential context.</t>
        </is>
      </c>
      <c r="I265" s="31" t="inlineStr">
        <is>
          <t>Main</t>
        </is>
      </c>
      <c r="J265" s="6" t="inlineStr">
        <is>
          <t>Meta Description</t>
        </is>
      </c>
      <c r="K265" s="6" t="inlineStr">
        <is>
          <t>No</t>
        </is>
      </c>
      <c r="L265" s="6" t="inlineStr">
        <is>
          <t>Copy Writer</t>
        </is>
      </c>
      <c r="M265" s="25" t="inlineStr">
        <is>
          <t>Open</t>
        </is>
      </c>
      <c r="N265" s="6" t="n">
        <v>4</v>
      </c>
      <c r="O265" s="6" t="inlineStr">
        <is>
          <t>https://africanmarketingconfederation.org/amc-conference-2022-thank-you/::aioseo_meta_description_too_long</t>
        </is>
      </c>
      <c r="P265" s="6" t="inlineStr">
        <is>
          <t>Long descriptions are often truncated and lose message clarity.</t>
        </is>
      </c>
      <c r="Q265">
        <f>IFERROR(HYPERLINK("#Main!A"&amp;MATCH(A265,Main!A:A,0),"Open"),HYPERLINK("#Main!A1","Open"))</f>
        <v/>
      </c>
      <c r="R265">
        <f>IFERROR(HYPERLINK("#Technical!A"&amp;MATCH(A265,Technical!A:A,0),"Open"),HYPERLINK("#Technical!A1","Open"))</f>
        <v/>
      </c>
    </row>
    <row r="266" ht="30" customHeight="1">
      <c r="A266" s="33" t="inlineStr">
        <is>
          <t>https://africanmarketingconfederation.org/amc-conference-2022-thank-you/</t>
        </is>
      </c>
      <c r="B266" s="24" t="inlineStr">
        <is>
          <t>Basic SEO</t>
        </is>
      </c>
      <c r="C266" s="29" t="inlineStr">
        <is>
          <t>Info</t>
        </is>
      </c>
      <c r="D266" s="24" t="inlineStr">
        <is>
          <t>No internal links found</t>
        </is>
      </c>
      <c r="E266" s="24" t="n">
        <v>37</v>
      </c>
      <c r="F266" s="24" t="n">
        <v>0</v>
      </c>
      <c r="G266" s="24" t="inlineStr">
        <is>
          <t>&gt;=2 relevant internal links</t>
        </is>
      </c>
      <c r="H266" s="24" t="inlineStr">
        <is>
          <t>Add contextual internal links from and to related pages using descriptive anchor text.</t>
        </is>
      </c>
      <c r="I266" s="28" t="inlineStr">
        <is>
          <t>Links</t>
        </is>
      </c>
      <c r="J266" s="24" t="inlineStr">
        <is>
          <t>Internal Links Count</t>
        </is>
      </c>
      <c r="K266" s="24" t="inlineStr">
        <is>
          <t>No</t>
        </is>
      </c>
      <c r="L266" s="24" t="inlineStr">
        <is>
          <t>Copy Writer</t>
        </is>
      </c>
      <c r="M266" s="25" t="inlineStr">
        <is>
          <t>Open</t>
        </is>
      </c>
      <c r="N266" s="24" t="n">
        <v>4</v>
      </c>
      <c r="O266" s="24" t="inlineStr">
        <is>
          <t>https://africanmarketingconfederation.org/amc-conference-2022-thank-you/::aioseo_no_internal_links_found</t>
        </is>
      </c>
      <c r="P266" s="24" t="inlineStr">
        <is>
          <t>Internal links help discovery, topical signals, and authority flow.</t>
        </is>
      </c>
      <c r="Q266">
        <f>IFERROR(HYPERLINK("#Main!A"&amp;MATCH(A266,Main!A:A,0),"Open"),HYPERLINK("#Main!A1","Open"))</f>
        <v/>
      </c>
      <c r="R266">
        <f>IFERROR(HYPERLINK("#Technical!A"&amp;MATCH(A266,Technical!A:A,0),"Open"),HYPERLINK("#Technical!A1","Open"))</f>
        <v/>
      </c>
    </row>
    <row r="267" ht="30" customHeight="1">
      <c r="A267" s="33" t="inlineStr">
        <is>
          <t>https://africanmarketingconfederation.org/amc-conference-2022/</t>
        </is>
      </c>
      <c r="B267" s="6" t="inlineStr">
        <is>
          <t>Basic SEO</t>
        </is>
      </c>
      <c r="C267" s="29" t="inlineStr">
        <is>
          <t>Info</t>
        </is>
      </c>
      <c r="D267" s="6" t="inlineStr">
        <is>
          <t>Meta description too long</t>
        </is>
      </c>
      <c r="E267" s="6" t="n">
        <v>37</v>
      </c>
      <c r="F267" s="6" t="n">
        <v>387</v>
      </c>
      <c r="G267" s="6" t="inlineStr">
        <is>
          <t>120-160 characters</t>
        </is>
      </c>
      <c r="H267" s="6" t="inlineStr">
        <is>
          <t>Trim meta description in AIOSEO and front-load essential context.</t>
        </is>
      </c>
      <c r="I267" s="31" t="inlineStr">
        <is>
          <t>Main</t>
        </is>
      </c>
      <c r="J267" s="6" t="inlineStr">
        <is>
          <t>Meta Description</t>
        </is>
      </c>
      <c r="K267" s="6" t="inlineStr">
        <is>
          <t>No</t>
        </is>
      </c>
      <c r="L267" s="6" t="inlineStr">
        <is>
          <t>Copy Writer</t>
        </is>
      </c>
      <c r="M267" s="25" t="inlineStr">
        <is>
          <t>Open</t>
        </is>
      </c>
      <c r="N267" s="6" t="n">
        <v>4</v>
      </c>
      <c r="O267" s="6" t="inlineStr">
        <is>
          <t>https://africanmarketingconfederation.org/amc-conference-2022/::aioseo_meta_description_too_long</t>
        </is>
      </c>
      <c r="P267" s="6" t="inlineStr">
        <is>
          <t>Long descriptions are often truncated and lose message clarity.</t>
        </is>
      </c>
      <c r="Q267">
        <f>IFERROR(HYPERLINK("#Main!A"&amp;MATCH(A267,Main!A:A,0),"Open"),HYPERLINK("#Main!A1","Open"))</f>
        <v/>
      </c>
      <c r="R267">
        <f>IFERROR(HYPERLINK("#Technical!A"&amp;MATCH(A267,Technical!A:A,0),"Open"),HYPERLINK("#Technical!A1","Open"))</f>
        <v/>
      </c>
    </row>
    <row r="268" ht="30" customHeight="1">
      <c r="A268" s="33" t="inlineStr">
        <is>
          <t>https://africanmarketingconfederation.org/amc-conference-2022/</t>
        </is>
      </c>
      <c r="B268" s="24" t="inlineStr">
        <is>
          <t>Basic SEO</t>
        </is>
      </c>
      <c r="C268" s="29" t="inlineStr">
        <is>
          <t>Info</t>
        </is>
      </c>
      <c r="D268" s="24" t="inlineStr">
        <is>
          <t>No internal links found</t>
        </is>
      </c>
      <c r="E268" s="24" t="n">
        <v>37</v>
      </c>
      <c r="F268" s="24" t="n">
        <v>0</v>
      </c>
      <c r="G268" s="24" t="inlineStr">
        <is>
          <t>&gt;=2 relevant internal links</t>
        </is>
      </c>
      <c r="H268" s="24" t="inlineStr">
        <is>
          <t>Add contextual internal links from and to related pages using descriptive anchor text.</t>
        </is>
      </c>
      <c r="I268" s="28" t="inlineStr">
        <is>
          <t>Links</t>
        </is>
      </c>
      <c r="J268" s="24" t="inlineStr">
        <is>
          <t>Internal Links Count</t>
        </is>
      </c>
      <c r="K268" s="24" t="inlineStr">
        <is>
          <t>No</t>
        </is>
      </c>
      <c r="L268" s="24" t="inlineStr">
        <is>
          <t>Copy Writer</t>
        </is>
      </c>
      <c r="M268" s="25" t="inlineStr">
        <is>
          <t>Open</t>
        </is>
      </c>
      <c r="N268" s="24" t="n">
        <v>4</v>
      </c>
      <c r="O268" s="24" t="inlineStr">
        <is>
          <t>https://africanmarketingconfederation.org/amc-conference-2022/::aioseo_no_internal_links_found</t>
        </is>
      </c>
      <c r="P268" s="24" t="inlineStr">
        <is>
          <t>Internal links help discovery, topical signals, and authority flow.</t>
        </is>
      </c>
      <c r="Q268">
        <f>IFERROR(HYPERLINK("#Main!A"&amp;MATCH(A268,Main!A:A,0),"Open"),HYPERLINK("#Main!A1","Open"))</f>
        <v/>
      </c>
      <c r="R268">
        <f>IFERROR(HYPERLINK("#Technical!A"&amp;MATCH(A268,Technical!A:A,0),"Open"),HYPERLINK("#Technical!A1","Open"))</f>
        <v/>
      </c>
    </row>
    <row r="269" ht="30" customHeight="1">
      <c r="A269" s="33" t="inlineStr">
        <is>
          <t>https://africanmarketingconfederation.org/amc-conference-2023/</t>
        </is>
      </c>
      <c r="B269" s="6" t="inlineStr">
        <is>
          <t>Basic SEO</t>
        </is>
      </c>
      <c r="C269" s="29" t="inlineStr">
        <is>
          <t>Info</t>
        </is>
      </c>
      <c r="D269" s="6" t="inlineStr">
        <is>
          <t>Meta description too long</t>
        </is>
      </c>
      <c r="E269" s="6" t="n">
        <v>37</v>
      </c>
      <c r="F269" s="6" t="n">
        <v>398</v>
      </c>
      <c r="G269" s="6" t="inlineStr">
        <is>
          <t>120-160 characters</t>
        </is>
      </c>
      <c r="H269" s="6" t="inlineStr">
        <is>
          <t>Trim meta description in AIOSEO and front-load essential context.</t>
        </is>
      </c>
      <c r="I269" s="31" t="inlineStr">
        <is>
          <t>Main</t>
        </is>
      </c>
      <c r="J269" s="6" t="inlineStr">
        <is>
          <t>Meta Description</t>
        </is>
      </c>
      <c r="K269" s="6" t="inlineStr">
        <is>
          <t>No</t>
        </is>
      </c>
      <c r="L269" s="6" t="inlineStr">
        <is>
          <t>Copy Writer</t>
        </is>
      </c>
      <c r="M269" s="25" t="inlineStr">
        <is>
          <t>Open</t>
        </is>
      </c>
      <c r="N269" s="6" t="n">
        <v>4</v>
      </c>
      <c r="O269" s="6" t="inlineStr">
        <is>
          <t>https://africanmarketingconfederation.org/amc-conference-2023/::aioseo_meta_description_too_long</t>
        </is>
      </c>
      <c r="P269" s="6" t="inlineStr">
        <is>
          <t>Long descriptions are often truncated and lose message clarity.</t>
        </is>
      </c>
      <c r="Q269">
        <f>IFERROR(HYPERLINK("#Main!A"&amp;MATCH(A269,Main!A:A,0),"Open"),HYPERLINK("#Main!A1","Open"))</f>
        <v/>
      </c>
      <c r="R269">
        <f>IFERROR(HYPERLINK("#Technical!A"&amp;MATCH(A269,Technical!A:A,0),"Open"),HYPERLINK("#Technical!A1","Open"))</f>
        <v/>
      </c>
    </row>
    <row r="270" ht="30" customHeight="1">
      <c r="A270" s="33" t="inlineStr">
        <is>
          <t>https://africanmarketingconfederation.org/amc-conference-2023/</t>
        </is>
      </c>
      <c r="B270" s="24" t="inlineStr">
        <is>
          <t>Basic SEO</t>
        </is>
      </c>
      <c r="C270" s="29" t="inlineStr">
        <is>
          <t>Info</t>
        </is>
      </c>
      <c r="D270" s="24" t="inlineStr">
        <is>
          <t>No internal links found</t>
        </is>
      </c>
      <c r="E270" s="24" t="n">
        <v>37</v>
      </c>
      <c r="F270" s="24" t="n">
        <v>0</v>
      </c>
      <c r="G270" s="24" t="inlineStr">
        <is>
          <t>&gt;=2 relevant internal links</t>
        </is>
      </c>
      <c r="H270" s="24" t="inlineStr">
        <is>
          <t>Add contextual internal links from and to related pages using descriptive anchor text.</t>
        </is>
      </c>
      <c r="I270" s="28" t="inlineStr">
        <is>
          <t>Links</t>
        </is>
      </c>
      <c r="J270" s="24" t="inlineStr">
        <is>
          <t>Internal Links Count</t>
        </is>
      </c>
      <c r="K270" s="24" t="inlineStr">
        <is>
          <t>No</t>
        </is>
      </c>
      <c r="L270" s="24" t="inlineStr">
        <is>
          <t>Copy Writer</t>
        </is>
      </c>
      <c r="M270" s="25" t="inlineStr">
        <is>
          <t>Open</t>
        </is>
      </c>
      <c r="N270" s="24" t="n">
        <v>4</v>
      </c>
      <c r="O270" s="24" t="inlineStr">
        <is>
          <t>https://africanmarketingconfederation.org/amc-conference-2023/::aioseo_no_internal_links_found</t>
        </is>
      </c>
      <c r="P270" s="24" t="inlineStr">
        <is>
          <t>Internal links help discovery, topical signals, and authority flow.</t>
        </is>
      </c>
      <c r="Q270">
        <f>IFERROR(HYPERLINK("#Main!A"&amp;MATCH(A270,Main!A:A,0),"Open"),HYPERLINK("#Main!A1","Open"))</f>
        <v/>
      </c>
      <c r="R270">
        <f>IFERROR(HYPERLINK("#Technical!A"&amp;MATCH(A270,Technical!A:A,0),"Open"),HYPERLINK("#Technical!A1","Open"))</f>
        <v/>
      </c>
    </row>
    <row r="271" ht="30" customHeight="1">
      <c r="A271" s="33" t="inlineStr">
        <is>
          <t>https://africanmarketingconfederation.org/amc-conference-2023/amc-awards-book-now/</t>
        </is>
      </c>
      <c r="B271" s="6" t="inlineStr">
        <is>
          <t>Basic SEO</t>
        </is>
      </c>
      <c r="C271" s="29" t="inlineStr">
        <is>
          <t>Info</t>
        </is>
      </c>
      <c r="D271" s="6" t="inlineStr">
        <is>
          <t>No internal links found</t>
        </is>
      </c>
      <c r="E271" s="6" t="n">
        <v>37</v>
      </c>
      <c r="F271" s="6" t="n">
        <v>0</v>
      </c>
      <c r="G271" s="6" t="inlineStr">
        <is>
          <t>&gt;=2 relevant internal links</t>
        </is>
      </c>
      <c r="H271" s="6" t="inlineStr">
        <is>
          <t>Add contextual internal links from and to related pages using descriptive anchor text.</t>
        </is>
      </c>
      <c r="I271" s="31" t="inlineStr">
        <is>
          <t>Links</t>
        </is>
      </c>
      <c r="J271" s="6" t="inlineStr">
        <is>
          <t>Internal Links Count</t>
        </is>
      </c>
      <c r="K271" s="6" t="inlineStr">
        <is>
          <t>No</t>
        </is>
      </c>
      <c r="L271" s="6" t="inlineStr">
        <is>
          <t>Copy Writer</t>
        </is>
      </c>
      <c r="M271" s="25" t="inlineStr">
        <is>
          <t>Open</t>
        </is>
      </c>
      <c r="N271" s="6" t="n">
        <v>4</v>
      </c>
      <c r="O271" s="6" t="inlineStr">
        <is>
          <t>https://africanmarketingconfederation.org/amc-conference-2023/amc-awards-book-now/::aioseo_no_internal_links_found</t>
        </is>
      </c>
      <c r="P271" s="6" t="inlineStr">
        <is>
          <t>Internal links help discovery, topical signals, and authority flow.</t>
        </is>
      </c>
      <c r="Q271">
        <f>IFERROR(HYPERLINK("#Main!A"&amp;MATCH(A271,Main!A:A,0),"Open"),HYPERLINK("#Main!A1","Open"))</f>
        <v/>
      </c>
      <c r="R271">
        <f>IFERROR(HYPERLINK("#Technical!A"&amp;MATCH(A271,Technical!A:A,0),"Open"),HYPERLINK("#Technical!A1","Open"))</f>
        <v/>
      </c>
    </row>
    <row r="272" ht="30" customHeight="1">
      <c r="A272" s="33" t="inlineStr">
        <is>
          <t>https://africanmarketingconfederation.org/amc-conference-2023/amc-awards/</t>
        </is>
      </c>
      <c r="B272" s="24" t="inlineStr">
        <is>
          <t>Basic SEO</t>
        </is>
      </c>
      <c r="C272" s="29" t="inlineStr">
        <is>
          <t>Info</t>
        </is>
      </c>
      <c r="D272" s="24" t="inlineStr">
        <is>
          <t>Meta description too long</t>
        </is>
      </c>
      <c r="E272" s="24" t="n">
        <v>37</v>
      </c>
      <c r="F272" s="24" t="n">
        <v>432</v>
      </c>
      <c r="G272" s="24" t="inlineStr">
        <is>
          <t>120-160 characters</t>
        </is>
      </c>
      <c r="H272" s="24" t="inlineStr">
        <is>
          <t>Trim meta description in AIOSEO and front-load essential context.</t>
        </is>
      </c>
      <c r="I272" s="28" t="inlineStr">
        <is>
          <t>Main</t>
        </is>
      </c>
      <c r="J272" s="24" t="inlineStr">
        <is>
          <t>Meta Description</t>
        </is>
      </c>
      <c r="K272" s="24" t="inlineStr">
        <is>
          <t>No</t>
        </is>
      </c>
      <c r="L272" s="24" t="inlineStr">
        <is>
          <t>Copy Writer</t>
        </is>
      </c>
      <c r="M272" s="25" t="inlineStr">
        <is>
          <t>Open</t>
        </is>
      </c>
      <c r="N272" s="24" t="n">
        <v>4</v>
      </c>
      <c r="O272" s="24" t="inlineStr">
        <is>
          <t>https://africanmarketingconfederation.org/amc-conference-2023/amc-awards/::aioseo_meta_description_too_long</t>
        </is>
      </c>
      <c r="P272" s="24" t="inlineStr">
        <is>
          <t>Long descriptions are often truncated and lose message clarity.</t>
        </is>
      </c>
      <c r="Q272">
        <f>IFERROR(HYPERLINK("#Main!A"&amp;MATCH(A272,Main!A:A,0),"Open"),HYPERLINK("#Main!A1","Open"))</f>
        <v/>
      </c>
      <c r="R272">
        <f>IFERROR(HYPERLINK("#Technical!A"&amp;MATCH(A272,Technical!A:A,0),"Open"),HYPERLINK("#Technical!A1","Open"))</f>
        <v/>
      </c>
    </row>
    <row r="273" ht="30" customHeight="1">
      <c r="A273" s="33" t="inlineStr">
        <is>
          <t>https://africanmarketingconfederation.org/amc-conference-2023/amc-awards/</t>
        </is>
      </c>
      <c r="B273" s="6" t="inlineStr">
        <is>
          <t>Basic SEO</t>
        </is>
      </c>
      <c r="C273" s="29" t="inlineStr">
        <is>
          <t>Info</t>
        </is>
      </c>
      <c r="D273" s="6" t="inlineStr">
        <is>
          <t>No internal links found</t>
        </is>
      </c>
      <c r="E273" s="6" t="n">
        <v>37</v>
      </c>
      <c r="F273" s="6" t="n">
        <v>0</v>
      </c>
      <c r="G273" s="6" t="inlineStr">
        <is>
          <t>&gt;=2 relevant internal links</t>
        </is>
      </c>
      <c r="H273" s="6" t="inlineStr">
        <is>
          <t>Add contextual internal links from and to related pages using descriptive anchor text.</t>
        </is>
      </c>
      <c r="I273" s="31" t="inlineStr">
        <is>
          <t>Links</t>
        </is>
      </c>
      <c r="J273" s="6" t="inlineStr">
        <is>
          <t>Internal Links Count</t>
        </is>
      </c>
      <c r="K273" s="6" t="inlineStr">
        <is>
          <t>No</t>
        </is>
      </c>
      <c r="L273" s="6" t="inlineStr">
        <is>
          <t>Copy Writer</t>
        </is>
      </c>
      <c r="M273" s="25" t="inlineStr">
        <is>
          <t>Open</t>
        </is>
      </c>
      <c r="N273" s="6" t="n">
        <v>4</v>
      </c>
      <c r="O273" s="6" t="inlineStr">
        <is>
          <t>https://africanmarketingconfederation.org/amc-conference-2023/amc-awards/::aioseo_no_internal_links_found</t>
        </is>
      </c>
      <c r="P273" s="6" t="inlineStr">
        <is>
          <t>Internal links help discovery, topical signals, and authority flow.</t>
        </is>
      </c>
      <c r="Q273">
        <f>IFERROR(HYPERLINK("#Main!A"&amp;MATCH(A273,Main!A:A,0),"Open"),HYPERLINK("#Main!A1","Open"))</f>
        <v/>
      </c>
      <c r="R273">
        <f>IFERROR(HYPERLINK("#Technical!A"&amp;MATCH(A273,Technical!A:A,0),"Open"),HYPERLINK("#Technical!A1","Open"))</f>
        <v/>
      </c>
    </row>
    <row r="274" ht="30" customHeight="1">
      <c r="A274" s="33" t="inlineStr">
        <is>
          <t>https://africanmarketingconfederation.org/amc-conference-2023/book-now-thank-you/</t>
        </is>
      </c>
      <c r="B274" s="24" t="inlineStr">
        <is>
          <t>Basic SEO</t>
        </is>
      </c>
      <c r="C274" s="29" t="inlineStr">
        <is>
          <t>Info</t>
        </is>
      </c>
      <c r="D274" s="24" t="inlineStr">
        <is>
          <t>Meta description too long</t>
        </is>
      </c>
      <c r="E274" s="24" t="n">
        <v>37</v>
      </c>
      <c r="F274" s="24" t="n">
        <v>379</v>
      </c>
      <c r="G274" s="24" t="inlineStr">
        <is>
          <t>120-160 characters</t>
        </is>
      </c>
      <c r="H274" s="24" t="inlineStr">
        <is>
          <t>Trim meta description in AIOSEO and front-load essential context.</t>
        </is>
      </c>
      <c r="I274" s="28" t="inlineStr">
        <is>
          <t>Main</t>
        </is>
      </c>
      <c r="J274" s="24" t="inlineStr">
        <is>
          <t>Meta Description</t>
        </is>
      </c>
      <c r="K274" s="24" t="inlineStr">
        <is>
          <t>No</t>
        </is>
      </c>
      <c r="L274" s="24" t="inlineStr">
        <is>
          <t>Copy Writer</t>
        </is>
      </c>
      <c r="M274" s="25" t="inlineStr">
        <is>
          <t>Open</t>
        </is>
      </c>
      <c r="N274" s="24" t="n">
        <v>4</v>
      </c>
      <c r="O274" s="24" t="inlineStr">
        <is>
          <t>https://africanmarketingconfederation.org/amc-conference-2023/book-now-thank-you/::aioseo_meta_description_too_long</t>
        </is>
      </c>
      <c r="P274" s="24" t="inlineStr">
        <is>
          <t>Long descriptions are often truncated and lose message clarity.</t>
        </is>
      </c>
      <c r="Q274">
        <f>IFERROR(HYPERLINK("#Main!A"&amp;MATCH(A274,Main!A:A,0),"Open"),HYPERLINK("#Main!A1","Open"))</f>
        <v/>
      </c>
      <c r="R274">
        <f>IFERROR(HYPERLINK("#Technical!A"&amp;MATCH(A274,Technical!A:A,0),"Open"),HYPERLINK("#Technical!A1","Open"))</f>
        <v/>
      </c>
    </row>
    <row r="275" ht="30" customHeight="1">
      <c r="A275" s="33" t="inlineStr">
        <is>
          <t>https://africanmarketingconfederation.org/amc-conference-2023/book-now-thank-you/</t>
        </is>
      </c>
      <c r="B275" s="6" t="inlineStr">
        <is>
          <t>Basic SEO</t>
        </is>
      </c>
      <c r="C275" s="29" t="inlineStr">
        <is>
          <t>Info</t>
        </is>
      </c>
      <c r="D275" s="6" t="inlineStr">
        <is>
          <t>No internal links found</t>
        </is>
      </c>
      <c r="E275" s="6" t="n">
        <v>37</v>
      </c>
      <c r="F275" s="6" t="n">
        <v>0</v>
      </c>
      <c r="G275" s="6" t="inlineStr">
        <is>
          <t>&gt;=2 relevant internal links</t>
        </is>
      </c>
      <c r="H275" s="6" t="inlineStr">
        <is>
          <t>Add contextual internal links from and to related pages using descriptive anchor text.</t>
        </is>
      </c>
      <c r="I275" s="31" t="inlineStr">
        <is>
          <t>Links</t>
        </is>
      </c>
      <c r="J275" s="6" t="inlineStr">
        <is>
          <t>Internal Links Count</t>
        </is>
      </c>
      <c r="K275" s="6" t="inlineStr">
        <is>
          <t>No</t>
        </is>
      </c>
      <c r="L275" s="6" t="inlineStr">
        <is>
          <t>Copy Writer</t>
        </is>
      </c>
      <c r="M275" s="25" t="inlineStr">
        <is>
          <t>Open</t>
        </is>
      </c>
      <c r="N275" s="6" t="n">
        <v>4</v>
      </c>
      <c r="O275" s="6" t="inlineStr">
        <is>
          <t>https://africanmarketingconfederation.org/amc-conference-2023/book-now-thank-you/::aioseo_no_internal_links_found</t>
        </is>
      </c>
      <c r="P275" s="6" t="inlineStr">
        <is>
          <t>Internal links help discovery, topical signals, and authority flow.</t>
        </is>
      </c>
      <c r="Q275">
        <f>IFERROR(HYPERLINK("#Main!A"&amp;MATCH(A275,Main!A:A,0),"Open"),HYPERLINK("#Main!A1","Open"))</f>
        <v/>
      </c>
      <c r="R275">
        <f>IFERROR(HYPERLINK("#Technical!A"&amp;MATCH(A275,Technical!A:A,0),"Open"),HYPERLINK("#Technical!A1","Open"))</f>
        <v/>
      </c>
    </row>
    <row r="276" ht="30" customHeight="1">
      <c r="A276" s="33" t="inlineStr">
        <is>
          <t>https://africanmarketingconfederation.org/amc-conference-2023/book-now/</t>
        </is>
      </c>
      <c r="B276" s="24" t="inlineStr">
        <is>
          <t>Basic SEO</t>
        </is>
      </c>
      <c r="C276" s="29" t="inlineStr">
        <is>
          <t>Info</t>
        </is>
      </c>
      <c r="D276" s="24" t="inlineStr">
        <is>
          <t>Meta description too long</t>
        </is>
      </c>
      <c r="E276" s="24" t="n">
        <v>37</v>
      </c>
      <c r="F276" s="24" t="n">
        <v>316</v>
      </c>
      <c r="G276" s="24" t="inlineStr">
        <is>
          <t>120-160 characters</t>
        </is>
      </c>
      <c r="H276" s="24" t="inlineStr">
        <is>
          <t>Trim meta description in AIOSEO and front-load essential context.</t>
        </is>
      </c>
      <c r="I276" s="28" t="inlineStr">
        <is>
          <t>Main</t>
        </is>
      </c>
      <c r="J276" s="24" t="inlineStr">
        <is>
          <t>Meta Description</t>
        </is>
      </c>
      <c r="K276" s="24" t="inlineStr">
        <is>
          <t>No</t>
        </is>
      </c>
      <c r="L276" s="24" t="inlineStr">
        <is>
          <t>Copy Writer</t>
        </is>
      </c>
      <c r="M276" s="25" t="inlineStr">
        <is>
          <t>Open</t>
        </is>
      </c>
      <c r="N276" s="24" t="n">
        <v>4</v>
      </c>
      <c r="O276" s="24" t="inlineStr">
        <is>
          <t>https://africanmarketingconfederation.org/amc-conference-2023/book-now/::aioseo_meta_description_too_long</t>
        </is>
      </c>
      <c r="P276" s="24" t="inlineStr">
        <is>
          <t>Long descriptions are often truncated and lose message clarity.</t>
        </is>
      </c>
      <c r="Q276">
        <f>IFERROR(HYPERLINK("#Main!A"&amp;MATCH(A276,Main!A:A,0),"Open"),HYPERLINK("#Main!A1","Open"))</f>
        <v/>
      </c>
      <c r="R276">
        <f>IFERROR(HYPERLINK("#Technical!A"&amp;MATCH(A276,Technical!A:A,0),"Open"),HYPERLINK("#Technical!A1","Open"))</f>
        <v/>
      </c>
    </row>
    <row r="277" ht="30" customHeight="1">
      <c r="A277" s="33" t="inlineStr">
        <is>
          <t>https://africanmarketingconfederation.org/amc-conference-2023/book-now/</t>
        </is>
      </c>
      <c r="B277" s="6" t="inlineStr">
        <is>
          <t>Basic SEO</t>
        </is>
      </c>
      <c r="C277" s="29" t="inlineStr">
        <is>
          <t>Info</t>
        </is>
      </c>
      <c r="D277" s="6" t="inlineStr">
        <is>
          <t>No internal links found</t>
        </is>
      </c>
      <c r="E277" s="6" t="n">
        <v>37</v>
      </c>
      <c r="F277" s="6" t="n">
        <v>0</v>
      </c>
      <c r="G277" s="6" t="inlineStr">
        <is>
          <t>&gt;=2 relevant internal links</t>
        </is>
      </c>
      <c r="H277" s="6" t="inlineStr">
        <is>
          <t>Add contextual internal links from and to related pages using descriptive anchor text.</t>
        </is>
      </c>
      <c r="I277" s="31" t="inlineStr">
        <is>
          <t>Links</t>
        </is>
      </c>
      <c r="J277" s="6" t="inlineStr">
        <is>
          <t>Internal Links Count</t>
        </is>
      </c>
      <c r="K277" s="6" t="inlineStr">
        <is>
          <t>No</t>
        </is>
      </c>
      <c r="L277" s="6" t="inlineStr">
        <is>
          <t>Copy Writer</t>
        </is>
      </c>
      <c r="M277" s="25" t="inlineStr">
        <is>
          <t>Open</t>
        </is>
      </c>
      <c r="N277" s="6" t="n">
        <v>4</v>
      </c>
      <c r="O277" s="6" t="inlineStr">
        <is>
          <t>https://africanmarketingconfederation.org/amc-conference-2023/book-now/::aioseo_no_internal_links_found</t>
        </is>
      </c>
      <c r="P277" s="6" t="inlineStr">
        <is>
          <t>Internal links help discovery, topical signals, and authority flow.</t>
        </is>
      </c>
      <c r="Q277">
        <f>IFERROR(HYPERLINK("#Main!A"&amp;MATCH(A277,Main!A:A,0),"Open"),HYPERLINK("#Main!A1","Open"))</f>
        <v/>
      </c>
      <c r="R277">
        <f>IFERROR(HYPERLINK("#Technical!A"&amp;MATCH(A277,Technical!A:A,0),"Open"),HYPERLINK("#Technical!A1","Open"))</f>
        <v/>
      </c>
    </row>
    <row r="278" ht="30" customHeight="1">
      <c r="A278" s="33" t="inlineStr">
        <is>
          <t>https://africanmarketingconfederation.org/amc-conference-2023/download-prospectus/</t>
        </is>
      </c>
      <c r="B278" s="24" t="inlineStr">
        <is>
          <t>Basic SEO</t>
        </is>
      </c>
      <c r="C278" s="29" t="inlineStr">
        <is>
          <t>Info</t>
        </is>
      </c>
      <c r="D278" s="24" t="inlineStr">
        <is>
          <t>Meta description too long</t>
        </is>
      </c>
      <c r="E278" s="24" t="n">
        <v>37</v>
      </c>
      <c r="F278" s="24" t="n">
        <v>340</v>
      </c>
      <c r="G278" s="24" t="inlineStr">
        <is>
          <t>120-160 characters</t>
        </is>
      </c>
      <c r="H278" s="24" t="inlineStr">
        <is>
          <t>Trim meta description in AIOSEO and front-load essential context.</t>
        </is>
      </c>
      <c r="I278" s="28" t="inlineStr">
        <is>
          <t>Main</t>
        </is>
      </c>
      <c r="J278" s="24" t="inlineStr">
        <is>
          <t>Meta Description</t>
        </is>
      </c>
      <c r="K278" s="24" t="inlineStr">
        <is>
          <t>No</t>
        </is>
      </c>
      <c r="L278" s="24" t="inlineStr">
        <is>
          <t>Copy Writer</t>
        </is>
      </c>
      <c r="M278" s="25" t="inlineStr">
        <is>
          <t>Open</t>
        </is>
      </c>
      <c r="N278" s="24" t="n">
        <v>4</v>
      </c>
      <c r="O278" s="24" t="inlineStr">
        <is>
          <t>https://africanmarketingconfederation.org/amc-conference-2023/download-prospectus/::aioseo_meta_description_too_long</t>
        </is>
      </c>
      <c r="P278" s="24" t="inlineStr">
        <is>
          <t>Long descriptions are often truncated and lose message clarity.</t>
        </is>
      </c>
      <c r="Q278">
        <f>IFERROR(HYPERLINK("#Main!A"&amp;MATCH(A278,Main!A:A,0),"Open"),HYPERLINK("#Main!A1","Open"))</f>
        <v/>
      </c>
      <c r="R278">
        <f>IFERROR(HYPERLINK("#Technical!A"&amp;MATCH(A278,Technical!A:A,0),"Open"),HYPERLINK("#Technical!A1","Open"))</f>
        <v/>
      </c>
    </row>
    <row r="279" ht="30" customHeight="1">
      <c r="A279" s="33" t="inlineStr">
        <is>
          <t>https://africanmarketingconfederation.org/amc-conference-2023/download-prospectus/</t>
        </is>
      </c>
      <c r="B279" s="6" t="inlineStr">
        <is>
          <t>Basic SEO</t>
        </is>
      </c>
      <c r="C279" s="29" t="inlineStr">
        <is>
          <t>Info</t>
        </is>
      </c>
      <c r="D279" s="6" t="inlineStr">
        <is>
          <t>No internal links found</t>
        </is>
      </c>
      <c r="E279" s="6" t="n">
        <v>37</v>
      </c>
      <c r="F279" s="6" t="n">
        <v>0</v>
      </c>
      <c r="G279" s="6" t="inlineStr">
        <is>
          <t>&gt;=2 relevant internal links</t>
        </is>
      </c>
      <c r="H279" s="6" t="inlineStr">
        <is>
          <t>Add contextual internal links from and to related pages using descriptive anchor text.</t>
        </is>
      </c>
      <c r="I279" s="31" t="inlineStr">
        <is>
          <t>Links</t>
        </is>
      </c>
      <c r="J279" s="6" t="inlineStr">
        <is>
          <t>Internal Links Count</t>
        </is>
      </c>
      <c r="K279" s="6" t="inlineStr">
        <is>
          <t>No</t>
        </is>
      </c>
      <c r="L279" s="6" t="inlineStr">
        <is>
          <t>Copy Writer</t>
        </is>
      </c>
      <c r="M279" s="25" t="inlineStr">
        <is>
          <t>Open</t>
        </is>
      </c>
      <c r="N279" s="6" t="n">
        <v>4</v>
      </c>
      <c r="O279" s="6" t="inlineStr">
        <is>
          <t>https://africanmarketingconfederation.org/amc-conference-2023/download-prospectus/::aioseo_no_internal_links_found</t>
        </is>
      </c>
      <c r="P279" s="6" t="inlineStr">
        <is>
          <t>Internal links help discovery, topical signals, and authority flow.</t>
        </is>
      </c>
      <c r="Q279">
        <f>IFERROR(HYPERLINK("#Main!A"&amp;MATCH(A279,Main!A:A,0),"Open"),HYPERLINK("#Main!A1","Open"))</f>
        <v/>
      </c>
      <c r="R279">
        <f>IFERROR(HYPERLINK("#Technical!A"&amp;MATCH(A279,Technical!A:A,0),"Open"),HYPERLINK("#Technical!A1","Open"))</f>
        <v/>
      </c>
    </row>
    <row r="280" ht="30" customHeight="1">
      <c r="A280" s="33" t="inlineStr">
        <is>
          <t>https://africanmarketingconfederation.org/amc-conference-2023/gallery/</t>
        </is>
      </c>
      <c r="B280" s="24" t="inlineStr">
        <is>
          <t>Basic SEO</t>
        </is>
      </c>
      <c r="C280" s="29" t="inlineStr">
        <is>
          <t>Info</t>
        </is>
      </c>
      <c r="D280" s="24" t="inlineStr">
        <is>
          <t>Meta description too short</t>
        </is>
      </c>
      <c r="E280" s="24" t="n">
        <v>37</v>
      </c>
      <c r="F280" s="24" t="n">
        <v>88</v>
      </c>
      <c r="G280" s="24" t="inlineStr">
        <is>
          <t>120-160 characters</t>
        </is>
      </c>
      <c r="H280" s="24" t="inlineStr">
        <is>
          <t>Expand meta description in AIOSEO to include key value points and intent terms naturally.</t>
        </is>
      </c>
      <c r="I280" s="28" t="inlineStr">
        <is>
          <t>Main</t>
        </is>
      </c>
      <c r="J280" s="24" t="inlineStr">
        <is>
          <t>Meta Description</t>
        </is>
      </c>
      <c r="K280" s="24" t="inlineStr">
        <is>
          <t>No</t>
        </is>
      </c>
      <c r="L280" s="24" t="inlineStr">
        <is>
          <t>Copy Writer</t>
        </is>
      </c>
      <c r="M280" s="25" t="inlineStr">
        <is>
          <t>Open</t>
        </is>
      </c>
      <c r="N280" s="24" t="n">
        <v>4</v>
      </c>
      <c r="O280" s="24" t="inlineStr">
        <is>
          <t>https://africanmarketingconfederation.org/amc-conference-2023/gallery/::aioseo_meta_description_too_short</t>
        </is>
      </c>
      <c r="P280" s="24" t="inlineStr">
        <is>
          <t>Short descriptions can under-communicate relevance and value.</t>
        </is>
      </c>
      <c r="Q280">
        <f>IFERROR(HYPERLINK("#Main!A"&amp;MATCH(A280,Main!A:A,0),"Open"),HYPERLINK("#Main!A1","Open"))</f>
        <v/>
      </c>
      <c r="R280">
        <f>IFERROR(HYPERLINK("#Technical!A"&amp;MATCH(A280,Technical!A:A,0),"Open"),HYPERLINK("#Technical!A1","Open"))</f>
        <v/>
      </c>
    </row>
    <row r="281" ht="30" customHeight="1">
      <c r="A281" s="33" t="inlineStr">
        <is>
          <t>https://africanmarketingconfederation.org/amc-conference-2023/gallery/</t>
        </is>
      </c>
      <c r="B281" s="6" t="inlineStr">
        <is>
          <t>Basic SEO</t>
        </is>
      </c>
      <c r="C281" s="29" t="inlineStr">
        <is>
          <t>Info</t>
        </is>
      </c>
      <c r="D281" s="6" t="inlineStr">
        <is>
          <t>No internal links found</t>
        </is>
      </c>
      <c r="E281" s="6" t="n">
        <v>37</v>
      </c>
      <c r="F281" s="6" t="n">
        <v>0</v>
      </c>
      <c r="G281" s="6" t="inlineStr">
        <is>
          <t>&gt;=2 relevant internal links</t>
        </is>
      </c>
      <c r="H281" s="6" t="inlineStr">
        <is>
          <t>Add contextual internal links from and to related pages using descriptive anchor text.</t>
        </is>
      </c>
      <c r="I281" s="31" t="inlineStr">
        <is>
          <t>Links</t>
        </is>
      </c>
      <c r="J281" s="6" t="inlineStr">
        <is>
          <t>Internal Links Count</t>
        </is>
      </c>
      <c r="K281" s="6" t="inlineStr">
        <is>
          <t>No</t>
        </is>
      </c>
      <c r="L281" s="6" t="inlineStr">
        <is>
          <t>Copy Writer</t>
        </is>
      </c>
      <c r="M281" s="25" t="inlineStr">
        <is>
          <t>Open</t>
        </is>
      </c>
      <c r="N281" s="6" t="n">
        <v>4</v>
      </c>
      <c r="O281" s="6" t="inlineStr">
        <is>
          <t>https://africanmarketingconfederation.org/amc-conference-2023/gallery/::aioseo_no_internal_links_found</t>
        </is>
      </c>
      <c r="P281" s="6" t="inlineStr">
        <is>
          <t>Internal links help discovery, topical signals, and authority flow.</t>
        </is>
      </c>
      <c r="Q281">
        <f>IFERROR(HYPERLINK("#Main!A"&amp;MATCH(A281,Main!A:A,0),"Open"),HYPERLINK("#Main!A1","Open"))</f>
        <v/>
      </c>
      <c r="R281">
        <f>IFERROR(HYPERLINK("#Technical!A"&amp;MATCH(A281,Technical!A:A,0),"Open"),HYPERLINK("#Technical!A1","Open"))</f>
        <v/>
      </c>
    </row>
    <row r="282" ht="30" customHeight="1">
      <c r="A282" s="33" t="inlineStr">
        <is>
          <t>https://africanmarketingconfederation.org/amc-conference-2023/partners/</t>
        </is>
      </c>
      <c r="B282" s="24" t="inlineStr">
        <is>
          <t>Basic SEO</t>
        </is>
      </c>
      <c r="C282" s="29" t="inlineStr">
        <is>
          <t>Info</t>
        </is>
      </c>
      <c r="D282" s="24" t="inlineStr">
        <is>
          <t>Meta description too short</t>
        </is>
      </c>
      <c r="E282" s="24" t="n">
        <v>37</v>
      </c>
      <c r="F282" s="24" t="n">
        <v>37</v>
      </c>
      <c r="G282" s="24" t="inlineStr">
        <is>
          <t>120-160 characters</t>
        </is>
      </c>
      <c r="H282" s="24" t="inlineStr">
        <is>
          <t>Expand meta description in AIOSEO to include key value points and intent terms naturally.</t>
        </is>
      </c>
      <c r="I282" s="28" t="inlineStr">
        <is>
          <t>Main</t>
        </is>
      </c>
      <c r="J282" s="24" t="inlineStr">
        <is>
          <t>Meta Description</t>
        </is>
      </c>
      <c r="K282" s="24" t="inlineStr">
        <is>
          <t>No</t>
        </is>
      </c>
      <c r="L282" s="24" t="inlineStr">
        <is>
          <t>Copy Writer</t>
        </is>
      </c>
      <c r="M282" s="25" t="inlineStr">
        <is>
          <t>Open</t>
        </is>
      </c>
      <c r="N282" s="24" t="n">
        <v>4</v>
      </c>
      <c r="O282" s="24" t="inlineStr">
        <is>
          <t>https://africanmarketingconfederation.org/amc-conference-2023/partners/::aioseo_meta_description_too_short</t>
        </is>
      </c>
      <c r="P282" s="24" t="inlineStr">
        <is>
          <t>Short descriptions can under-communicate relevance and value.</t>
        </is>
      </c>
      <c r="Q282">
        <f>IFERROR(HYPERLINK("#Main!A"&amp;MATCH(A282,Main!A:A,0),"Open"),HYPERLINK("#Main!A1","Open"))</f>
        <v/>
      </c>
      <c r="R282">
        <f>IFERROR(HYPERLINK("#Technical!A"&amp;MATCH(A282,Technical!A:A,0),"Open"),HYPERLINK("#Technical!A1","Open"))</f>
        <v/>
      </c>
    </row>
    <row r="283" ht="30" customHeight="1">
      <c r="A283" s="33" t="inlineStr">
        <is>
          <t>https://africanmarketingconfederation.org/amc-conference-2023/partners/</t>
        </is>
      </c>
      <c r="B283" s="6" t="inlineStr">
        <is>
          <t>Basic SEO</t>
        </is>
      </c>
      <c r="C283" s="29" t="inlineStr">
        <is>
          <t>Info</t>
        </is>
      </c>
      <c r="D283" s="6" t="inlineStr">
        <is>
          <t>No internal links found</t>
        </is>
      </c>
      <c r="E283" s="6" t="n">
        <v>37</v>
      </c>
      <c r="F283" s="6" t="n">
        <v>0</v>
      </c>
      <c r="G283" s="6" t="inlineStr">
        <is>
          <t>&gt;=2 relevant internal links</t>
        </is>
      </c>
      <c r="H283" s="6" t="inlineStr">
        <is>
          <t>Add contextual internal links from and to related pages using descriptive anchor text.</t>
        </is>
      </c>
      <c r="I283" s="31" t="inlineStr">
        <is>
          <t>Links</t>
        </is>
      </c>
      <c r="J283" s="6" t="inlineStr">
        <is>
          <t>Internal Links Count</t>
        </is>
      </c>
      <c r="K283" s="6" t="inlineStr">
        <is>
          <t>No</t>
        </is>
      </c>
      <c r="L283" s="6" t="inlineStr">
        <is>
          <t>Copy Writer</t>
        </is>
      </c>
      <c r="M283" s="25" t="inlineStr">
        <is>
          <t>Open</t>
        </is>
      </c>
      <c r="N283" s="6" t="n">
        <v>4</v>
      </c>
      <c r="O283" s="6" t="inlineStr">
        <is>
          <t>https://africanmarketingconfederation.org/amc-conference-2023/partners/::aioseo_no_internal_links_found</t>
        </is>
      </c>
      <c r="P283" s="6" t="inlineStr">
        <is>
          <t>Internal links help discovery, topical signals, and authority flow.</t>
        </is>
      </c>
      <c r="Q283">
        <f>IFERROR(HYPERLINK("#Main!A"&amp;MATCH(A283,Main!A:A,0),"Open"),HYPERLINK("#Main!A1","Open"))</f>
        <v/>
      </c>
      <c r="R283">
        <f>IFERROR(HYPERLINK("#Technical!A"&amp;MATCH(A283,Technical!A:A,0),"Open"),HYPERLINK("#Technical!A1","Open"))</f>
        <v/>
      </c>
    </row>
    <row r="284" ht="30" customHeight="1">
      <c r="A284" s="33" t="inlineStr">
        <is>
          <t>https://africanmarketingconfederation.org/amc-conference-2023/programme/</t>
        </is>
      </c>
      <c r="B284" s="24" t="inlineStr">
        <is>
          <t>Basic SEO</t>
        </is>
      </c>
      <c r="C284" s="29" t="inlineStr">
        <is>
          <t>Info</t>
        </is>
      </c>
      <c r="D284" s="24" t="inlineStr">
        <is>
          <t>Meta description too long</t>
        </is>
      </c>
      <c r="E284" s="24" t="n">
        <v>37</v>
      </c>
      <c r="F284" s="24" t="n">
        <v>362</v>
      </c>
      <c r="G284" s="24" t="inlineStr">
        <is>
          <t>120-160 characters</t>
        </is>
      </c>
      <c r="H284" s="24" t="inlineStr">
        <is>
          <t>Trim meta description in AIOSEO and front-load essential context.</t>
        </is>
      </c>
      <c r="I284" s="28" t="inlineStr">
        <is>
          <t>Main</t>
        </is>
      </c>
      <c r="J284" s="24" t="inlineStr">
        <is>
          <t>Meta Description</t>
        </is>
      </c>
      <c r="K284" s="24" t="inlineStr">
        <is>
          <t>No</t>
        </is>
      </c>
      <c r="L284" s="24" t="inlineStr">
        <is>
          <t>Copy Writer</t>
        </is>
      </c>
      <c r="M284" s="25" t="inlineStr">
        <is>
          <t>Open</t>
        </is>
      </c>
      <c r="N284" s="24" t="n">
        <v>4</v>
      </c>
      <c r="O284" s="24" t="inlineStr">
        <is>
          <t>https://africanmarketingconfederation.org/amc-conference-2023/programme/::aioseo_meta_description_too_long</t>
        </is>
      </c>
      <c r="P284" s="24" t="inlineStr">
        <is>
          <t>Long descriptions are often truncated and lose message clarity.</t>
        </is>
      </c>
      <c r="Q284">
        <f>IFERROR(HYPERLINK("#Main!A"&amp;MATCH(A284,Main!A:A,0),"Open"),HYPERLINK("#Main!A1","Open"))</f>
        <v/>
      </c>
      <c r="R284">
        <f>IFERROR(HYPERLINK("#Technical!A"&amp;MATCH(A284,Technical!A:A,0),"Open"),HYPERLINK("#Technical!A1","Open"))</f>
        <v/>
      </c>
    </row>
    <row r="285" ht="30" customHeight="1">
      <c r="A285" s="33" t="inlineStr">
        <is>
          <t>https://africanmarketingconfederation.org/amc-conference-2023/programme/</t>
        </is>
      </c>
      <c r="B285" s="6" t="inlineStr">
        <is>
          <t>Basic SEO</t>
        </is>
      </c>
      <c r="C285" s="29" t="inlineStr">
        <is>
          <t>Info</t>
        </is>
      </c>
      <c r="D285" s="6" t="inlineStr">
        <is>
          <t>No internal links found</t>
        </is>
      </c>
      <c r="E285" s="6" t="n">
        <v>37</v>
      </c>
      <c r="F285" s="6" t="n">
        <v>0</v>
      </c>
      <c r="G285" s="6" t="inlineStr">
        <is>
          <t>&gt;=2 relevant internal links</t>
        </is>
      </c>
      <c r="H285" s="6" t="inlineStr">
        <is>
          <t>Add contextual internal links from and to related pages using descriptive anchor text.</t>
        </is>
      </c>
      <c r="I285" s="31" t="inlineStr">
        <is>
          <t>Links</t>
        </is>
      </c>
      <c r="J285" s="6" t="inlineStr">
        <is>
          <t>Internal Links Count</t>
        </is>
      </c>
      <c r="K285" s="6" t="inlineStr">
        <is>
          <t>No</t>
        </is>
      </c>
      <c r="L285" s="6" t="inlineStr">
        <is>
          <t>Copy Writer</t>
        </is>
      </c>
      <c r="M285" s="25" t="inlineStr">
        <is>
          <t>Open</t>
        </is>
      </c>
      <c r="N285" s="6" t="n">
        <v>4</v>
      </c>
      <c r="O285" s="6" t="inlineStr">
        <is>
          <t>https://africanmarketingconfederation.org/amc-conference-2023/programme/::aioseo_no_internal_links_found</t>
        </is>
      </c>
      <c r="P285" s="6" t="inlineStr">
        <is>
          <t>Internal links help discovery, topical signals, and authority flow.</t>
        </is>
      </c>
      <c r="Q285">
        <f>IFERROR(HYPERLINK("#Main!A"&amp;MATCH(A285,Main!A:A,0),"Open"),HYPERLINK("#Main!A1","Open"))</f>
        <v/>
      </c>
      <c r="R285">
        <f>IFERROR(HYPERLINK("#Technical!A"&amp;MATCH(A285,Technical!A:A,0),"Open"),HYPERLINK("#Technical!A1","Open"))</f>
        <v/>
      </c>
    </row>
    <row r="286" ht="30" customHeight="1">
      <c r="A286" s="33" t="inlineStr">
        <is>
          <t>https://africanmarketingconfederation.org/amc-conference-2023/speakers/</t>
        </is>
      </c>
      <c r="B286" s="24" t="inlineStr">
        <is>
          <t>Basic SEO</t>
        </is>
      </c>
      <c r="C286" s="29" t="inlineStr">
        <is>
          <t>Info</t>
        </is>
      </c>
      <c r="D286" s="24" t="inlineStr">
        <is>
          <t>Meta description too long</t>
        </is>
      </c>
      <c r="E286" s="24" t="n">
        <v>37</v>
      </c>
      <c r="F286" s="24" t="n">
        <v>354</v>
      </c>
      <c r="G286" s="24" t="inlineStr">
        <is>
          <t>120-160 characters</t>
        </is>
      </c>
      <c r="H286" s="24" t="inlineStr">
        <is>
          <t>Trim meta description in AIOSEO and front-load essential context.</t>
        </is>
      </c>
      <c r="I286" s="28" t="inlineStr">
        <is>
          <t>Main</t>
        </is>
      </c>
      <c r="J286" s="24" t="inlineStr">
        <is>
          <t>Meta Description</t>
        </is>
      </c>
      <c r="K286" s="24" t="inlineStr">
        <is>
          <t>No</t>
        </is>
      </c>
      <c r="L286" s="24" t="inlineStr">
        <is>
          <t>Copy Writer</t>
        </is>
      </c>
      <c r="M286" s="25" t="inlineStr">
        <is>
          <t>Open</t>
        </is>
      </c>
      <c r="N286" s="24" t="n">
        <v>4</v>
      </c>
      <c r="O286" s="24" t="inlineStr">
        <is>
          <t>https://africanmarketingconfederation.org/amc-conference-2023/speakers/::aioseo_meta_description_too_long</t>
        </is>
      </c>
      <c r="P286" s="24" t="inlineStr">
        <is>
          <t>Long descriptions are often truncated and lose message clarity.</t>
        </is>
      </c>
      <c r="Q286">
        <f>IFERROR(HYPERLINK("#Main!A"&amp;MATCH(A286,Main!A:A,0),"Open"),HYPERLINK("#Main!A1","Open"))</f>
        <v/>
      </c>
      <c r="R286">
        <f>IFERROR(HYPERLINK("#Technical!A"&amp;MATCH(A286,Technical!A:A,0),"Open"),HYPERLINK("#Technical!A1","Open"))</f>
        <v/>
      </c>
    </row>
    <row r="287" ht="30" customHeight="1">
      <c r="A287" s="33" t="inlineStr">
        <is>
          <t>https://africanmarketingconfederation.org/amc-conference-2023/speakers/</t>
        </is>
      </c>
      <c r="B287" s="6" t="inlineStr">
        <is>
          <t>Basic SEO</t>
        </is>
      </c>
      <c r="C287" s="29" t="inlineStr">
        <is>
          <t>Info</t>
        </is>
      </c>
      <c r="D287" s="6" t="inlineStr">
        <is>
          <t>No internal links found</t>
        </is>
      </c>
      <c r="E287" s="6" t="n">
        <v>37</v>
      </c>
      <c r="F287" s="6" t="n">
        <v>0</v>
      </c>
      <c r="G287" s="6" t="inlineStr">
        <is>
          <t>&gt;=2 relevant internal links</t>
        </is>
      </c>
      <c r="H287" s="6" t="inlineStr">
        <is>
          <t>Add contextual internal links from and to related pages using descriptive anchor text.</t>
        </is>
      </c>
      <c r="I287" s="31" t="inlineStr">
        <is>
          <t>Links</t>
        </is>
      </c>
      <c r="J287" s="6" t="inlineStr">
        <is>
          <t>Internal Links Count</t>
        </is>
      </c>
      <c r="K287" s="6" t="inlineStr">
        <is>
          <t>No</t>
        </is>
      </c>
      <c r="L287" s="6" t="inlineStr">
        <is>
          <t>Copy Writer</t>
        </is>
      </c>
      <c r="M287" s="25" t="inlineStr">
        <is>
          <t>Open</t>
        </is>
      </c>
      <c r="N287" s="6" t="n">
        <v>4</v>
      </c>
      <c r="O287" s="6" t="inlineStr">
        <is>
          <t>https://africanmarketingconfederation.org/amc-conference-2023/speakers/::aioseo_no_internal_links_found</t>
        </is>
      </c>
      <c r="P287" s="6" t="inlineStr">
        <is>
          <t>Internal links help discovery, topical signals, and authority flow.</t>
        </is>
      </c>
      <c r="Q287">
        <f>IFERROR(HYPERLINK("#Main!A"&amp;MATCH(A287,Main!A:A,0),"Open"),HYPERLINK("#Main!A1","Open"))</f>
        <v/>
      </c>
      <c r="R287">
        <f>IFERROR(HYPERLINK("#Technical!A"&amp;MATCH(A287,Technical!A:A,0),"Open"),HYPERLINK("#Technical!A1","Open"))</f>
        <v/>
      </c>
    </row>
    <row r="288" ht="30" customHeight="1">
      <c r="A288" s="33" t="inlineStr">
        <is>
          <t>https://africanmarketingconfederation.org/amc-conference-2024-recap/</t>
        </is>
      </c>
      <c r="B288" s="24" t="inlineStr">
        <is>
          <t>Basic SEO</t>
        </is>
      </c>
      <c r="C288" s="29" t="inlineStr">
        <is>
          <t>Info</t>
        </is>
      </c>
      <c r="D288" s="24" t="inlineStr">
        <is>
          <t>Meta description too long</t>
        </is>
      </c>
      <c r="E288" s="24" t="n">
        <v>37</v>
      </c>
      <c r="F288" s="24" t="n">
        <v>377</v>
      </c>
      <c r="G288" s="24" t="inlineStr">
        <is>
          <t>120-160 characters</t>
        </is>
      </c>
      <c r="H288" s="24" t="inlineStr">
        <is>
          <t>Trim meta description in AIOSEO and front-load essential context.</t>
        </is>
      </c>
      <c r="I288" s="28" t="inlineStr">
        <is>
          <t>Main</t>
        </is>
      </c>
      <c r="J288" s="24" t="inlineStr">
        <is>
          <t>Meta Description</t>
        </is>
      </c>
      <c r="K288" s="24" t="inlineStr">
        <is>
          <t>No</t>
        </is>
      </c>
      <c r="L288" s="24" t="inlineStr">
        <is>
          <t>Copy Writer</t>
        </is>
      </c>
      <c r="M288" s="25" t="inlineStr">
        <is>
          <t>Open</t>
        </is>
      </c>
      <c r="N288" s="24" t="n">
        <v>4</v>
      </c>
      <c r="O288" s="24" t="inlineStr">
        <is>
          <t>https://africanmarketingconfederation.org/amc-conference-2024-recap/::aioseo_meta_description_too_long</t>
        </is>
      </c>
      <c r="P288" s="24" t="inlineStr">
        <is>
          <t>Long descriptions are often truncated and lose message clarity.</t>
        </is>
      </c>
      <c r="Q288">
        <f>IFERROR(HYPERLINK("#Main!A"&amp;MATCH(A288,Main!A:A,0),"Open"),HYPERLINK("#Main!A1","Open"))</f>
        <v/>
      </c>
      <c r="R288">
        <f>IFERROR(HYPERLINK("#Technical!A"&amp;MATCH(A288,Technical!A:A,0),"Open"),HYPERLINK("#Technical!A1","Open"))</f>
        <v/>
      </c>
    </row>
    <row r="289" ht="30" customHeight="1">
      <c r="A289" s="33" t="inlineStr">
        <is>
          <t>https://africanmarketingconfederation.org/amc-conference-2024-recap/</t>
        </is>
      </c>
      <c r="B289" s="6" t="inlineStr">
        <is>
          <t>Basic SEO</t>
        </is>
      </c>
      <c r="C289" s="29" t="inlineStr">
        <is>
          <t>Info</t>
        </is>
      </c>
      <c r="D289" s="6" t="inlineStr">
        <is>
          <t>No internal links found</t>
        </is>
      </c>
      <c r="E289" s="6" t="n">
        <v>37</v>
      </c>
      <c r="F289" s="6" t="n">
        <v>0</v>
      </c>
      <c r="G289" s="6" t="inlineStr">
        <is>
          <t>&gt;=2 relevant internal links</t>
        </is>
      </c>
      <c r="H289" s="6" t="inlineStr">
        <is>
          <t>Add contextual internal links from and to related pages using descriptive anchor text.</t>
        </is>
      </c>
      <c r="I289" s="31" t="inlineStr">
        <is>
          <t>Links</t>
        </is>
      </c>
      <c r="J289" s="6" t="inlineStr">
        <is>
          <t>Internal Links Count</t>
        </is>
      </c>
      <c r="K289" s="6" t="inlineStr">
        <is>
          <t>No</t>
        </is>
      </c>
      <c r="L289" s="6" t="inlineStr">
        <is>
          <t>Copy Writer</t>
        </is>
      </c>
      <c r="M289" s="25" t="inlineStr">
        <is>
          <t>Open</t>
        </is>
      </c>
      <c r="N289" s="6" t="n">
        <v>4</v>
      </c>
      <c r="O289" s="6" t="inlineStr">
        <is>
          <t>https://africanmarketingconfederation.org/amc-conference-2024-recap/::aioseo_no_internal_links_found</t>
        </is>
      </c>
      <c r="P289" s="6" t="inlineStr">
        <is>
          <t>Internal links help discovery, topical signals, and authority flow.</t>
        </is>
      </c>
      <c r="Q289">
        <f>IFERROR(HYPERLINK("#Main!A"&amp;MATCH(A289,Main!A:A,0),"Open"),HYPERLINK("#Main!A1","Open"))</f>
        <v/>
      </c>
      <c r="R289">
        <f>IFERROR(HYPERLINK("#Technical!A"&amp;MATCH(A289,Technical!A:A,0),"Open"),HYPERLINK("#Technical!A1","Open"))</f>
        <v/>
      </c>
    </row>
    <row r="290" ht="30" customHeight="1">
      <c r="A290" s="33" t="inlineStr">
        <is>
          <t>https://africanmarketingconfederation.org/amc-conference-2024-sponsors-packages/</t>
        </is>
      </c>
      <c r="B290" s="24" t="inlineStr">
        <is>
          <t>Basic SEO</t>
        </is>
      </c>
      <c r="C290" s="29" t="inlineStr">
        <is>
          <t>Info</t>
        </is>
      </c>
      <c r="D290" s="24" t="inlineStr">
        <is>
          <t>Meta description too long</t>
        </is>
      </c>
      <c r="E290" s="24" t="n">
        <v>37</v>
      </c>
      <c r="F290" s="24" t="n">
        <v>339</v>
      </c>
      <c r="G290" s="24" t="inlineStr">
        <is>
          <t>120-160 characters</t>
        </is>
      </c>
      <c r="H290" s="24" t="inlineStr">
        <is>
          <t>Trim meta description in AIOSEO and front-load essential context.</t>
        </is>
      </c>
      <c r="I290" s="28" t="inlineStr">
        <is>
          <t>Main</t>
        </is>
      </c>
      <c r="J290" s="24" t="inlineStr">
        <is>
          <t>Meta Description</t>
        </is>
      </c>
      <c r="K290" s="24" t="inlineStr">
        <is>
          <t>No</t>
        </is>
      </c>
      <c r="L290" s="24" t="inlineStr">
        <is>
          <t>Copy Writer</t>
        </is>
      </c>
      <c r="M290" s="25" t="inlineStr">
        <is>
          <t>Open</t>
        </is>
      </c>
      <c r="N290" s="24" t="n">
        <v>4</v>
      </c>
      <c r="O290" s="24" t="inlineStr">
        <is>
          <t>https://africanmarketingconfederation.org/amc-conference-2024-sponsors-packages/::aioseo_meta_description_too_long</t>
        </is>
      </c>
      <c r="P290" s="24" t="inlineStr">
        <is>
          <t>Long descriptions are often truncated and lose message clarity.</t>
        </is>
      </c>
      <c r="Q290">
        <f>IFERROR(HYPERLINK("#Main!A"&amp;MATCH(A290,Main!A:A,0),"Open"),HYPERLINK("#Main!A1","Open"))</f>
        <v/>
      </c>
      <c r="R290">
        <f>IFERROR(HYPERLINK("#Technical!A"&amp;MATCH(A290,Technical!A:A,0),"Open"),HYPERLINK("#Technical!A1","Open"))</f>
        <v/>
      </c>
    </row>
    <row r="291" ht="30" customHeight="1">
      <c r="A291" s="33" t="inlineStr">
        <is>
          <t>https://africanmarketingconfederation.org/amc-conference-2024-sponsors-packages/</t>
        </is>
      </c>
      <c r="B291" s="6" t="inlineStr">
        <is>
          <t>Basic SEO</t>
        </is>
      </c>
      <c r="C291" s="29" t="inlineStr">
        <is>
          <t>Info</t>
        </is>
      </c>
      <c r="D291" s="6" t="inlineStr">
        <is>
          <t>No internal links found</t>
        </is>
      </c>
      <c r="E291" s="6" t="n">
        <v>37</v>
      </c>
      <c r="F291" s="6" t="n">
        <v>0</v>
      </c>
      <c r="G291" s="6" t="inlineStr">
        <is>
          <t>&gt;=2 relevant internal links</t>
        </is>
      </c>
      <c r="H291" s="6" t="inlineStr">
        <is>
          <t>Add contextual internal links from and to related pages using descriptive anchor text.</t>
        </is>
      </c>
      <c r="I291" s="31" t="inlineStr">
        <is>
          <t>Links</t>
        </is>
      </c>
      <c r="J291" s="6" t="inlineStr">
        <is>
          <t>Internal Links Count</t>
        </is>
      </c>
      <c r="K291" s="6" t="inlineStr">
        <is>
          <t>No</t>
        </is>
      </c>
      <c r="L291" s="6" t="inlineStr">
        <is>
          <t>Copy Writer</t>
        </is>
      </c>
      <c r="M291" s="25" t="inlineStr">
        <is>
          <t>Open</t>
        </is>
      </c>
      <c r="N291" s="6" t="n">
        <v>4</v>
      </c>
      <c r="O291" s="6" t="inlineStr">
        <is>
          <t>https://africanmarketingconfederation.org/amc-conference-2024-sponsors-packages/::aioseo_no_internal_links_found</t>
        </is>
      </c>
      <c r="P291" s="6" t="inlineStr">
        <is>
          <t>Internal links help discovery, topical signals, and authority flow.</t>
        </is>
      </c>
      <c r="Q291">
        <f>IFERROR(HYPERLINK("#Main!A"&amp;MATCH(A291,Main!A:A,0),"Open"),HYPERLINK("#Main!A1","Open"))</f>
        <v/>
      </c>
      <c r="R291">
        <f>IFERROR(HYPERLINK("#Technical!A"&amp;MATCH(A291,Technical!A:A,0),"Open"),HYPERLINK("#Technical!A1","Open"))</f>
        <v/>
      </c>
    </row>
    <row r="292" ht="30" customHeight="1">
      <c r="A292" s="33" t="inlineStr">
        <is>
          <t>https://africanmarketingconfederation.org/amc-conference-2025-highlights/</t>
        </is>
      </c>
      <c r="B292" s="24" t="inlineStr">
        <is>
          <t>Basic SEO</t>
        </is>
      </c>
      <c r="C292" s="29" t="inlineStr">
        <is>
          <t>Info</t>
        </is>
      </c>
      <c r="D292" s="24" t="inlineStr">
        <is>
          <t>Meta description too long</t>
        </is>
      </c>
      <c r="E292" s="24" t="n">
        <v>37</v>
      </c>
      <c r="F292" s="24" t="n">
        <v>437</v>
      </c>
      <c r="G292" s="24" t="inlineStr">
        <is>
          <t>120-160 characters</t>
        </is>
      </c>
      <c r="H292" s="24" t="inlineStr">
        <is>
          <t>Trim meta description in AIOSEO and front-load essential context.</t>
        </is>
      </c>
      <c r="I292" s="28" t="inlineStr">
        <is>
          <t>Main</t>
        </is>
      </c>
      <c r="J292" s="24" t="inlineStr">
        <is>
          <t>Meta Description</t>
        </is>
      </c>
      <c r="K292" s="24" t="inlineStr">
        <is>
          <t>No</t>
        </is>
      </c>
      <c r="L292" s="24" t="inlineStr">
        <is>
          <t>Copy Writer</t>
        </is>
      </c>
      <c r="M292" s="25" t="inlineStr">
        <is>
          <t>Open</t>
        </is>
      </c>
      <c r="N292" s="24" t="n">
        <v>4</v>
      </c>
      <c r="O292" s="24" t="inlineStr">
        <is>
          <t>https://africanmarketingconfederation.org/amc-conference-2025-highlights/::aioseo_meta_description_too_long</t>
        </is>
      </c>
      <c r="P292" s="24" t="inlineStr">
        <is>
          <t>Long descriptions are often truncated and lose message clarity.</t>
        </is>
      </c>
      <c r="Q292">
        <f>IFERROR(HYPERLINK("#Main!A"&amp;MATCH(A292,Main!A:A,0),"Open"),HYPERLINK("#Main!A1","Open"))</f>
        <v/>
      </c>
      <c r="R292">
        <f>IFERROR(HYPERLINK("#Technical!A"&amp;MATCH(A292,Technical!A:A,0),"Open"),HYPERLINK("#Technical!A1","Open"))</f>
        <v/>
      </c>
    </row>
    <row r="293" ht="30" customHeight="1">
      <c r="A293" s="33" t="inlineStr">
        <is>
          <t>https://africanmarketingconfederation.org/amc-conference-2025-highlights/</t>
        </is>
      </c>
      <c r="B293" s="6" t="inlineStr">
        <is>
          <t>Basic SEO</t>
        </is>
      </c>
      <c r="C293" s="29" t="inlineStr">
        <is>
          <t>Info</t>
        </is>
      </c>
      <c r="D293" s="6" t="inlineStr">
        <is>
          <t>No internal links found</t>
        </is>
      </c>
      <c r="E293" s="6" t="n">
        <v>37</v>
      </c>
      <c r="F293" s="6" t="n">
        <v>0</v>
      </c>
      <c r="G293" s="6" t="inlineStr">
        <is>
          <t>&gt;=2 relevant internal links</t>
        </is>
      </c>
      <c r="H293" s="6" t="inlineStr">
        <is>
          <t>Add contextual internal links from and to related pages using descriptive anchor text.</t>
        </is>
      </c>
      <c r="I293" s="31" t="inlineStr">
        <is>
          <t>Links</t>
        </is>
      </c>
      <c r="J293" s="6" t="inlineStr">
        <is>
          <t>Internal Links Count</t>
        </is>
      </c>
      <c r="K293" s="6" t="inlineStr">
        <is>
          <t>No</t>
        </is>
      </c>
      <c r="L293" s="6" t="inlineStr">
        <is>
          <t>Copy Writer</t>
        </is>
      </c>
      <c r="M293" s="25" t="inlineStr">
        <is>
          <t>Open</t>
        </is>
      </c>
      <c r="N293" s="6" t="n">
        <v>4</v>
      </c>
      <c r="O293" s="6" t="inlineStr">
        <is>
          <t>https://africanmarketingconfederation.org/amc-conference-2025-highlights/::aioseo_no_internal_links_found</t>
        </is>
      </c>
      <c r="P293" s="6" t="inlineStr">
        <is>
          <t>Internal links help discovery, topical signals, and authority flow.</t>
        </is>
      </c>
      <c r="Q293">
        <f>IFERROR(HYPERLINK("#Main!A"&amp;MATCH(A293,Main!A:A,0),"Open"),HYPERLINK("#Main!A1","Open"))</f>
        <v/>
      </c>
      <c r="R293">
        <f>IFERROR(HYPERLINK("#Technical!A"&amp;MATCH(A293,Technical!A:A,0),"Open"),HYPERLINK("#Technical!A1","Open"))</f>
        <v/>
      </c>
    </row>
    <row r="294" ht="30" customHeight="1">
      <c r="A294" s="33" t="inlineStr">
        <is>
          <t>https://africanmarketingconfederation.org/amc-conference-2025/</t>
        </is>
      </c>
      <c r="B294" s="24" t="inlineStr">
        <is>
          <t>Basic SEO</t>
        </is>
      </c>
      <c r="C294" s="29" t="inlineStr">
        <is>
          <t>Info</t>
        </is>
      </c>
      <c r="D294" s="24" t="inlineStr">
        <is>
          <t>No internal links found</t>
        </is>
      </c>
      <c r="E294" s="24" t="n">
        <v>37</v>
      </c>
      <c r="F294" s="24" t="n">
        <v>0</v>
      </c>
      <c r="G294" s="24" t="inlineStr">
        <is>
          <t>&gt;=2 relevant internal links</t>
        </is>
      </c>
      <c r="H294" s="24" t="inlineStr">
        <is>
          <t>Add contextual internal links from and to related pages using descriptive anchor text.</t>
        </is>
      </c>
      <c r="I294" s="28" t="inlineStr">
        <is>
          <t>Links</t>
        </is>
      </c>
      <c r="J294" s="24" t="inlineStr">
        <is>
          <t>Internal Links Count</t>
        </is>
      </c>
      <c r="K294" s="24" t="inlineStr">
        <is>
          <t>No</t>
        </is>
      </c>
      <c r="L294" s="24" t="inlineStr">
        <is>
          <t>Copy Writer</t>
        </is>
      </c>
      <c r="M294" s="25" t="inlineStr">
        <is>
          <t>Open</t>
        </is>
      </c>
      <c r="N294" s="24" t="n">
        <v>4</v>
      </c>
      <c r="O294" s="24" t="inlineStr">
        <is>
          <t>https://africanmarketingconfederation.org/amc-conference-2025/::aioseo_no_internal_links_found</t>
        </is>
      </c>
      <c r="P294" s="24" t="inlineStr">
        <is>
          <t>Internal links help discovery, topical signals, and authority flow.</t>
        </is>
      </c>
      <c r="Q294">
        <f>IFERROR(HYPERLINK("#Main!A"&amp;MATCH(A294,Main!A:A,0),"Open"),HYPERLINK("#Main!A1","Open"))</f>
        <v/>
      </c>
      <c r="R294">
        <f>IFERROR(HYPERLINK("#Technical!A"&amp;MATCH(A294,Technical!A:A,0),"Open"),HYPERLINK("#Technical!A1","Open"))</f>
        <v/>
      </c>
    </row>
    <row r="295" ht="30" customHeight="1">
      <c r="A295" s="33" t="inlineStr">
        <is>
          <t>https://africanmarketingconfederation.org/amc-conference-2026-awards-nominations-thank-you/</t>
        </is>
      </c>
      <c r="B295" s="6" t="inlineStr">
        <is>
          <t>Basic SEO</t>
        </is>
      </c>
      <c r="C295" s="29" t="inlineStr">
        <is>
          <t>Info</t>
        </is>
      </c>
      <c r="D295" s="6" t="inlineStr">
        <is>
          <t>Meta description too long</t>
        </is>
      </c>
      <c r="E295" s="6" t="n">
        <v>37</v>
      </c>
      <c r="F295" s="6" t="n">
        <v>353</v>
      </c>
      <c r="G295" s="6" t="inlineStr">
        <is>
          <t>120-160 characters</t>
        </is>
      </c>
      <c r="H295" s="6" t="inlineStr">
        <is>
          <t>Trim meta description in AIOSEO and front-load essential context.</t>
        </is>
      </c>
      <c r="I295" s="31" t="inlineStr">
        <is>
          <t>Main</t>
        </is>
      </c>
      <c r="J295" s="6" t="inlineStr">
        <is>
          <t>Meta Description</t>
        </is>
      </c>
      <c r="K295" s="6" t="inlineStr">
        <is>
          <t>No</t>
        </is>
      </c>
      <c r="L295" s="6" t="inlineStr">
        <is>
          <t>Copy Writer</t>
        </is>
      </c>
      <c r="M295" s="25" t="inlineStr">
        <is>
          <t>Open</t>
        </is>
      </c>
      <c r="N295" s="6" t="n">
        <v>4</v>
      </c>
      <c r="O295" s="6" t="inlineStr">
        <is>
          <t>https://africanmarketingconfederation.org/amc-conference-2026-awards-nominations-thank-you/::aioseo_meta_description_too_long</t>
        </is>
      </c>
      <c r="P295" s="6" t="inlineStr">
        <is>
          <t>Long descriptions are often truncated and lose message clarity.</t>
        </is>
      </c>
      <c r="Q295">
        <f>IFERROR(HYPERLINK("#Main!A"&amp;MATCH(A295,Main!A:A,0),"Open"),HYPERLINK("#Main!A1","Open"))</f>
        <v/>
      </c>
      <c r="R295">
        <f>IFERROR(HYPERLINK("#Technical!A"&amp;MATCH(A295,Technical!A:A,0),"Open"),HYPERLINK("#Technical!A1","Open"))</f>
        <v/>
      </c>
    </row>
    <row r="296" ht="30" customHeight="1">
      <c r="A296" s="33" t="inlineStr">
        <is>
          <t>https://africanmarketingconfederation.org/amc-conference-2026-awards-nominations-thank-you/</t>
        </is>
      </c>
      <c r="B296" s="24" t="inlineStr">
        <is>
          <t>Basic SEO</t>
        </is>
      </c>
      <c r="C296" s="29" t="inlineStr">
        <is>
          <t>Info</t>
        </is>
      </c>
      <c r="D296" s="24" t="inlineStr">
        <is>
          <t>No internal links found</t>
        </is>
      </c>
      <c r="E296" s="24" t="n">
        <v>37</v>
      </c>
      <c r="F296" s="24" t="n">
        <v>0</v>
      </c>
      <c r="G296" s="24" t="inlineStr">
        <is>
          <t>&gt;=2 relevant internal links</t>
        </is>
      </c>
      <c r="H296" s="24" t="inlineStr">
        <is>
          <t>Add contextual internal links from and to related pages using descriptive anchor text.</t>
        </is>
      </c>
      <c r="I296" s="28" t="inlineStr">
        <is>
          <t>Links</t>
        </is>
      </c>
      <c r="J296" s="24" t="inlineStr">
        <is>
          <t>Internal Links Count</t>
        </is>
      </c>
      <c r="K296" s="24" t="inlineStr">
        <is>
          <t>No</t>
        </is>
      </c>
      <c r="L296" s="24" t="inlineStr">
        <is>
          <t>Copy Writer</t>
        </is>
      </c>
      <c r="M296" s="25" t="inlineStr">
        <is>
          <t>Open</t>
        </is>
      </c>
      <c r="N296" s="24" t="n">
        <v>4</v>
      </c>
      <c r="O296" s="24" t="inlineStr">
        <is>
          <t>https://africanmarketingconfederation.org/amc-conference-2026-awards-nominations-thank-you/::aioseo_no_internal_links_found</t>
        </is>
      </c>
      <c r="P296" s="24" t="inlineStr">
        <is>
          <t>Internal links help discovery, topical signals, and authority flow.</t>
        </is>
      </c>
      <c r="Q296">
        <f>IFERROR(HYPERLINK("#Main!A"&amp;MATCH(A296,Main!A:A,0),"Open"),HYPERLINK("#Main!A1","Open"))</f>
        <v/>
      </c>
      <c r="R296">
        <f>IFERROR(HYPERLINK("#Technical!A"&amp;MATCH(A296,Technical!A:A,0),"Open"),HYPERLINK("#Technical!A1","Open"))</f>
        <v/>
      </c>
    </row>
    <row r="297" ht="30" customHeight="1">
      <c r="A297" s="33" t="inlineStr">
        <is>
          <t>https://africanmarketingconfederation.org/amc-conference-2026-zambia-thank-you/</t>
        </is>
      </c>
      <c r="B297" s="6" t="inlineStr">
        <is>
          <t>Basic SEO</t>
        </is>
      </c>
      <c r="C297" s="29" t="inlineStr">
        <is>
          <t>Info</t>
        </is>
      </c>
      <c r="D297" s="6" t="inlineStr">
        <is>
          <t>Meta description too long</t>
        </is>
      </c>
      <c r="E297" s="6" t="n">
        <v>37</v>
      </c>
      <c r="F297" s="6" t="n">
        <v>411</v>
      </c>
      <c r="G297" s="6" t="inlineStr">
        <is>
          <t>120-160 characters</t>
        </is>
      </c>
      <c r="H297" s="6" t="inlineStr">
        <is>
          <t>Trim meta description in AIOSEO and front-load essential context.</t>
        </is>
      </c>
      <c r="I297" s="31" t="inlineStr">
        <is>
          <t>Main</t>
        </is>
      </c>
      <c r="J297" s="6" t="inlineStr">
        <is>
          <t>Meta Description</t>
        </is>
      </c>
      <c r="K297" s="6" t="inlineStr">
        <is>
          <t>No</t>
        </is>
      </c>
      <c r="L297" s="6" t="inlineStr">
        <is>
          <t>Copy Writer</t>
        </is>
      </c>
      <c r="M297" s="25" t="inlineStr">
        <is>
          <t>Open</t>
        </is>
      </c>
      <c r="N297" s="6" t="n">
        <v>4</v>
      </c>
      <c r="O297" s="6" t="inlineStr">
        <is>
          <t>https://africanmarketingconfederation.org/amc-conference-2026-zambia-thank-you/::aioseo_meta_description_too_long</t>
        </is>
      </c>
      <c r="P297" s="6" t="inlineStr">
        <is>
          <t>Long descriptions are often truncated and lose message clarity.</t>
        </is>
      </c>
      <c r="Q297">
        <f>IFERROR(HYPERLINK("#Main!A"&amp;MATCH(A297,Main!A:A,0),"Open"),HYPERLINK("#Main!A1","Open"))</f>
        <v/>
      </c>
      <c r="R297">
        <f>IFERROR(HYPERLINK("#Technical!A"&amp;MATCH(A297,Technical!A:A,0),"Open"),HYPERLINK("#Technical!A1","Open"))</f>
        <v/>
      </c>
    </row>
    <row r="298" ht="30" customHeight="1">
      <c r="A298" s="33" t="inlineStr">
        <is>
          <t>https://africanmarketingconfederation.org/amc-conference-2026-zambia-thank-you/</t>
        </is>
      </c>
      <c r="B298" s="24" t="inlineStr">
        <is>
          <t>Basic SEO</t>
        </is>
      </c>
      <c r="C298" s="29" t="inlineStr">
        <is>
          <t>Info</t>
        </is>
      </c>
      <c r="D298" s="24" t="inlineStr">
        <is>
          <t>No internal links found</t>
        </is>
      </c>
      <c r="E298" s="24" t="n">
        <v>37</v>
      </c>
      <c r="F298" s="24" t="n">
        <v>0</v>
      </c>
      <c r="G298" s="24" t="inlineStr">
        <is>
          <t>&gt;=2 relevant internal links</t>
        </is>
      </c>
      <c r="H298" s="24" t="inlineStr">
        <is>
          <t>Add contextual internal links from and to related pages using descriptive anchor text.</t>
        </is>
      </c>
      <c r="I298" s="28" t="inlineStr">
        <is>
          <t>Links</t>
        </is>
      </c>
      <c r="J298" s="24" t="inlineStr">
        <is>
          <t>Internal Links Count</t>
        </is>
      </c>
      <c r="K298" s="24" t="inlineStr">
        <is>
          <t>No</t>
        </is>
      </c>
      <c r="L298" s="24" t="inlineStr">
        <is>
          <t>Copy Writer</t>
        </is>
      </c>
      <c r="M298" s="25" t="inlineStr">
        <is>
          <t>Open</t>
        </is>
      </c>
      <c r="N298" s="24" t="n">
        <v>4</v>
      </c>
      <c r="O298" s="24" t="inlineStr">
        <is>
          <t>https://africanmarketingconfederation.org/amc-conference-2026-zambia-thank-you/::aioseo_no_internal_links_found</t>
        </is>
      </c>
      <c r="P298" s="24" t="inlineStr">
        <is>
          <t>Internal links help discovery, topical signals, and authority flow.</t>
        </is>
      </c>
      <c r="Q298">
        <f>IFERROR(HYPERLINK("#Main!A"&amp;MATCH(A298,Main!A:A,0),"Open"),HYPERLINK("#Main!A1","Open"))</f>
        <v/>
      </c>
      <c r="R298">
        <f>IFERROR(HYPERLINK("#Technical!A"&amp;MATCH(A298,Technical!A:A,0),"Open"),HYPERLINK("#Technical!A1","Open"))</f>
        <v/>
      </c>
    </row>
    <row r="299" ht="30" customHeight="1">
      <c r="A299" s="33" t="inlineStr">
        <is>
          <t>https://africanmarketingconfederation.org/amc-conference-2026/</t>
        </is>
      </c>
      <c r="B299" s="6" t="inlineStr">
        <is>
          <t>Basic SEO</t>
        </is>
      </c>
      <c r="C299" s="29" t="inlineStr">
        <is>
          <t>Info</t>
        </is>
      </c>
      <c r="D299" s="6" t="inlineStr">
        <is>
          <t>Meta description too long</t>
        </is>
      </c>
      <c r="E299" s="6" t="n">
        <v>37</v>
      </c>
      <c r="F299" s="6" t="n">
        <v>357</v>
      </c>
      <c r="G299" s="6" t="inlineStr">
        <is>
          <t>120-160 characters</t>
        </is>
      </c>
      <c r="H299" s="6" t="inlineStr">
        <is>
          <t>Trim meta description in AIOSEO and front-load essential context.</t>
        </is>
      </c>
      <c r="I299" s="31" t="inlineStr">
        <is>
          <t>Main</t>
        </is>
      </c>
      <c r="J299" s="6" t="inlineStr">
        <is>
          <t>Meta Description</t>
        </is>
      </c>
      <c r="K299" s="6" t="inlineStr">
        <is>
          <t>No</t>
        </is>
      </c>
      <c r="L299" s="6" t="inlineStr">
        <is>
          <t>Copy Writer</t>
        </is>
      </c>
      <c r="M299" s="25" t="inlineStr">
        <is>
          <t>Open</t>
        </is>
      </c>
      <c r="N299" s="6" t="n">
        <v>4</v>
      </c>
      <c r="O299" s="6" t="inlineStr">
        <is>
          <t>https://africanmarketingconfederation.org/amc-conference-2026/::aioseo_meta_description_too_long</t>
        </is>
      </c>
      <c r="P299" s="6" t="inlineStr">
        <is>
          <t>Long descriptions are often truncated and lose message clarity.</t>
        </is>
      </c>
      <c r="Q299">
        <f>IFERROR(HYPERLINK("#Main!A"&amp;MATCH(A299,Main!A:A,0),"Open"),HYPERLINK("#Main!A1","Open"))</f>
        <v/>
      </c>
      <c r="R299">
        <f>IFERROR(HYPERLINK("#Technical!A"&amp;MATCH(A299,Technical!A:A,0),"Open"),HYPERLINK("#Technical!A1","Open"))</f>
        <v/>
      </c>
    </row>
    <row r="300" ht="30" customHeight="1">
      <c r="A300" s="33" t="inlineStr">
        <is>
          <t>https://africanmarketingconfederation.org/amc-conference-2026/</t>
        </is>
      </c>
      <c r="B300" s="24" t="inlineStr">
        <is>
          <t>Basic SEO</t>
        </is>
      </c>
      <c r="C300" s="29" t="inlineStr">
        <is>
          <t>Info</t>
        </is>
      </c>
      <c r="D300" s="24" t="inlineStr">
        <is>
          <t>No internal links found</t>
        </is>
      </c>
      <c r="E300" s="24" t="n">
        <v>37</v>
      </c>
      <c r="F300" s="24" t="n">
        <v>0</v>
      </c>
      <c r="G300" s="24" t="inlineStr">
        <is>
          <t>&gt;=2 relevant internal links</t>
        </is>
      </c>
      <c r="H300" s="24" t="inlineStr">
        <is>
          <t>Add contextual internal links from and to related pages using descriptive anchor text.</t>
        </is>
      </c>
      <c r="I300" s="28" t="inlineStr">
        <is>
          <t>Links</t>
        </is>
      </c>
      <c r="J300" s="24" t="inlineStr">
        <is>
          <t>Internal Links Count</t>
        </is>
      </c>
      <c r="K300" s="24" t="inlineStr">
        <is>
          <t>No</t>
        </is>
      </c>
      <c r="L300" s="24" t="inlineStr">
        <is>
          <t>Copy Writer</t>
        </is>
      </c>
      <c r="M300" s="25" t="inlineStr">
        <is>
          <t>Open</t>
        </is>
      </c>
      <c r="N300" s="24" t="n">
        <v>4</v>
      </c>
      <c r="O300" s="24" t="inlineStr">
        <is>
          <t>https://africanmarketingconfederation.org/amc-conference-2026/::aioseo_no_internal_links_found</t>
        </is>
      </c>
      <c r="P300" s="24" t="inlineStr">
        <is>
          <t>Internal links help discovery, topical signals, and authority flow.</t>
        </is>
      </c>
      <c r="Q300">
        <f>IFERROR(HYPERLINK("#Main!A"&amp;MATCH(A300,Main!A:A,0),"Open"),HYPERLINK("#Main!A1","Open"))</f>
        <v/>
      </c>
      <c r="R300">
        <f>IFERROR(HYPERLINK("#Technical!A"&amp;MATCH(A300,Technical!A:A,0),"Open"),HYPERLINK("#Technical!A1","Open"))</f>
        <v/>
      </c>
    </row>
    <row r="301" ht="30" customHeight="1">
      <c r="A301" s="33" t="inlineStr">
        <is>
          <t>https://africanmarketingconfederation.org/amc-conference-programme/</t>
        </is>
      </c>
      <c r="B301" s="6" t="inlineStr">
        <is>
          <t>Basic SEO</t>
        </is>
      </c>
      <c r="C301" s="29" t="inlineStr">
        <is>
          <t>Info</t>
        </is>
      </c>
      <c r="D301" s="6" t="inlineStr">
        <is>
          <t>Meta description too long</t>
        </is>
      </c>
      <c r="E301" s="6" t="n">
        <v>37</v>
      </c>
      <c r="F301" s="6" t="n">
        <v>347</v>
      </c>
      <c r="G301" s="6" t="inlineStr">
        <is>
          <t>120-160 characters</t>
        </is>
      </c>
      <c r="H301" s="6" t="inlineStr">
        <is>
          <t>Trim meta description in AIOSEO and front-load essential context.</t>
        </is>
      </c>
      <c r="I301" s="31" t="inlineStr">
        <is>
          <t>Main</t>
        </is>
      </c>
      <c r="J301" s="6" t="inlineStr">
        <is>
          <t>Meta Description</t>
        </is>
      </c>
      <c r="K301" s="6" t="inlineStr">
        <is>
          <t>No</t>
        </is>
      </c>
      <c r="L301" s="6" t="inlineStr">
        <is>
          <t>Copy Writer</t>
        </is>
      </c>
      <c r="M301" s="25" t="inlineStr">
        <is>
          <t>Open</t>
        </is>
      </c>
      <c r="N301" s="6" t="n">
        <v>4</v>
      </c>
      <c r="O301" s="6" t="inlineStr">
        <is>
          <t>https://africanmarketingconfederation.org/amc-conference-programme/::aioseo_meta_description_too_long</t>
        </is>
      </c>
      <c r="P301" s="6" t="inlineStr">
        <is>
          <t>Long descriptions are often truncated and lose message clarity.</t>
        </is>
      </c>
      <c r="Q301">
        <f>IFERROR(HYPERLINK("#Main!A"&amp;MATCH(A301,Main!A:A,0),"Open"),HYPERLINK("#Main!A1","Open"))</f>
        <v/>
      </c>
      <c r="R301">
        <f>IFERROR(HYPERLINK("#Technical!A"&amp;MATCH(A301,Technical!A:A,0),"Open"),HYPERLINK("#Technical!A1","Open"))</f>
        <v/>
      </c>
    </row>
    <row r="302" ht="30" customHeight="1">
      <c r="A302" s="33" t="inlineStr">
        <is>
          <t>https://africanmarketingconfederation.org/amc-conference-programme/</t>
        </is>
      </c>
      <c r="B302" s="24" t="inlineStr">
        <is>
          <t>Basic SEO</t>
        </is>
      </c>
      <c r="C302" s="29" t="inlineStr">
        <is>
          <t>Info</t>
        </is>
      </c>
      <c r="D302" s="24" t="inlineStr">
        <is>
          <t>No internal links found</t>
        </is>
      </c>
      <c r="E302" s="24" t="n">
        <v>37</v>
      </c>
      <c r="F302" s="24" t="n">
        <v>0</v>
      </c>
      <c r="G302" s="24" t="inlineStr">
        <is>
          <t>&gt;=2 relevant internal links</t>
        </is>
      </c>
      <c r="H302" s="24" t="inlineStr">
        <is>
          <t>Add contextual internal links from and to related pages using descriptive anchor text.</t>
        </is>
      </c>
      <c r="I302" s="28" t="inlineStr">
        <is>
          <t>Links</t>
        </is>
      </c>
      <c r="J302" s="24" t="inlineStr">
        <is>
          <t>Internal Links Count</t>
        </is>
      </c>
      <c r="K302" s="24" t="inlineStr">
        <is>
          <t>No</t>
        </is>
      </c>
      <c r="L302" s="24" t="inlineStr">
        <is>
          <t>Copy Writer</t>
        </is>
      </c>
      <c r="M302" s="25" t="inlineStr">
        <is>
          <t>Open</t>
        </is>
      </c>
      <c r="N302" s="24" t="n">
        <v>4</v>
      </c>
      <c r="O302" s="24" t="inlineStr">
        <is>
          <t>https://africanmarketingconfederation.org/amc-conference-programme/::aioseo_no_internal_links_found</t>
        </is>
      </c>
      <c r="P302" s="24" t="inlineStr">
        <is>
          <t>Internal links help discovery, topical signals, and authority flow.</t>
        </is>
      </c>
      <c r="Q302">
        <f>IFERROR(HYPERLINK("#Main!A"&amp;MATCH(A302,Main!A:A,0),"Open"),HYPERLINK("#Main!A1","Open"))</f>
        <v/>
      </c>
      <c r="R302">
        <f>IFERROR(HYPERLINK("#Technical!A"&amp;MATCH(A302,Technical!A:A,0),"Open"),HYPERLINK("#Technical!A1","Open"))</f>
        <v/>
      </c>
    </row>
    <row r="303" ht="30" customHeight="1">
      <c r="A303" s="33" t="inlineStr">
        <is>
          <t>https://africanmarketingconfederation.org/amc-conference-sponsors/</t>
        </is>
      </c>
      <c r="B303" s="6" t="inlineStr">
        <is>
          <t>Basic SEO</t>
        </is>
      </c>
      <c r="C303" s="29" t="inlineStr">
        <is>
          <t>Info</t>
        </is>
      </c>
      <c r="D303" s="6" t="inlineStr">
        <is>
          <t>No internal links found</t>
        </is>
      </c>
      <c r="E303" s="6" t="n">
        <v>37</v>
      </c>
      <c r="F303" s="6" t="n">
        <v>0</v>
      </c>
      <c r="G303" s="6" t="inlineStr">
        <is>
          <t>&gt;=2 relevant internal links</t>
        </is>
      </c>
      <c r="H303" s="6" t="inlineStr">
        <is>
          <t>Add contextual internal links from and to related pages using descriptive anchor text.</t>
        </is>
      </c>
      <c r="I303" s="31" t="inlineStr">
        <is>
          <t>Links</t>
        </is>
      </c>
      <c r="J303" s="6" t="inlineStr">
        <is>
          <t>Internal Links Count</t>
        </is>
      </c>
      <c r="K303" s="6" t="inlineStr">
        <is>
          <t>No</t>
        </is>
      </c>
      <c r="L303" s="6" t="inlineStr">
        <is>
          <t>Copy Writer</t>
        </is>
      </c>
      <c r="M303" s="25" t="inlineStr">
        <is>
          <t>Open</t>
        </is>
      </c>
      <c r="N303" s="6" t="n">
        <v>4</v>
      </c>
      <c r="O303" s="6" t="inlineStr">
        <is>
          <t>https://africanmarketingconfederation.org/amc-conference-sponsors/::aioseo_no_internal_links_found</t>
        </is>
      </c>
      <c r="P303" s="6" t="inlineStr">
        <is>
          <t>Internal links help discovery, topical signals, and authority flow.</t>
        </is>
      </c>
      <c r="Q303">
        <f>IFERROR(HYPERLINK("#Main!A"&amp;MATCH(A303,Main!A:A,0),"Open"),HYPERLINK("#Main!A1","Open"))</f>
        <v/>
      </c>
      <c r="R303">
        <f>IFERROR(HYPERLINK("#Technical!A"&amp;MATCH(A303,Technical!A:A,0),"Open"),HYPERLINK("#Technical!A1","Open"))</f>
        <v/>
      </c>
    </row>
    <row r="304" ht="30" customHeight="1">
      <c r="A304" s="33" t="inlineStr">
        <is>
          <t>https://africanmarketingconfederation.org/amc-conference-thank-you/</t>
        </is>
      </c>
      <c r="B304" s="24" t="inlineStr">
        <is>
          <t>Basic SEO</t>
        </is>
      </c>
      <c r="C304" s="29" t="inlineStr">
        <is>
          <t>Info</t>
        </is>
      </c>
      <c r="D304" s="24" t="inlineStr">
        <is>
          <t>Meta description too long</t>
        </is>
      </c>
      <c r="E304" s="24" t="n">
        <v>37</v>
      </c>
      <c r="F304" s="24" t="n">
        <v>379</v>
      </c>
      <c r="G304" s="24" t="inlineStr">
        <is>
          <t>120-160 characters</t>
        </is>
      </c>
      <c r="H304" s="24" t="inlineStr">
        <is>
          <t>Trim meta description in AIOSEO and front-load essential context.</t>
        </is>
      </c>
      <c r="I304" s="28" t="inlineStr">
        <is>
          <t>Main</t>
        </is>
      </c>
      <c r="J304" s="24" t="inlineStr">
        <is>
          <t>Meta Description</t>
        </is>
      </c>
      <c r="K304" s="24" t="inlineStr">
        <is>
          <t>No</t>
        </is>
      </c>
      <c r="L304" s="24" t="inlineStr">
        <is>
          <t>Copy Writer</t>
        </is>
      </c>
      <c r="M304" s="25" t="inlineStr">
        <is>
          <t>Open</t>
        </is>
      </c>
      <c r="N304" s="24" t="n">
        <v>4</v>
      </c>
      <c r="O304" s="24" t="inlineStr">
        <is>
          <t>https://africanmarketingconfederation.org/amc-conference-thank-you/::aioseo_meta_description_too_long</t>
        </is>
      </c>
      <c r="P304" s="24" t="inlineStr">
        <is>
          <t>Long descriptions are often truncated and lose message clarity.</t>
        </is>
      </c>
      <c r="Q304">
        <f>IFERROR(HYPERLINK("#Main!A"&amp;MATCH(A304,Main!A:A,0),"Open"),HYPERLINK("#Main!A1","Open"))</f>
        <v/>
      </c>
      <c r="R304">
        <f>IFERROR(HYPERLINK("#Technical!A"&amp;MATCH(A304,Technical!A:A,0),"Open"),HYPERLINK("#Technical!A1","Open"))</f>
        <v/>
      </c>
    </row>
    <row r="305" ht="30" customHeight="1">
      <c r="A305" s="33" t="inlineStr">
        <is>
          <t>https://africanmarketingconfederation.org/amc-conference-thank-you/</t>
        </is>
      </c>
      <c r="B305" s="6" t="inlineStr">
        <is>
          <t>Basic SEO</t>
        </is>
      </c>
      <c r="C305" s="29" t="inlineStr">
        <is>
          <t>Info</t>
        </is>
      </c>
      <c r="D305" s="6" t="inlineStr">
        <is>
          <t>No internal links found</t>
        </is>
      </c>
      <c r="E305" s="6" t="n">
        <v>37</v>
      </c>
      <c r="F305" s="6" t="n">
        <v>0</v>
      </c>
      <c r="G305" s="6" t="inlineStr">
        <is>
          <t>&gt;=2 relevant internal links</t>
        </is>
      </c>
      <c r="H305" s="6" t="inlineStr">
        <is>
          <t>Add contextual internal links from and to related pages using descriptive anchor text.</t>
        </is>
      </c>
      <c r="I305" s="31" t="inlineStr">
        <is>
          <t>Links</t>
        </is>
      </c>
      <c r="J305" s="6" t="inlineStr">
        <is>
          <t>Internal Links Count</t>
        </is>
      </c>
      <c r="K305" s="6" t="inlineStr">
        <is>
          <t>No</t>
        </is>
      </c>
      <c r="L305" s="6" t="inlineStr">
        <is>
          <t>Copy Writer</t>
        </is>
      </c>
      <c r="M305" s="25" t="inlineStr">
        <is>
          <t>Open</t>
        </is>
      </c>
      <c r="N305" s="6" t="n">
        <v>4</v>
      </c>
      <c r="O305" s="6" t="inlineStr">
        <is>
          <t>https://africanmarketingconfederation.org/amc-conference-thank-you/::aioseo_no_internal_links_found</t>
        </is>
      </c>
      <c r="P305" s="6" t="inlineStr">
        <is>
          <t>Internal links help discovery, topical signals, and authority flow.</t>
        </is>
      </c>
      <c r="Q305">
        <f>IFERROR(HYPERLINK("#Main!A"&amp;MATCH(A305,Main!A:A,0),"Open"),HYPERLINK("#Main!A1","Open"))</f>
        <v/>
      </c>
      <c r="R305">
        <f>IFERROR(HYPERLINK("#Technical!A"&amp;MATCH(A305,Technical!A:A,0),"Open"),HYPERLINK("#Technical!A1","Open"))</f>
        <v/>
      </c>
    </row>
    <row r="306" ht="30" customHeight="1">
      <c r="A306" s="33" t="inlineStr">
        <is>
          <t>https://africanmarketingconfederation.org/amc-forum-mombasa/</t>
        </is>
      </c>
      <c r="B306" s="24" t="inlineStr">
        <is>
          <t>Basic SEO</t>
        </is>
      </c>
      <c r="C306" s="29" t="inlineStr">
        <is>
          <t>Info</t>
        </is>
      </c>
      <c r="D306" s="24" t="inlineStr">
        <is>
          <t>Meta description too long</t>
        </is>
      </c>
      <c r="E306" s="24" t="n">
        <v>37</v>
      </c>
      <c r="F306" s="24" t="n">
        <v>380</v>
      </c>
      <c r="G306" s="24" t="inlineStr">
        <is>
          <t>120-160 characters</t>
        </is>
      </c>
      <c r="H306" s="24" t="inlineStr">
        <is>
          <t>Trim meta description in AIOSEO and front-load essential context.</t>
        </is>
      </c>
      <c r="I306" s="28" t="inlineStr">
        <is>
          <t>Main</t>
        </is>
      </c>
      <c r="J306" s="24" t="inlineStr">
        <is>
          <t>Meta Description</t>
        </is>
      </c>
      <c r="K306" s="24" t="inlineStr">
        <is>
          <t>No</t>
        </is>
      </c>
      <c r="L306" s="24" t="inlineStr">
        <is>
          <t>Copy Writer</t>
        </is>
      </c>
      <c r="M306" s="25" t="inlineStr">
        <is>
          <t>Open</t>
        </is>
      </c>
      <c r="N306" s="24" t="n">
        <v>4</v>
      </c>
      <c r="O306" s="24" t="inlineStr">
        <is>
          <t>https://africanmarketingconfederation.org/amc-forum-mombasa/::aioseo_meta_description_too_long</t>
        </is>
      </c>
      <c r="P306" s="24" t="inlineStr">
        <is>
          <t>Long descriptions are often truncated and lose message clarity.</t>
        </is>
      </c>
      <c r="Q306">
        <f>IFERROR(HYPERLINK("#Main!A"&amp;MATCH(A306,Main!A:A,0),"Open"),HYPERLINK("#Main!A1","Open"))</f>
        <v/>
      </c>
      <c r="R306">
        <f>IFERROR(HYPERLINK("#Technical!A"&amp;MATCH(A306,Technical!A:A,0),"Open"),HYPERLINK("#Technical!A1","Open"))</f>
        <v/>
      </c>
    </row>
    <row r="307" ht="30" customHeight="1">
      <c r="A307" s="33" t="inlineStr">
        <is>
          <t>https://africanmarketingconfederation.org/amc-forum-mombasa/</t>
        </is>
      </c>
      <c r="B307" s="6" t="inlineStr">
        <is>
          <t>Basic SEO</t>
        </is>
      </c>
      <c r="C307" s="29" t="inlineStr">
        <is>
          <t>Info</t>
        </is>
      </c>
      <c r="D307" s="6" t="inlineStr">
        <is>
          <t>No internal links found</t>
        </is>
      </c>
      <c r="E307" s="6" t="n">
        <v>37</v>
      </c>
      <c r="F307" s="6" t="n">
        <v>0</v>
      </c>
      <c r="G307" s="6" t="inlineStr">
        <is>
          <t>&gt;=2 relevant internal links</t>
        </is>
      </c>
      <c r="H307" s="6" t="inlineStr">
        <is>
          <t>Add contextual internal links from and to related pages using descriptive anchor text.</t>
        </is>
      </c>
      <c r="I307" s="31" t="inlineStr">
        <is>
          <t>Links</t>
        </is>
      </c>
      <c r="J307" s="6" t="inlineStr">
        <is>
          <t>Internal Links Count</t>
        </is>
      </c>
      <c r="K307" s="6" t="inlineStr">
        <is>
          <t>No</t>
        </is>
      </c>
      <c r="L307" s="6" t="inlineStr">
        <is>
          <t>Copy Writer</t>
        </is>
      </c>
      <c r="M307" s="25" t="inlineStr">
        <is>
          <t>Open</t>
        </is>
      </c>
      <c r="N307" s="6" t="n">
        <v>4</v>
      </c>
      <c r="O307" s="6" t="inlineStr">
        <is>
          <t>https://africanmarketingconfederation.org/amc-forum-mombasa/::aioseo_no_internal_links_found</t>
        </is>
      </c>
      <c r="P307" s="6" t="inlineStr">
        <is>
          <t>Internal links help discovery, topical signals, and authority flow.</t>
        </is>
      </c>
      <c r="Q307">
        <f>IFERROR(HYPERLINK("#Main!A"&amp;MATCH(A307,Main!A:A,0),"Open"),HYPERLINK("#Main!A1","Open"))</f>
        <v/>
      </c>
      <c r="R307">
        <f>IFERROR(HYPERLINK("#Technical!A"&amp;MATCH(A307,Technical!A:A,0),"Open"),HYPERLINK("#Technical!A1","Open"))</f>
        <v/>
      </c>
    </row>
    <row r="308" ht="30" customHeight="1">
      <c r="A308" s="33" t="inlineStr">
        <is>
          <t>https://africanmarketingconfederation.org/amc-forum-payments/</t>
        </is>
      </c>
      <c r="B308" s="24" t="inlineStr">
        <is>
          <t>Basic SEO</t>
        </is>
      </c>
      <c r="C308" s="29" t="inlineStr">
        <is>
          <t>Info</t>
        </is>
      </c>
      <c r="D308" s="24" t="inlineStr">
        <is>
          <t>Meta description too long</t>
        </is>
      </c>
      <c r="E308" s="24" t="n">
        <v>37</v>
      </c>
      <c r="F308" s="24" t="n">
        <v>274</v>
      </c>
      <c r="G308" s="24" t="inlineStr">
        <is>
          <t>120-160 characters</t>
        </is>
      </c>
      <c r="H308" s="24" t="inlineStr">
        <is>
          <t>Trim meta description in AIOSEO and front-load essential context.</t>
        </is>
      </c>
      <c r="I308" s="28" t="inlineStr">
        <is>
          <t>Main</t>
        </is>
      </c>
      <c r="J308" s="24" t="inlineStr">
        <is>
          <t>Meta Description</t>
        </is>
      </c>
      <c r="K308" s="24" t="inlineStr">
        <is>
          <t>No</t>
        </is>
      </c>
      <c r="L308" s="24" t="inlineStr">
        <is>
          <t>Copy Writer</t>
        </is>
      </c>
      <c r="M308" s="25" t="inlineStr">
        <is>
          <t>Open</t>
        </is>
      </c>
      <c r="N308" s="24" t="n">
        <v>4</v>
      </c>
      <c r="O308" s="24" t="inlineStr">
        <is>
          <t>https://africanmarketingconfederation.org/amc-forum-payments/::aioseo_meta_description_too_long</t>
        </is>
      </c>
      <c r="P308" s="24" t="inlineStr">
        <is>
          <t>Long descriptions are often truncated and lose message clarity.</t>
        </is>
      </c>
      <c r="Q308">
        <f>IFERROR(HYPERLINK("#Main!A"&amp;MATCH(A308,Main!A:A,0),"Open"),HYPERLINK("#Main!A1","Open"))</f>
        <v/>
      </c>
      <c r="R308">
        <f>IFERROR(HYPERLINK("#Technical!A"&amp;MATCH(A308,Technical!A:A,0),"Open"),HYPERLINK("#Technical!A1","Open"))</f>
        <v/>
      </c>
    </row>
    <row r="309" ht="30" customHeight="1">
      <c r="A309" s="33" t="inlineStr">
        <is>
          <t>https://africanmarketingconfederation.org/amc-forum-payments/</t>
        </is>
      </c>
      <c r="B309" s="6" t="inlineStr">
        <is>
          <t>Basic SEO</t>
        </is>
      </c>
      <c r="C309" s="29" t="inlineStr">
        <is>
          <t>Info</t>
        </is>
      </c>
      <c r="D309" s="6" t="inlineStr">
        <is>
          <t>No internal links found</t>
        </is>
      </c>
      <c r="E309" s="6" t="n">
        <v>37</v>
      </c>
      <c r="F309" s="6" t="n">
        <v>0</v>
      </c>
      <c r="G309" s="6" t="inlineStr">
        <is>
          <t>&gt;=2 relevant internal links</t>
        </is>
      </c>
      <c r="H309" s="6" t="inlineStr">
        <is>
          <t>Add contextual internal links from and to related pages using descriptive anchor text.</t>
        </is>
      </c>
      <c r="I309" s="31" t="inlineStr">
        <is>
          <t>Links</t>
        </is>
      </c>
      <c r="J309" s="6" t="inlineStr">
        <is>
          <t>Internal Links Count</t>
        </is>
      </c>
      <c r="K309" s="6" t="inlineStr">
        <is>
          <t>No</t>
        </is>
      </c>
      <c r="L309" s="6" t="inlineStr">
        <is>
          <t>Copy Writer</t>
        </is>
      </c>
      <c r="M309" s="25" t="inlineStr">
        <is>
          <t>Open</t>
        </is>
      </c>
      <c r="N309" s="6" t="n">
        <v>4</v>
      </c>
      <c r="O309" s="6" t="inlineStr">
        <is>
          <t>https://africanmarketingconfederation.org/amc-forum-payments/::aioseo_no_internal_links_found</t>
        </is>
      </c>
      <c r="P309" s="6" t="inlineStr">
        <is>
          <t>Internal links help discovery, topical signals, and authority flow.</t>
        </is>
      </c>
      <c r="Q309">
        <f>IFERROR(HYPERLINK("#Main!A"&amp;MATCH(A309,Main!A:A,0),"Open"),HYPERLINK("#Main!A1","Open"))</f>
        <v/>
      </c>
      <c r="R309">
        <f>IFERROR(HYPERLINK("#Technical!A"&amp;MATCH(A309,Technical!A:A,0),"Open"),HYPERLINK("#Technical!A1","Open"))</f>
        <v/>
      </c>
    </row>
    <row r="310" ht="30" customHeight="1">
      <c r="A310" s="33" t="inlineStr">
        <is>
          <t>https://africanmarketingconfederation.org/amc-launch-event-zambia-thank-you-2026/</t>
        </is>
      </c>
      <c r="B310" s="24" t="inlineStr">
        <is>
          <t>Basic SEO</t>
        </is>
      </c>
      <c r="C310" s="29" t="inlineStr">
        <is>
          <t>Info</t>
        </is>
      </c>
      <c r="D310" s="24" t="inlineStr">
        <is>
          <t>Meta description too long</t>
        </is>
      </c>
      <c r="E310" s="24" t="n">
        <v>37</v>
      </c>
      <c r="F310" s="24" t="n">
        <v>347</v>
      </c>
      <c r="G310" s="24" t="inlineStr">
        <is>
          <t>120-160 characters</t>
        </is>
      </c>
      <c r="H310" s="24" t="inlineStr">
        <is>
          <t>Trim meta description in AIOSEO and front-load essential context.</t>
        </is>
      </c>
      <c r="I310" s="28" t="inlineStr">
        <is>
          <t>Main</t>
        </is>
      </c>
      <c r="J310" s="24" t="inlineStr">
        <is>
          <t>Meta Description</t>
        </is>
      </c>
      <c r="K310" s="24" t="inlineStr">
        <is>
          <t>No</t>
        </is>
      </c>
      <c r="L310" s="24" t="inlineStr">
        <is>
          <t>Copy Writer</t>
        </is>
      </c>
      <c r="M310" s="25" t="inlineStr">
        <is>
          <t>Open</t>
        </is>
      </c>
      <c r="N310" s="24" t="n">
        <v>4</v>
      </c>
      <c r="O310" s="24" t="inlineStr">
        <is>
          <t>https://africanmarketingconfederation.org/amc-launch-event-zambia-thank-you-2026/::aioseo_meta_description_too_long</t>
        </is>
      </c>
      <c r="P310" s="24" t="inlineStr">
        <is>
          <t>Long descriptions are often truncated and lose message clarity.</t>
        </is>
      </c>
      <c r="Q310">
        <f>IFERROR(HYPERLINK("#Main!A"&amp;MATCH(A310,Main!A:A,0),"Open"),HYPERLINK("#Main!A1","Open"))</f>
        <v/>
      </c>
      <c r="R310">
        <f>IFERROR(HYPERLINK("#Technical!A"&amp;MATCH(A310,Technical!A:A,0),"Open"),HYPERLINK("#Technical!A1","Open"))</f>
        <v/>
      </c>
    </row>
    <row r="311" ht="30" customHeight="1">
      <c r="A311" s="33" t="inlineStr">
        <is>
          <t>https://africanmarketingconfederation.org/amc-launch-event-zambia-thank-you-2026/</t>
        </is>
      </c>
      <c r="B311" s="6" t="inlineStr">
        <is>
          <t>Basic SEO</t>
        </is>
      </c>
      <c r="C311" s="29" t="inlineStr">
        <is>
          <t>Info</t>
        </is>
      </c>
      <c r="D311" s="6" t="inlineStr">
        <is>
          <t>No internal links found</t>
        </is>
      </c>
      <c r="E311" s="6" t="n">
        <v>37</v>
      </c>
      <c r="F311" s="6" t="n">
        <v>0</v>
      </c>
      <c r="G311" s="6" t="inlineStr">
        <is>
          <t>&gt;=2 relevant internal links</t>
        </is>
      </c>
      <c r="H311" s="6" t="inlineStr">
        <is>
          <t>Add contextual internal links from and to related pages using descriptive anchor text.</t>
        </is>
      </c>
      <c r="I311" s="31" t="inlineStr">
        <is>
          <t>Links</t>
        </is>
      </c>
      <c r="J311" s="6" t="inlineStr">
        <is>
          <t>Internal Links Count</t>
        </is>
      </c>
      <c r="K311" s="6" t="inlineStr">
        <is>
          <t>No</t>
        </is>
      </c>
      <c r="L311" s="6" t="inlineStr">
        <is>
          <t>Copy Writer</t>
        </is>
      </c>
      <c r="M311" s="25" t="inlineStr">
        <is>
          <t>Open</t>
        </is>
      </c>
      <c r="N311" s="6" t="n">
        <v>4</v>
      </c>
      <c r="O311" s="6" t="inlineStr">
        <is>
          <t>https://africanmarketingconfederation.org/amc-launch-event-zambia-thank-you-2026/::aioseo_no_internal_links_found</t>
        </is>
      </c>
      <c r="P311" s="6" t="inlineStr">
        <is>
          <t>Internal links help discovery, topical signals, and authority flow.</t>
        </is>
      </c>
      <c r="Q311">
        <f>IFERROR(HYPERLINK("#Main!A"&amp;MATCH(A311,Main!A:A,0),"Open"),HYPERLINK("#Main!A1","Open"))</f>
        <v/>
      </c>
      <c r="R311">
        <f>IFERROR(HYPERLINK("#Technical!A"&amp;MATCH(A311,Technical!A:A,0),"Open"),HYPERLINK("#Technical!A1","Open"))</f>
        <v/>
      </c>
    </row>
    <row r="312" ht="30" customHeight="1">
      <c r="A312" s="33" t="inlineStr">
        <is>
          <t>https://africanmarketingconfederation.org/amc-marketing-conference-2024/</t>
        </is>
      </c>
      <c r="B312" s="24" t="inlineStr">
        <is>
          <t>Basic SEO</t>
        </is>
      </c>
      <c r="C312" s="29" t="inlineStr">
        <is>
          <t>Info</t>
        </is>
      </c>
      <c r="D312" s="24" t="inlineStr">
        <is>
          <t>Meta description too long</t>
        </is>
      </c>
      <c r="E312" s="24" t="n">
        <v>37</v>
      </c>
      <c r="F312" s="24" t="n">
        <v>380</v>
      </c>
      <c r="G312" s="24" t="inlineStr">
        <is>
          <t>120-160 characters</t>
        </is>
      </c>
      <c r="H312" s="24" t="inlineStr">
        <is>
          <t>Trim meta description in AIOSEO and front-load essential context.</t>
        </is>
      </c>
      <c r="I312" s="28" t="inlineStr">
        <is>
          <t>Main</t>
        </is>
      </c>
      <c r="J312" s="24" t="inlineStr">
        <is>
          <t>Meta Description</t>
        </is>
      </c>
      <c r="K312" s="24" t="inlineStr">
        <is>
          <t>No</t>
        </is>
      </c>
      <c r="L312" s="24" t="inlineStr">
        <is>
          <t>Copy Writer</t>
        </is>
      </c>
      <c r="M312" s="25" t="inlineStr">
        <is>
          <t>Open</t>
        </is>
      </c>
      <c r="N312" s="24" t="n">
        <v>4</v>
      </c>
      <c r="O312" s="24" t="inlineStr">
        <is>
          <t>https://africanmarketingconfederation.org/amc-marketing-conference-2024/::aioseo_meta_description_too_long</t>
        </is>
      </c>
      <c r="P312" s="24" t="inlineStr">
        <is>
          <t>Long descriptions are often truncated and lose message clarity.</t>
        </is>
      </c>
      <c r="Q312">
        <f>IFERROR(HYPERLINK("#Main!A"&amp;MATCH(A312,Main!A:A,0),"Open"),HYPERLINK("#Main!A1","Open"))</f>
        <v/>
      </c>
      <c r="R312">
        <f>IFERROR(HYPERLINK("#Technical!A"&amp;MATCH(A312,Technical!A:A,0),"Open"),HYPERLINK("#Technical!A1","Open"))</f>
        <v/>
      </c>
    </row>
    <row r="313" ht="30" customHeight="1">
      <c r="A313" s="33" t="inlineStr">
        <is>
          <t>https://africanmarketingconfederation.org/amc-marketing-conference-2024/</t>
        </is>
      </c>
      <c r="B313" s="6" t="inlineStr">
        <is>
          <t>Basic SEO</t>
        </is>
      </c>
      <c r="C313" s="29" t="inlineStr">
        <is>
          <t>Info</t>
        </is>
      </c>
      <c r="D313" s="6" t="inlineStr">
        <is>
          <t>No internal links found</t>
        </is>
      </c>
      <c r="E313" s="6" t="n">
        <v>37</v>
      </c>
      <c r="F313" s="6" t="n">
        <v>0</v>
      </c>
      <c r="G313" s="6" t="inlineStr">
        <is>
          <t>&gt;=2 relevant internal links</t>
        </is>
      </c>
      <c r="H313" s="6" t="inlineStr">
        <is>
          <t>Add contextual internal links from and to related pages using descriptive anchor text.</t>
        </is>
      </c>
      <c r="I313" s="31" t="inlineStr">
        <is>
          <t>Links</t>
        </is>
      </c>
      <c r="J313" s="6" t="inlineStr">
        <is>
          <t>Internal Links Count</t>
        </is>
      </c>
      <c r="K313" s="6" t="inlineStr">
        <is>
          <t>No</t>
        </is>
      </c>
      <c r="L313" s="6" t="inlineStr">
        <is>
          <t>Copy Writer</t>
        </is>
      </c>
      <c r="M313" s="25" t="inlineStr">
        <is>
          <t>Open</t>
        </is>
      </c>
      <c r="N313" s="6" t="n">
        <v>4</v>
      </c>
      <c r="O313" s="6" t="inlineStr">
        <is>
          <t>https://africanmarketingconfederation.org/amc-marketing-conference-2024/::aioseo_no_internal_links_found</t>
        </is>
      </c>
      <c r="P313" s="6" t="inlineStr">
        <is>
          <t>Internal links help discovery, topical signals, and authority flow.</t>
        </is>
      </c>
      <c r="Q313">
        <f>IFERROR(HYPERLINK("#Main!A"&amp;MATCH(A313,Main!A:A,0),"Open"),HYPERLINK("#Main!A1","Open"))</f>
        <v/>
      </c>
      <c r="R313">
        <f>IFERROR(HYPERLINK("#Technical!A"&amp;MATCH(A313,Technical!A:A,0),"Open"),HYPERLINK("#Technical!A1","Open"))</f>
        <v/>
      </c>
    </row>
    <row r="314" ht="45" customHeight="1">
      <c r="A314" s="33" t="inlineStr">
        <is>
          <t>https://africanmarketingconfederation.org/amc-marketing-conference-2024/amc-conference-2025-ghana-sponsors/</t>
        </is>
      </c>
      <c r="B314" s="24" t="inlineStr">
        <is>
          <t>Basic SEO</t>
        </is>
      </c>
      <c r="C314" s="29" t="inlineStr">
        <is>
          <t>Info</t>
        </is>
      </c>
      <c r="D314" s="24" t="inlineStr">
        <is>
          <t>Meta description too long</t>
        </is>
      </c>
      <c r="E314" s="24" t="n">
        <v>37</v>
      </c>
      <c r="F314" s="24" t="n">
        <v>346</v>
      </c>
      <c r="G314" s="24" t="inlineStr">
        <is>
          <t>120-160 characters</t>
        </is>
      </c>
      <c r="H314" s="24" t="inlineStr">
        <is>
          <t>Trim meta description in AIOSEO and front-load essential context.</t>
        </is>
      </c>
      <c r="I314" s="28" t="inlineStr">
        <is>
          <t>Main</t>
        </is>
      </c>
      <c r="J314" s="24" t="inlineStr">
        <is>
          <t>Meta Description</t>
        </is>
      </c>
      <c r="K314" s="24" t="inlineStr">
        <is>
          <t>No</t>
        </is>
      </c>
      <c r="L314" s="24" t="inlineStr">
        <is>
          <t>Copy Writer</t>
        </is>
      </c>
      <c r="M314" s="25" t="inlineStr">
        <is>
          <t>Open</t>
        </is>
      </c>
      <c r="N314" s="24" t="n">
        <v>4</v>
      </c>
      <c r="O314" s="24" t="inlineStr">
        <is>
          <t>https://africanmarketingconfederation.org/amc-marketing-conference-2024/amc-conference-2025-ghana-sponsors/::aioseo_meta_description_too_long</t>
        </is>
      </c>
      <c r="P314" s="24" t="inlineStr">
        <is>
          <t>Long descriptions are often truncated and lose message clarity.</t>
        </is>
      </c>
      <c r="Q314">
        <f>IFERROR(HYPERLINK("#Main!A"&amp;MATCH(A314,Main!A:A,0),"Open"),HYPERLINK("#Main!A1","Open"))</f>
        <v/>
      </c>
      <c r="R314">
        <f>IFERROR(HYPERLINK("#Technical!A"&amp;MATCH(A314,Technical!A:A,0),"Open"),HYPERLINK("#Technical!A1","Open"))</f>
        <v/>
      </c>
    </row>
    <row r="315" ht="45" customHeight="1">
      <c r="A315" s="33" t="inlineStr">
        <is>
          <t>https://africanmarketingconfederation.org/amc-marketing-conference-2024/amc-conference-2025-ghana-sponsors/</t>
        </is>
      </c>
      <c r="B315" s="6" t="inlineStr">
        <is>
          <t>Basic SEO</t>
        </is>
      </c>
      <c r="C315" s="29" t="inlineStr">
        <is>
          <t>Info</t>
        </is>
      </c>
      <c r="D315" s="6" t="inlineStr">
        <is>
          <t>No internal links found</t>
        </is>
      </c>
      <c r="E315" s="6" t="n">
        <v>37</v>
      </c>
      <c r="F315" s="6" t="n">
        <v>0</v>
      </c>
      <c r="G315" s="6" t="inlineStr">
        <is>
          <t>&gt;=2 relevant internal links</t>
        </is>
      </c>
      <c r="H315" s="6" t="inlineStr">
        <is>
          <t>Add contextual internal links from and to related pages using descriptive anchor text.</t>
        </is>
      </c>
      <c r="I315" s="31" t="inlineStr">
        <is>
          <t>Links</t>
        </is>
      </c>
      <c r="J315" s="6" t="inlineStr">
        <is>
          <t>Internal Links Count</t>
        </is>
      </c>
      <c r="K315" s="6" t="inlineStr">
        <is>
          <t>No</t>
        </is>
      </c>
      <c r="L315" s="6" t="inlineStr">
        <is>
          <t>Copy Writer</t>
        </is>
      </c>
      <c r="M315" s="25" t="inlineStr">
        <is>
          <t>Open</t>
        </is>
      </c>
      <c r="N315" s="6" t="n">
        <v>4</v>
      </c>
      <c r="O315" s="6" t="inlineStr">
        <is>
          <t>https://africanmarketingconfederation.org/amc-marketing-conference-2024/amc-conference-2025-ghana-sponsors/::aioseo_no_internal_links_found</t>
        </is>
      </c>
      <c r="P315" s="6" t="inlineStr">
        <is>
          <t>Internal links help discovery, topical signals, and authority flow.</t>
        </is>
      </c>
      <c r="Q315">
        <f>IFERROR(HYPERLINK("#Main!A"&amp;MATCH(A315,Main!A:A,0),"Open"),HYPERLINK("#Main!A1","Open"))</f>
        <v/>
      </c>
      <c r="R315">
        <f>IFERROR(HYPERLINK("#Technical!A"&amp;MATCH(A315,Technical!A:A,0),"Open"),HYPERLINK("#Technical!A1","Open"))</f>
        <v/>
      </c>
    </row>
    <row r="316" ht="30" customHeight="1">
      <c r="A316" s="33" t="inlineStr">
        <is>
          <t>https://africanmarketingconfederation.org/amc-marketing-conference-2024/amc-launch-event-2025/</t>
        </is>
      </c>
      <c r="B316" s="24" t="inlineStr">
        <is>
          <t>Basic SEO</t>
        </is>
      </c>
      <c r="C316" s="29" t="inlineStr">
        <is>
          <t>Info</t>
        </is>
      </c>
      <c r="D316" s="24" t="inlineStr">
        <is>
          <t>Meta description too long</t>
        </is>
      </c>
      <c r="E316" s="24" t="n">
        <v>37</v>
      </c>
      <c r="F316" s="24" t="n">
        <v>702</v>
      </c>
      <c r="G316" s="24" t="inlineStr">
        <is>
          <t>120-160 characters</t>
        </is>
      </c>
      <c r="H316" s="24" t="inlineStr">
        <is>
          <t>Trim meta description in AIOSEO and front-load essential context.</t>
        </is>
      </c>
      <c r="I316" s="28" t="inlineStr">
        <is>
          <t>Main</t>
        </is>
      </c>
      <c r="J316" s="24" t="inlineStr">
        <is>
          <t>Meta Description</t>
        </is>
      </c>
      <c r="K316" s="24" t="inlineStr">
        <is>
          <t>No</t>
        </is>
      </c>
      <c r="L316" s="24" t="inlineStr">
        <is>
          <t>Copy Writer</t>
        </is>
      </c>
      <c r="M316" s="25" t="inlineStr">
        <is>
          <t>Open</t>
        </is>
      </c>
      <c r="N316" s="24" t="n">
        <v>4</v>
      </c>
      <c r="O316" s="24" t="inlineStr">
        <is>
          <t>https://africanmarketingconfederation.org/amc-marketing-conference-2024/amc-launch-event-2025/::aioseo_meta_description_too_long</t>
        </is>
      </c>
      <c r="P316" s="24" t="inlineStr">
        <is>
          <t>Long descriptions are often truncated and lose message clarity.</t>
        </is>
      </c>
      <c r="Q316">
        <f>IFERROR(HYPERLINK("#Main!A"&amp;MATCH(A316,Main!A:A,0),"Open"),HYPERLINK("#Main!A1","Open"))</f>
        <v/>
      </c>
      <c r="R316">
        <f>IFERROR(HYPERLINK("#Technical!A"&amp;MATCH(A316,Technical!A:A,0),"Open"),HYPERLINK("#Technical!A1","Open"))</f>
        <v/>
      </c>
    </row>
    <row r="317" ht="30" customHeight="1">
      <c r="A317" s="33" t="inlineStr">
        <is>
          <t>https://africanmarketingconfederation.org/amc-marketing-conference-2024/amc-launch-event-2025/</t>
        </is>
      </c>
      <c r="B317" s="6" t="inlineStr">
        <is>
          <t>Basic SEO</t>
        </is>
      </c>
      <c r="C317" s="29" t="inlineStr">
        <is>
          <t>Info</t>
        </is>
      </c>
      <c r="D317" s="6" t="inlineStr">
        <is>
          <t>No internal links found</t>
        </is>
      </c>
      <c r="E317" s="6" t="n">
        <v>37</v>
      </c>
      <c r="F317" s="6" t="n">
        <v>0</v>
      </c>
      <c r="G317" s="6" t="inlineStr">
        <is>
          <t>&gt;=2 relevant internal links</t>
        </is>
      </c>
      <c r="H317" s="6" t="inlineStr">
        <is>
          <t>Add contextual internal links from and to related pages using descriptive anchor text.</t>
        </is>
      </c>
      <c r="I317" s="31" t="inlineStr">
        <is>
          <t>Links</t>
        </is>
      </c>
      <c r="J317" s="6" t="inlineStr">
        <is>
          <t>Internal Links Count</t>
        </is>
      </c>
      <c r="K317" s="6" t="inlineStr">
        <is>
          <t>No</t>
        </is>
      </c>
      <c r="L317" s="6" t="inlineStr">
        <is>
          <t>Copy Writer</t>
        </is>
      </c>
      <c r="M317" s="25" t="inlineStr">
        <is>
          <t>Open</t>
        </is>
      </c>
      <c r="N317" s="6" t="n">
        <v>4</v>
      </c>
      <c r="O317" s="6" t="inlineStr">
        <is>
          <t>https://africanmarketingconfederation.org/amc-marketing-conference-2024/amc-launch-event-2025/::aioseo_no_internal_links_found</t>
        </is>
      </c>
      <c r="P317" s="6" t="inlineStr">
        <is>
          <t>Internal links help discovery, topical signals, and authority flow.</t>
        </is>
      </c>
      <c r="Q317">
        <f>IFERROR(HYPERLINK("#Main!A"&amp;MATCH(A317,Main!A:A,0),"Open"),HYPERLINK("#Main!A1","Open"))</f>
        <v/>
      </c>
      <c r="R317">
        <f>IFERROR(HYPERLINK("#Technical!A"&amp;MATCH(A317,Technical!A:A,0),"Open"),HYPERLINK("#Technical!A1","Open"))</f>
        <v/>
      </c>
    </row>
    <row r="318" ht="30" customHeight="1">
      <c r="A318" s="33" t="inlineStr">
        <is>
          <t>https://africanmarketingconfederation.org/amc-marketing-conference-2024/amc-preregister-2025/</t>
        </is>
      </c>
      <c r="B318" s="24" t="inlineStr">
        <is>
          <t>Basic SEO</t>
        </is>
      </c>
      <c r="C318" s="29" t="inlineStr">
        <is>
          <t>Info</t>
        </is>
      </c>
      <c r="D318" s="24" t="inlineStr">
        <is>
          <t>Meta description too long</t>
        </is>
      </c>
      <c r="E318" s="24" t="n">
        <v>37</v>
      </c>
      <c r="F318" s="24" t="n">
        <v>576</v>
      </c>
      <c r="G318" s="24" t="inlineStr">
        <is>
          <t>120-160 characters</t>
        </is>
      </c>
      <c r="H318" s="24" t="inlineStr">
        <is>
          <t>Trim meta description in AIOSEO and front-load essential context.</t>
        </is>
      </c>
      <c r="I318" s="28" t="inlineStr">
        <is>
          <t>Main</t>
        </is>
      </c>
      <c r="J318" s="24" t="inlineStr">
        <is>
          <t>Meta Description</t>
        </is>
      </c>
      <c r="K318" s="24" t="inlineStr">
        <is>
          <t>No</t>
        </is>
      </c>
      <c r="L318" s="24" t="inlineStr">
        <is>
          <t>Copy Writer</t>
        </is>
      </c>
      <c r="M318" s="25" t="inlineStr">
        <is>
          <t>Open</t>
        </is>
      </c>
      <c r="N318" s="24" t="n">
        <v>4</v>
      </c>
      <c r="O318" s="24" t="inlineStr">
        <is>
          <t>https://africanmarketingconfederation.org/amc-marketing-conference-2024/amc-preregister-2025/::aioseo_meta_description_too_long</t>
        </is>
      </c>
      <c r="P318" s="24" t="inlineStr">
        <is>
          <t>Long descriptions are often truncated and lose message clarity.</t>
        </is>
      </c>
      <c r="Q318">
        <f>IFERROR(HYPERLINK("#Main!A"&amp;MATCH(A318,Main!A:A,0),"Open"),HYPERLINK("#Main!A1","Open"))</f>
        <v/>
      </c>
      <c r="R318">
        <f>IFERROR(HYPERLINK("#Technical!A"&amp;MATCH(A318,Technical!A:A,0),"Open"),HYPERLINK("#Technical!A1","Open"))</f>
        <v/>
      </c>
    </row>
    <row r="319" ht="30" customHeight="1">
      <c r="A319" s="33" t="inlineStr">
        <is>
          <t>https://africanmarketingconfederation.org/amc-marketing-conference-2024/amc-preregister-2025/</t>
        </is>
      </c>
      <c r="B319" s="6" t="inlineStr">
        <is>
          <t>Basic SEO</t>
        </is>
      </c>
      <c r="C319" s="29" t="inlineStr">
        <is>
          <t>Info</t>
        </is>
      </c>
      <c r="D319" s="6" t="inlineStr">
        <is>
          <t>No internal links found</t>
        </is>
      </c>
      <c r="E319" s="6" t="n">
        <v>37</v>
      </c>
      <c r="F319" s="6" t="n">
        <v>0</v>
      </c>
      <c r="G319" s="6" t="inlineStr">
        <is>
          <t>&gt;=2 relevant internal links</t>
        </is>
      </c>
      <c r="H319" s="6" t="inlineStr">
        <is>
          <t>Add contextual internal links from and to related pages using descriptive anchor text.</t>
        </is>
      </c>
      <c r="I319" s="31" t="inlineStr">
        <is>
          <t>Links</t>
        </is>
      </c>
      <c r="J319" s="6" t="inlineStr">
        <is>
          <t>Internal Links Count</t>
        </is>
      </c>
      <c r="K319" s="6" t="inlineStr">
        <is>
          <t>No</t>
        </is>
      </c>
      <c r="L319" s="6" t="inlineStr">
        <is>
          <t>Copy Writer</t>
        </is>
      </c>
      <c r="M319" s="25" t="inlineStr">
        <is>
          <t>Open</t>
        </is>
      </c>
      <c r="N319" s="6" t="n">
        <v>4</v>
      </c>
      <c r="O319" s="6" t="inlineStr">
        <is>
          <t>https://africanmarketingconfederation.org/amc-marketing-conference-2024/amc-preregister-2025/::aioseo_no_internal_links_found</t>
        </is>
      </c>
      <c r="P319" s="6" t="inlineStr">
        <is>
          <t>Internal links help discovery, topical signals, and authority flow.</t>
        </is>
      </c>
      <c r="Q319">
        <f>IFERROR(HYPERLINK("#Main!A"&amp;MATCH(A319,Main!A:A,0),"Open"),HYPERLINK("#Main!A1","Open"))</f>
        <v/>
      </c>
      <c r="R319">
        <f>IFERROR(HYPERLINK("#Technical!A"&amp;MATCH(A319,Technical!A:A,0),"Open"),HYPERLINK("#Technical!A1","Open"))</f>
        <v/>
      </c>
    </row>
    <row r="320" ht="30" customHeight="1">
      <c r="A320" s="33" t="inlineStr">
        <is>
          <t>https://africanmarketingconfederation.org/amc-marketing-conference-2024/amc-programme-2025/</t>
        </is>
      </c>
      <c r="B320" s="24" t="inlineStr">
        <is>
          <t>Basic SEO</t>
        </is>
      </c>
      <c r="C320" s="29" t="inlineStr">
        <is>
          <t>Info</t>
        </is>
      </c>
      <c r="D320" s="24" t="inlineStr">
        <is>
          <t>No internal links found</t>
        </is>
      </c>
      <c r="E320" s="24" t="n">
        <v>37</v>
      </c>
      <c r="F320" s="24" t="n">
        <v>0</v>
      </c>
      <c r="G320" s="24" t="inlineStr">
        <is>
          <t>&gt;=2 relevant internal links</t>
        </is>
      </c>
      <c r="H320" s="24" t="inlineStr">
        <is>
          <t>Add contextual internal links from and to related pages using descriptive anchor text.</t>
        </is>
      </c>
      <c r="I320" s="28" t="inlineStr">
        <is>
          <t>Links</t>
        </is>
      </c>
      <c r="J320" s="24" t="inlineStr">
        <is>
          <t>Internal Links Count</t>
        </is>
      </c>
      <c r="K320" s="24" t="inlineStr">
        <is>
          <t>No</t>
        </is>
      </c>
      <c r="L320" s="24" t="inlineStr">
        <is>
          <t>Copy Writer</t>
        </is>
      </c>
      <c r="M320" s="25" t="inlineStr">
        <is>
          <t>Open</t>
        </is>
      </c>
      <c r="N320" s="24" t="n">
        <v>4</v>
      </c>
      <c r="O320" s="24" t="inlineStr">
        <is>
          <t>https://africanmarketingconfederation.org/amc-marketing-conference-2024/amc-programme-2025/::aioseo_no_internal_links_found</t>
        </is>
      </c>
      <c r="P320" s="24" t="inlineStr">
        <is>
          <t>Internal links help discovery, topical signals, and authority flow.</t>
        </is>
      </c>
      <c r="Q320">
        <f>IFERROR(HYPERLINK("#Main!A"&amp;MATCH(A320,Main!A:A,0),"Open"),HYPERLINK("#Main!A1","Open"))</f>
        <v/>
      </c>
      <c r="R320">
        <f>IFERROR(HYPERLINK("#Technical!A"&amp;MATCH(A320,Technical!A:A,0),"Open"),HYPERLINK("#Technical!A1","Open"))</f>
        <v/>
      </c>
    </row>
    <row r="321" ht="45" customHeight="1">
      <c r="A321" s="33" t="inlineStr">
        <is>
          <t>https://africanmarketingconfederation.org/amc-marketing-conference-2024/amc-speakers-presentations-2024/</t>
        </is>
      </c>
      <c r="B321" s="6" t="inlineStr">
        <is>
          <t>Basic SEO</t>
        </is>
      </c>
      <c r="C321" s="29" t="inlineStr">
        <is>
          <t>Info</t>
        </is>
      </c>
      <c r="D321" s="6" t="inlineStr">
        <is>
          <t>Meta description too long</t>
        </is>
      </c>
      <c r="E321" s="6" t="n">
        <v>37</v>
      </c>
      <c r="F321" s="6" t="n">
        <v>278</v>
      </c>
      <c r="G321" s="6" t="inlineStr">
        <is>
          <t>120-160 characters</t>
        </is>
      </c>
      <c r="H321" s="6" t="inlineStr">
        <is>
          <t>Trim meta description in AIOSEO and front-load essential context.</t>
        </is>
      </c>
      <c r="I321" s="31" t="inlineStr">
        <is>
          <t>Main</t>
        </is>
      </c>
      <c r="J321" s="6" t="inlineStr">
        <is>
          <t>Meta Description</t>
        </is>
      </c>
      <c r="K321" s="6" t="inlineStr">
        <is>
          <t>No</t>
        </is>
      </c>
      <c r="L321" s="6" t="inlineStr">
        <is>
          <t>Copy Writer</t>
        </is>
      </c>
      <c r="M321" s="25" t="inlineStr">
        <is>
          <t>Open</t>
        </is>
      </c>
      <c r="N321" s="6" t="n">
        <v>4</v>
      </c>
      <c r="O321" s="6" t="inlineStr">
        <is>
          <t>https://africanmarketingconfederation.org/amc-marketing-conference-2024/amc-speakers-presentations-2024/::aioseo_meta_description_too_long</t>
        </is>
      </c>
      <c r="P321" s="6" t="inlineStr">
        <is>
          <t>Long descriptions are often truncated and lose message clarity.</t>
        </is>
      </c>
      <c r="Q321">
        <f>IFERROR(HYPERLINK("#Main!A"&amp;MATCH(A321,Main!A:A,0),"Open"),HYPERLINK("#Main!A1","Open"))</f>
        <v/>
      </c>
      <c r="R321">
        <f>IFERROR(HYPERLINK("#Technical!A"&amp;MATCH(A321,Technical!A:A,0),"Open"),HYPERLINK("#Technical!A1","Open"))</f>
        <v/>
      </c>
    </row>
    <row r="322" ht="45" customHeight="1">
      <c r="A322" s="33" t="inlineStr">
        <is>
          <t>https://africanmarketingconfederation.org/amc-marketing-conference-2024/amc-speakers-presentations-2024/</t>
        </is>
      </c>
      <c r="B322" s="24" t="inlineStr">
        <is>
          <t>Basic SEO</t>
        </is>
      </c>
      <c r="C322" s="29" t="inlineStr">
        <is>
          <t>Info</t>
        </is>
      </c>
      <c r="D322" s="24" t="inlineStr">
        <is>
          <t>No internal links found</t>
        </is>
      </c>
      <c r="E322" s="24" t="n">
        <v>37</v>
      </c>
      <c r="F322" s="24" t="n">
        <v>0</v>
      </c>
      <c r="G322" s="24" t="inlineStr">
        <is>
          <t>&gt;=2 relevant internal links</t>
        </is>
      </c>
      <c r="H322" s="24" t="inlineStr">
        <is>
          <t>Add contextual internal links from and to related pages using descriptive anchor text.</t>
        </is>
      </c>
      <c r="I322" s="28" t="inlineStr">
        <is>
          <t>Links</t>
        </is>
      </c>
      <c r="J322" s="24" t="inlineStr">
        <is>
          <t>Internal Links Count</t>
        </is>
      </c>
      <c r="K322" s="24" t="inlineStr">
        <is>
          <t>No</t>
        </is>
      </c>
      <c r="L322" s="24" t="inlineStr">
        <is>
          <t>Copy Writer</t>
        </is>
      </c>
      <c r="M322" s="25" t="inlineStr">
        <is>
          <t>Open</t>
        </is>
      </c>
      <c r="N322" s="24" t="n">
        <v>4</v>
      </c>
      <c r="O322" s="24" t="inlineStr">
        <is>
          <t>https://africanmarketingconfederation.org/amc-marketing-conference-2024/amc-speakers-presentations-2024/::aioseo_no_internal_links_found</t>
        </is>
      </c>
      <c r="P322" s="24" t="inlineStr">
        <is>
          <t>Internal links help discovery, topical signals, and authority flow.</t>
        </is>
      </c>
      <c r="Q322">
        <f>IFERROR(HYPERLINK("#Main!A"&amp;MATCH(A322,Main!A:A,0),"Open"),HYPERLINK("#Main!A1","Open"))</f>
        <v/>
      </c>
      <c r="R322">
        <f>IFERROR(HYPERLINK("#Technical!A"&amp;MATCH(A322,Technical!A:A,0),"Open"),HYPERLINK("#Technical!A1","Open"))</f>
        <v/>
      </c>
    </row>
    <row r="323" ht="30" customHeight="1">
      <c r="A323" s="33" t="inlineStr">
        <is>
          <t>https://africanmarketingconfederation.org/amc-marketing-conference-2024/awards-2025/</t>
        </is>
      </c>
      <c r="B323" s="6" t="inlineStr">
        <is>
          <t>Basic SEO</t>
        </is>
      </c>
      <c r="C323" s="29" t="inlineStr">
        <is>
          <t>Info</t>
        </is>
      </c>
      <c r="D323" s="6" t="inlineStr">
        <is>
          <t>Meta description too long</t>
        </is>
      </c>
      <c r="E323" s="6" t="n">
        <v>37</v>
      </c>
      <c r="F323" s="6" t="n">
        <v>372</v>
      </c>
      <c r="G323" s="6" t="inlineStr">
        <is>
          <t>120-160 characters</t>
        </is>
      </c>
      <c r="H323" s="6" t="inlineStr">
        <is>
          <t>Trim meta description in AIOSEO and front-load essential context.</t>
        </is>
      </c>
      <c r="I323" s="31" t="inlineStr">
        <is>
          <t>Main</t>
        </is>
      </c>
      <c r="J323" s="6" t="inlineStr">
        <is>
          <t>Meta Description</t>
        </is>
      </c>
      <c r="K323" s="6" t="inlineStr">
        <is>
          <t>No</t>
        </is>
      </c>
      <c r="L323" s="6" t="inlineStr">
        <is>
          <t>Copy Writer</t>
        </is>
      </c>
      <c r="M323" s="25" t="inlineStr">
        <is>
          <t>Open</t>
        </is>
      </c>
      <c r="N323" s="6" t="n">
        <v>4</v>
      </c>
      <c r="O323" s="6" t="inlineStr">
        <is>
          <t>https://africanmarketingconfederation.org/amc-marketing-conference-2024/awards-2025/::aioseo_meta_description_too_long</t>
        </is>
      </c>
      <c r="P323" s="6" t="inlineStr">
        <is>
          <t>Long descriptions are often truncated and lose message clarity.</t>
        </is>
      </c>
      <c r="Q323">
        <f>IFERROR(HYPERLINK("#Main!A"&amp;MATCH(A323,Main!A:A,0),"Open"),HYPERLINK("#Main!A1","Open"))</f>
        <v/>
      </c>
      <c r="R323">
        <f>IFERROR(HYPERLINK("#Technical!A"&amp;MATCH(A323,Technical!A:A,0),"Open"),HYPERLINK("#Technical!A1","Open"))</f>
        <v/>
      </c>
    </row>
    <row r="324" ht="30" customHeight="1">
      <c r="A324" s="33" t="inlineStr">
        <is>
          <t>https://africanmarketingconfederation.org/amc-marketing-conference-2024/awards-2025/</t>
        </is>
      </c>
      <c r="B324" s="24" t="inlineStr">
        <is>
          <t>Basic SEO</t>
        </is>
      </c>
      <c r="C324" s="29" t="inlineStr">
        <is>
          <t>Info</t>
        </is>
      </c>
      <c r="D324" s="24" t="inlineStr">
        <is>
          <t>No internal links found</t>
        </is>
      </c>
      <c r="E324" s="24" t="n">
        <v>37</v>
      </c>
      <c r="F324" s="24" t="n">
        <v>0</v>
      </c>
      <c r="G324" s="24" t="inlineStr">
        <is>
          <t>&gt;=2 relevant internal links</t>
        </is>
      </c>
      <c r="H324" s="24" t="inlineStr">
        <is>
          <t>Add contextual internal links from and to related pages using descriptive anchor text.</t>
        </is>
      </c>
      <c r="I324" s="28" t="inlineStr">
        <is>
          <t>Links</t>
        </is>
      </c>
      <c r="J324" s="24" t="inlineStr">
        <is>
          <t>Internal Links Count</t>
        </is>
      </c>
      <c r="K324" s="24" t="inlineStr">
        <is>
          <t>No</t>
        </is>
      </c>
      <c r="L324" s="24" t="inlineStr">
        <is>
          <t>Copy Writer</t>
        </is>
      </c>
      <c r="M324" s="25" t="inlineStr">
        <is>
          <t>Open</t>
        </is>
      </c>
      <c r="N324" s="24" t="n">
        <v>4</v>
      </c>
      <c r="O324" s="24" t="inlineStr">
        <is>
          <t>https://africanmarketingconfederation.org/amc-marketing-conference-2024/awards-2025/::aioseo_no_internal_links_found</t>
        </is>
      </c>
      <c r="P324" s="24" t="inlineStr">
        <is>
          <t>Internal links help discovery, topical signals, and authority flow.</t>
        </is>
      </c>
      <c r="Q324">
        <f>IFERROR(HYPERLINK("#Main!A"&amp;MATCH(A324,Main!A:A,0),"Open"),HYPERLINK("#Main!A1","Open"))</f>
        <v/>
      </c>
      <c r="R324">
        <f>IFERROR(HYPERLINK("#Technical!A"&amp;MATCH(A324,Technical!A:A,0),"Open"),HYPERLINK("#Technical!A1","Open"))</f>
        <v/>
      </c>
    </row>
    <row r="325" ht="30" customHeight="1">
      <c r="A325" s="33" t="inlineStr">
        <is>
          <t>https://africanmarketingconfederation.org/amc-marketing-conference-2024/programme-2024/</t>
        </is>
      </c>
      <c r="B325" s="6" t="inlineStr">
        <is>
          <t>Basic SEO</t>
        </is>
      </c>
      <c r="C325" s="29" t="inlineStr">
        <is>
          <t>Info</t>
        </is>
      </c>
      <c r="D325" s="6" t="inlineStr">
        <is>
          <t>Meta description too long</t>
        </is>
      </c>
      <c r="E325" s="6" t="n">
        <v>37</v>
      </c>
      <c r="F325" s="6" t="n">
        <v>384</v>
      </c>
      <c r="G325" s="6" t="inlineStr">
        <is>
          <t>120-160 characters</t>
        </is>
      </c>
      <c r="H325" s="6" t="inlineStr">
        <is>
          <t>Trim meta description in AIOSEO and front-load essential context.</t>
        </is>
      </c>
      <c r="I325" s="31" t="inlineStr">
        <is>
          <t>Main</t>
        </is>
      </c>
      <c r="J325" s="6" t="inlineStr">
        <is>
          <t>Meta Description</t>
        </is>
      </c>
      <c r="K325" s="6" t="inlineStr">
        <is>
          <t>No</t>
        </is>
      </c>
      <c r="L325" s="6" t="inlineStr">
        <is>
          <t>Copy Writer</t>
        </is>
      </c>
      <c r="M325" s="25" t="inlineStr">
        <is>
          <t>Open</t>
        </is>
      </c>
      <c r="N325" s="6" t="n">
        <v>4</v>
      </c>
      <c r="O325" s="6" t="inlineStr">
        <is>
          <t>https://africanmarketingconfederation.org/amc-marketing-conference-2024/programme-2024/::aioseo_meta_description_too_long</t>
        </is>
      </c>
      <c r="P325" s="6" t="inlineStr">
        <is>
          <t>Long descriptions are often truncated and lose message clarity.</t>
        </is>
      </c>
      <c r="Q325">
        <f>IFERROR(HYPERLINK("#Main!A"&amp;MATCH(A325,Main!A:A,0),"Open"),HYPERLINK("#Main!A1","Open"))</f>
        <v/>
      </c>
      <c r="R325">
        <f>IFERROR(HYPERLINK("#Technical!A"&amp;MATCH(A325,Technical!A:A,0),"Open"),HYPERLINK("#Technical!A1","Open"))</f>
        <v/>
      </c>
    </row>
    <row r="326" ht="30" customHeight="1">
      <c r="A326" s="33" t="inlineStr">
        <is>
          <t>https://africanmarketingconfederation.org/amc-marketing-conference-2024/programme-2024/</t>
        </is>
      </c>
      <c r="B326" s="24" t="inlineStr">
        <is>
          <t>Basic SEO</t>
        </is>
      </c>
      <c r="C326" s="29" t="inlineStr">
        <is>
          <t>Info</t>
        </is>
      </c>
      <c r="D326" s="24" t="inlineStr">
        <is>
          <t>No internal links found</t>
        </is>
      </c>
      <c r="E326" s="24" t="n">
        <v>37</v>
      </c>
      <c r="F326" s="24" t="n">
        <v>0</v>
      </c>
      <c r="G326" s="24" t="inlineStr">
        <is>
          <t>&gt;=2 relevant internal links</t>
        </is>
      </c>
      <c r="H326" s="24" t="inlineStr">
        <is>
          <t>Add contextual internal links from and to related pages using descriptive anchor text.</t>
        </is>
      </c>
      <c r="I326" s="28" t="inlineStr">
        <is>
          <t>Links</t>
        </is>
      </c>
      <c r="J326" s="24" t="inlineStr">
        <is>
          <t>Internal Links Count</t>
        </is>
      </c>
      <c r="K326" s="24" t="inlineStr">
        <is>
          <t>No</t>
        </is>
      </c>
      <c r="L326" s="24" t="inlineStr">
        <is>
          <t>Copy Writer</t>
        </is>
      </c>
      <c r="M326" s="25" t="inlineStr">
        <is>
          <t>Open</t>
        </is>
      </c>
      <c r="N326" s="24" t="n">
        <v>4</v>
      </c>
      <c r="O326" s="24" t="inlineStr">
        <is>
          <t>https://africanmarketingconfederation.org/amc-marketing-conference-2024/programme-2024/::aioseo_no_internal_links_found</t>
        </is>
      </c>
      <c r="P326" s="24" t="inlineStr">
        <is>
          <t>Internal links help discovery, topical signals, and authority flow.</t>
        </is>
      </c>
      <c r="Q326">
        <f>IFERROR(HYPERLINK("#Main!A"&amp;MATCH(A326,Main!A:A,0),"Open"),HYPERLINK("#Main!A1","Open"))</f>
        <v/>
      </c>
      <c r="R326">
        <f>IFERROR(HYPERLINK("#Technical!A"&amp;MATCH(A326,Technical!A:A,0),"Open"),HYPERLINK("#Technical!A1","Open"))</f>
        <v/>
      </c>
    </row>
    <row r="327" ht="30" customHeight="1">
      <c r="A327" s="33" t="inlineStr">
        <is>
          <t>https://africanmarketingconfederation.org/amc-marketing-conference-2024/speakers-2024/</t>
        </is>
      </c>
      <c r="B327" s="6" t="inlineStr">
        <is>
          <t>Basic SEO</t>
        </is>
      </c>
      <c r="C327" s="29" t="inlineStr">
        <is>
          <t>Info</t>
        </is>
      </c>
      <c r="D327" s="6" t="inlineStr">
        <is>
          <t>No internal links found</t>
        </is>
      </c>
      <c r="E327" s="6" t="n">
        <v>37</v>
      </c>
      <c r="F327" s="6" t="n">
        <v>0</v>
      </c>
      <c r="G327" s="6" t="inlineStr">
        <is>
          <t>&gt;=2 relevant internal links</t>
        </is>
      </c>
      <c r="H327" s="6" t="inlineStr">
        <is>
          <t>Add contextual internal links from and to related pages using descriptive anchor text.</t>
        </is>
      </c>
      <c r="I327" s="31" t="inlineStr">
        <is>
          <t>Links</t>
        </is>
      </c>
      <c r="J327" s="6" t="inlineStr">
        <is>
          <t>Internal Links Count</t>
        </is>
      </c>
      <c r="K327" s="6" t="inlineStr">
        <is>
          <t>No</t>
        </is>
      </c>
      <c r="L327" s="6" t="inlineStr">
        <is>
          <t>Copy Writer</t>
        </is>
      </c>
      <c r="M327" s="25" t="inlineStr">
        <is>
          <t>Open</t>
        </is>
      </c>
      <c r="N327" s="6" t="n">
        <v>4</v>
      </c>
      <c r="O327" s="6" t="inlineStr">
        <is>
          <t>https://africanmarketingconfederation.org/amc-marketing-conference-2024/speakers-2024/::aioseo_no_internal_links_found</t>
        </is>
      </c>
      <c r="P327" s="6" t="inlineStr">
        <is>
          <t>Internal links help discovery, topical signals, and authority flow.</t>
        </is>
      </c>
      <c r="Q327">
        <f>IFERROR(HYPERLINK("#Main!A"&amp;MATCH(A327,Main!A:A,0),"Open"),HYPERLINK("#Main!A1","Open"))</f>
        <v/>
      </c>
      <c r="R327">
        <f>IFERROR(HYPERLINK("#Technical!A"&amp;MATCH(A327,Technical!A:A,0),"Open"),HYPERLINK("#Technical!A1","Open"))</f>
        <v/>
      </c>
    </row>
    <row r="328" ht="30" customHeight="1">
      <c r="A328" s="33" t="inlineStr">
        <is>
          <t>https://africanmarketingconfederation.org/amc-marketing-conference-2024/testimony-thank-you-page/</t>
        </is>
      </c>
      <c r="B328" s="24" t="inlineStr">
        <is>
          <t>Basic SEO</t>
        </is>
      </c>
      <c r="C328" s="29" t="inlineStr">
        <is>
          <t>Info</t>
        </is>
      </c>
      <c r="D328" s="24" t="inlineStr">
        <is>
          <t>Meta description too long</t>
        </is>
      </c>
      <c r="E328" s="24" t="n">
        <v>37</v>
      </c>
      <c r="F328" s="24" t="n">
        <v>225</v>
      </c>
      <c r="G328" s="24" t="inlineStr">
        <is>
          <t>120-160 characters</t>
        </is>
      </c>
      <c r="H328" s="24" t="inlineStr">
        <is>
          <t>Trim meta description in AIOSEO and front-load essential context.</t>
        </is>
      </c>
      <c r="I328" s="28" t="inlineStr">
        <is>
          <t>Main</t>
        </is>
      </c>
      <c r="J328" s="24" t="inlineStr">
        <is>
          <t>Meta Description</t>
        </is>
      </c>
      <c r="K328" s="24" t="inlineStr">
        <is>
          <t>No</t>
        </is>
      </c>
      <c r="L328" s="24" t="inlineStr">
        <is>
          <t>Copy Writer</t>
        </is>
      </c>
      <c r="M328" s="25" t="inlineStr">
        <is>
          <t>Open</t>
        </is>
      </c>
      <c r="N328" s="24" t="n">
        <v>4</v>
      </c>
      <c r="O328" s="24" t="inlineStr">
        <is>
          <t>https://africanmarketingconfederation.org/amc-marketing-conference-2024/testimony-thank-you-page/::aioseo_meta_description_too_long</t>
        </is>
      </c>
      <c r="P328" s="24" t="inlineStr">
        <is>
          <t>Long descriptions are often truncated and lose message clarity.</t>
        </is>
      </c>
      <c r="Q328">
        <f>IFERROR(HYPERLINK("#Main!A"&amp;MATCH(A328,Main!A:A,0),"Open"),HYPERLINK("#Main!A1","Open"))</f>
        <v/>
      </c>
      <c r="R328">
        <f>IFERROR(HYPERLINK("#Technical!A"&amp;MATCH(A328,Technical!A:A,0),"Open"),HYPERLINK("#Technical!A1","Open"))</f>
        <v/>
      </c>
    </row>
    <row r="329" ht="30" customHeight="1">
      <c r="A329" s="33" t="inlineStr">
        <is>
          <t>https://africanmarketingconfederation.org/amc-marketing-conference-2024/testimony-thank-you-page/</t>
        </is>
      </c>
      <c r="B329" s="6" t="inlineStr">
        <is>
          <t>Basic SEO</t>
        </is>
      </c>
      <c r="C329" s="29" t="inlineStr">
        <is>
          <t>Info</t>
        </is>
      </c>
      <c r="D329" s="6" t="inlineStr">
        <is>
          <t>No internal links found</t>
        </is>
      </c>
      <c r="E329" s="6" t="n">
        <v>37</v>
      </c>
      <c r="F329" s="6" t="n">
        <v>0</v>
      </c>
      <c r="G329" s="6" t="inlineStr">
        <is>
          <t>&gt;=2 relevant internal links</t>
        </is>
      </c>
      <c r="H329" s="6" t="inlineStr">
        <is>
          <t>Add contextual internal links from and to related pages using descriptive anchor text.</t>
        </is>
      </c>
      <c r="I329" s="31" t="inlineStr">
        <is>
          <t>Links</t>
        </is>
      </c>
      <c r="J329" s="6" t="inlineStr">
        <is>
          <t>Internal Links Count</t>
        </is>
      </c>
      <c r="K329" s="6" t="inlineStr">
        <is>
          <t>No</t>
        </is>
      </c>
      <c r="L329" s="6" t="inlineStr">
        <is>
          <t>Copy Writer</t>
        </is>
      </c>
      <c r="M329" s="25" t="inlineStr">
        <is>
          <t>Open</t>
        </is>
      </c>
      <c r="N329" s="6" t="n">
        <v>4</v>
      </c>
      <c r="O329" s="6" t="inlineStr">
        <is>
          <t>https://africanmarketingconfederation.org/amc-marketing-conference-2024/testimony-thank-you-page/::aioseo_no_internal_links_found</t>
        </is>
      </c>
      <c r="P329" s="6" t="inlineStr">
        <is>
          <t>Internal links help discovery, topical signals, and authority flow.</t>
        </is>
      </c>
      <c r="Q329">
        <f>IFERROR(HYPERLINK("#Main!A"&amp;MATCH(A329,Main!A:A,0),"Open"),HYPERLINK("#Main!A1","Open"))</f>
        <v/>
      </c>
      <c r="R329">
        <f>IFERROR(HYPERLINK("#Technical!A"&amp;MATCH(A329,Technical!A:A,0),"Open"),HYPERLINK("#Technical!A1","Open"))</f>
        <v/>
      </c>
    </row>
    <row r="330" ht="30" customHeight="1">
      <c r="A330" s="33" t="inlineStr">
        <is>
          <t>https://africanmarketingconfederation.org/amc-masterclass-bookings/</t>
        </is>
      </c>
      <c r="B330" s="24" t="inlineStr">
        <is>
          <t>Basic SEO</t>
        </is>
      </c>
      <c r="C330" s="29" t="inlineStr">
        <is>
          <t>Info</t>
        </is>
      </c>
      <c r="D330" s="24" t="inlineStr">
        <is>
          <t>No internal links found</t>
        </is>
      </c>
      <c r="E330" s="24" t="n">
        <v>37</v>
      </c>
      <c r="F330" s="24" t="n">
        <v>0</v>
      </c>
      <c r="G330" s="24" t="inlineStr">
        <is>
          <t>&gt;=2 relevant internal links</t>
        </is>
      </c>
      <c r="H330" s="24" t="inlineStr">
        <is>
          <t>Add contextual internal links from and to related pages using descriptive anchor text.</t>
        </is>
      </c>
      <c r="I330" s="28" t="inlineStr">
        <is>
          <t>Links</t>
        </is>
      </c>
      <c r="J330" s="24" t="inlineStr">
        <is>
          <t>Internal Links Count</t>
        </is>
      </c>
      <c r="K330" s="24" t="inlineStr">
        <is>
          <t>No</t>
        </is>
      </c>
      <c r="L330" s="24" t="inlineStr">
        <is>
          <t>Copy Writer</t>
        </is>
      </c>
      <c r="M330" s="25" t="inlineStr">
        <is>
          <t>Open</t>
        </is>
      </c>
      <c r="N330" s="24" t="n">
        <v>4</v>
      </c>
      <c r="O330" s="24" t="inlineStr">
        <is>
          <t>https://africanmarketingconfederation.org/amc-masterclass-bookings/::aioseo_no_internal_links_found</t>
        </is>
      </c>
      <c r="P330" s="24" t="inlineStr">
        <is>
          <t>Internal links help discovery, topical signals, and authority flow.</t>
        </is>
      </c>
      <c r="Q330">
        <f>IFERROR(HYPERLINK("#Main!A"&amp;MATCH(A330,Main!A:A,0),"Open"),HYPERLINK("#Main!A1","Open"))</f>
        <v/>
      </c>
      <c r="R330">
        <f>IFERROR(HYPERLINK("#Technical!A"&amp;MATCH(A330,Technical!A:A,0),"Open"),HYPERLINK("#Technical!A1","Open"))</f>
        <v/>
      </c>
    </row>
    <row r="331" ht="30" customHeight="1">
      <c r="A331" s="33" t="inlineStr">
        <is>
          <t>https://africanmarketingconfederation.org/amc-masterclass-thank-you/</t>
        </is>
      </c>
      <c r="B331" s="6" t="inlineStr">
        <is>
          <t>Basic SEO</t>
        </is>
      </c>
      <c r="C331" s="29" t="inlineStr">
        <is>
          <t>Info</t>
        </is>
      </c>
      <c r="D331" s="6" t="inlineStr">
        <is>
          <t>Meta description too short</t>
        </is>
      </c>
      <c r="E331" s="6" t="n">
        <v>37</v>
      </c>
      <c r="F331" s="6" t="n">
        <v>117</v>
      </c>
      <c r="G331" s="6" t="inlineStr">
        <is>
          <t>120-160 characters</t>
        </is>
      </c>
      <c r="H331" s="6" t="inlineStr">
        <is>
          <t>Expand meta description in AIOSEO to include key value points and intent terms naturally.</t>
        </is>
      </c>
      <c r="I331" s="31" t="inlineStr">
        <is>
          <t>Main</t>
        </is>
      </c>
      <c r="J331" s="6" t="inlineStr">
        <is>
          <t>Meta Description</t>
        </is>
      </c>
      <c r="K331" s="6" t="inlineStr">
        <is>
          <t>No</t>
        </is>
      </c>
      <c r="L331" s="6" t="inlineStr">
        <is>
          <t>Copy Writer</t>
        </is>
      </c>
      <c r="M331" s="25" t="inlineStr">
        <is>
          <t>Open</t>
        </is>
      </c>
      <c r="N331" s="6" t="n">
        <v>4</v>
      </c>
      <c r="O331" s="6" t="inlineStr">
        <is>
          <t>https://africanmarketingconfederation.org/amc-masterclass-thank-you/::aioseo_meta_description_too_short</t>
        </is>
      </c>
      <c r="P331" s="6" t="inlineStr">
        <is>
          <t>Short descriptions can under-communicate relevance and value.</t>
        </is>
      </c>
      <c r="Q331">
        <f>IFERROR(HYPERLINK("#Main!A"&amp;MATCH(A331,Main!A:A,0),"Open"),HYPERLINK("#Main!A1","Open"))</f>
        <v/>
      </c>
      <c r="R331">
        <f>IFERROR(HYPERLINK("#Technical!A"&amp;MATCH(A331,Technical!A:A,0),"Open"),HYPERLINK("#Technical!A1","Open"))</f>
        <v/>
      </c>
    </row>
    <row r="332" ht="30" customHeight="1">
      <c r="A332" s="33" t="inlineStr">
        <is>
          <t>https://africanmarketingconfederation.org/amc-masterclass-thank-you/</t>
        </is>
      </c>
      <c r="B332" s="24" t="inlineStr">
        <is>
          <t>Basic SEO</t>
        </is>
      </c>
      <c r="C332" s="29" t="inlineStr">
        <is>
          <t>Info</t>
        </is>
      </c>
      <c r="D332" s="24" t="inlineStr">
        <is>
          <t>No internal links found</t>
        </is>
      </c>
      <c r="E332" s="24" t="n">
        <v>37</v>
      </c>
      <c r="F332" s="24" t="n">
        <v>0</v>
      </c>
      <c r="G332" s="24" t="inlineStr">
        <is>
          <t>&gt;=2 relevant internal links</t>
        </is>
      </c>
      <c r="H332" s="24" t="inlineStr">
        <is>
          <t>Add contextual internal links from and to related pages using descriptive anchor text.</t>
        </is>
      </c>
      <c r="I332" s="28" t="inlineStr">
        <is>
          <t>Links</t>
        </is>
      </c>
      <c r="J332" s="24" t="inlineStr">
        <is>
          <t>Internal Links Count</t>
        </is>
      </c>
      <c r="K332" s="24" t="inlineStr">
        <is>
          <t>No</t>
        </is>
      </c>
      <c r="L332" s="24" t="inlineStr">
        <is>
          <t>Copy Writer</t>
        </is>
      </c>
      <c r="M332" s="25" t="inlineStr">
        <is>
          <t>Open</t>
        </is>
      </c>
      <c r="N332" s="24" t="n">
        <v>4</v>
      </c>
      <c r="O332" s="24" t="inlineStr">
        <is>
          <t>https://africanmarketingconfederation.org/amc-masterclass-thank-you/::aioseo_no_internal_links_found</t>
        </is>
      </c>
      <c r="P332" s="24" t="inlineStr">
        <is>
          <t>Internal links help discovery, topical signals, and authority flow.</t>
        </is>
      </c>
      <c r="Q332">
        <f>IFERROR(HYPERLINK("#Main!A"&amp;MATCH(A332,Main!A:A,0),"Open"),HYPERLINK("#Main!A1","Open"))</f>
        <v/>
      </c>
      <c r="R332">
        <f>IFERROR(HYPERLINK("#Technical!A"&amp;MATCH(A332,Technical!A:A,0),"Open"),HYPERLINK("#Technical!A1","Open"))</f>
        <v/>
      </c>
    </row>
    <row r="333" ht="30" customHeight="1">
      <c r="A333" s="33" t="inlineStr">
        <is>
          <t>https://africanmarketingconfederation.org/amc-masterclass/</t>
        </is>
      </c>
      <c r="B333" s="6" t="inlineStr">
        <is>
          <t>Basic SEO</t>
        </is>
      </c>
      <c r="C333" s="29" t="inlineStr">
        <is>
          <t>Info</t>
        </is>
      </c>
      <c r="D333" s="6" t="inlineStr">
        <is>
          <t>Meta description too long</t>
        </is>
      </c>
      <c r="E333" s="6" t="n">
        <v>37</v>
      </c>
      <c r="F333" s="6" t="n">
        <v>357</v>
      </c>
      <c r="G333" s="6" t="inlineStr">
        <is>
          <t>120-160 characters</t>
        </is>
      </c>
      <c r="H333" s="6" t="inlineStr">
        <is>
          <t>Trim meta description in AIOSEO and front-load essential context.</t>
        </is>
      </c>
      <c r="I333" s="31" t="inlineStr">
        <is>
          <t>Main</t>
        </is>
      </c>
      <c r="J333" s="6" t="inlineStr">
        <is>
          <t>Meta Description</t>
        </is>
      </c>
      <c r="K333" s="6" t="inlineStr">
        <is>
          <t>No</t>
        </is>
      </c>
      <c r="L333" s="6" t="inlineStr">
        <is>
          <t>Copy Writer</t>
        </is>
      </c>
      <c r="M333" s="25" t="inlineStr">
        <is>
          <t>Open</t>
        </is>
      </c>
      <c r="N333" s="6" t="n">
        <v>4</v>
      </c>
      <c r="O333" s="6" t="inlineStr">
        <is>
          <t>https://africanmarketingconfederation.org/amc-masterclass/::aioseo_meta_description_too_long</t>
        </is>
      </c>
      <c r="P333" s="6" t="inlineStr">
        <is>
          <t>Long descriptions are often truncated and lose message clarity.</t>
        </is>
      </c>
      <c r="Q333">
        <f>IFERROR(HYPERLINK("#Main!A"&amp;MATCH(A333,Main!A:A,0),"Open"),HYPERLINK("#Main!A1","Open"))</f>
        <v/>
      </c>
      <c r="R333">
        <f>IFERROR(HYPERLINK("#Technical!A"&amp;MATCH(A333,Technical!A:A,0),"Open"),HYPERLINK("#Technical!A1","Open"))</f>
        <v/>
      </c>
    </row>
    <row r="334" ht="30" customHeight="1">
      <c r="A334" s="33" t="inlineStr">
        <is>
          <t>https://africanmarketingconfederation.org/amc-masterclass/</t>
        </is>
      </c>
      <c r="B334" s="24" t="inlineStr">
        <is>
          <t>Basic SEO</t>
        </is>
      </c>
      <c r="C334" s="29" t="inlineStr">
        <is>
          <t>Info</t>
        </is>
      </c>
      <c r="D334" s="24" t="inlineStr">
        <is>
          <t>No internal links found</t>
        </is>
      </c>
      <c r="E334" s="24" t="n">
        <v>37</v>
      </c>
      <c r="F334" s="24" t="n">
        <v>0</v>
      </c>
      <c r="G334" s="24" t="inlineStr">
        <is>
          <t>&gt;=2 relevant internal links</t>
        </is>
      </c>
      <c r="H334" s="24" t="inlineStr">
        <is>
          <t>Add contextual internal links from and to related pages using descriptive anchor text.</t>
        </is>
      </c>
      <c r="I334" s="28" t="inlineStr">
        <is>
          <t>Links</t>
        </is>
      </c>
      <c r="J334" s="24" t="inlineStr">
        <is>
          <t>Internal Links Count</t>
        </is>
      </c>
      <c r="K334" s="24" t="inlineStr">
        <is>
          <t>No</t>
        </is>
      </c>
      <c r="L334" s="24" t="inlineStr">
        <is>
          <t>Copy Writer</t>
        </is>
      </c>
      <c r="M334" s="25" t="inlineStr">
        <is>
          <t>Open</t>
        </is>
      </c>
      <c r="N334" s="24" t="n">
        <v>4</v>
      </c>
      <c r="O334" s="24" t="inlineStr">
        <is>
          <t>https://africanmarketingconfederation.org/amc-masterclass/::aioseo_no_internal_links_found</t>
        </is>
      </c>
      <c r="P334" s="24" t="inlineStr">
        <is>
          <t>Internal links help discovery, topical signals, and authority flow.</t>
        </is>
      </c>
      <c r="Q334">
        <f>IFERROR(HYPERLINK("#Main!A"&amp;MATCH(A334,Main!A:A,0),"Open"),HYPERLINK("#Main!A1","Open"))</f>
        <v/>
      </c>
      <c r="R334">
        <f>IFERROR(HYPERLINK("#Technical!A"&amp;MATCH(A334,Technical!A:A,0),"Open"),HYPERLINK("#Technical!A1","Open"))</f>
        <v/>
      </c>
    </row>
    <row r="335" ht="30" customHeight="1">
      <c r="A335" s="33" t="inlineStr">
        <is>
          <t>https://africanmarketingconfederation.org/amc-relaunch-programme/</t>
        </is>
      </c>
      <c r="B335" s="6" t="inlineStr">
        <is>
          <t>Basic SEO</t>
        </is>
      </c>
      <c r="C335" s="29" t="inlineStr">
        <is>
          <t>Info</t>
        </is>
      </c>
      <c r="D335" s="6" t="inlineStr">
        <is>
          <t>Meta description too long</t>
        </is>
      </c>
      <c r="E335" s="6" t="n">
        <v>37</v>
      </c>
      <c r="F335" s="6" t="n">
        <v>356</v>
      </c>
      <c r="G335" s="6" t="inlineStr">
        <is>
          <t>120-160 characters</t>
        </is>
      </c>
      <c r="H335" s="6" t="inlineStr">
        <is>
          <t>Trim meta description in AIOSEO and front-load essential context.</t>
        </is>
      </c>
      <c r="I335" s="31" t="inlineStr">
        <is>
          <t>Main</t>
        </is>
      </c>
      <c r="J335" s="6" t="inlineStr">
        <is>
          <t>Meta Description</t>
        </is>
      </c>
      <c r="K335" s="6" t="inlineStr">
        <is>
          <t>No</t>
        </is>
      </c>
      <c r="L335" s="6" t="inlineStr">
        <is>
          <t>Copy Writer</t>
        </is>
      </c>
      <c r="M335" s="25" t="inlineStr">
        <is>
          <t>Open</t>
        </is>
      </c>
      <c r="N335" s="6" t="n">
        <v>4</v>
      </c>
      <c r="O335" s="6" t="inlineStr">
        <is>
          <t>https://africanmarketingconfederation.org/amc-relaunch-programme/::aioseo_meta_description_too_long</t>
        </is>
      </c>
      <c r="P335" s="6" t="inlineStr">
        <is>
          <t>Long descriptions are often truncated and lose message clarity.</t>
        </is>
      </c>
      <c r="Q335">
        <f>IFERROR(HYPERLINK("#Main!A"&amp;MATCH(A335,Main!A:A,0),"Open"),HYPERLINK("#Main!A1","Open"))</f>
        <v/>
      </c>
      <c r="R335">
        <f>IFERROR(HYPERLINK("#Technical!A"&amp;MATCH(A335,Technical!A:A,0),"Open"),HYPERLINK("#Technical!A1","Open"))</f>
        <v/>
      </c>
    </row>
    <row r="336" ht="30" customHeight="1">
      <c r="A336" s="33" t="inlineStr">
        <is>
          <t>https://africanmarketingconfederation.org/amc-relaunch-programme/</t>
        </is>
      </c>
      <c r="B336" s="24" t="inlineStr">
        <is>
          <t>Basic SEO</t>
        </is>
      </c>
      <c r="C336" s="29" t="inlineStr">
        <is>
          <t>Info</t>
        </is>
      </c>
      <c r="D336" s="24" t="inlineStr">
        <is>
          <t>No internal links found</t>
        </is>
      </c>
      <c r="E336" s="24" t="n">
        <v>37</v>
      </c>
      <c r="F336" s="24" t="n">
        <v>0</v>
      </c>
      <c r="G336" s="24" t="inlineStr">
        <is>
          <t>&gt;=2 relevant internal links</t>
        </is>
      </c>
      <c r="H336" s="24" t="inlineStr">
        <is>
          <t>Add contextual internal links from and to related pages using descriptive anchor text.</t>
        </is>
      </c>
      <c r="I336" s="28" t="inlineStr">
        <is>
          <t>Links</t>
        </is>
      </c>
      <c r="J336" s="24" t="inlineStr">
        <is>
          <t>Internal Links Count</t>
        </is>
      </c>
      <c r="K336" s="24" t="inlineStr">
        <is>
          <t>No</t>
        </is>
      </c>
      <c r="L336" s="24" t="inlineStr">
        <is>
          <t>Copy Writer</t>
        </is>
      </c>
      <c r="M336" s="25" t="inlineStr">
        <is>
          <t>Open</t>
        </is>
      </c>
      <c r="N336" s="24" t="n">
        <v>4</v>
      </c>
      <c r="O336" s="24" t="inlineStr">
        <is>
          <t>https://africanmarketingconfederation.org/amc-relaunch-programme/::aioseo_no_internal_links_found</t>
        </is>
      </c>
      <c r="P336" s="24" t="inlineStr">
        <is>
          <t>Internal links help discovery, topical signals, and authority flow.</t>
        </is>
      </c>
      <c r="Q336">
        <f>IFERROR(HYPERLINK("#Main!A"&amp;MATCH(A336,Main!A:A,0),"Open"),HYPERLINK("#Main!A1","Open"))</f>
        <v/>
      </c>
      <c r="R336">
        <f>IFERROR(HYPERLINK("#Technical!A"&amp;MATCH(A336,Technical!A:A,0),"Open"),HYPERLINK("#Technical!A1","Open"))</f>
        <v/>
      </c>
    </row>
    <row r="337" ht="30" customHeight="1">
      <c r="A337" s="33" t="inlineStr">
        <is>
          <t>https://africanmarketingconfederation.org/amc-sign-up-now-form-2025/</t>
        </is>
      </c>
      <c r="B337" s="6" t="inlineStr">
        <is>
          <t>Basic SEO</t>
        </is>
      </c>
      <c r="C337" s="29" t="inlineStr">
        <is>
          <t>Info</t>
        </is>
      </c>
      <c r="D337" s="6" t="inlineStr">
        <is>
          <t>Meta description too long</t>
        </is>
      </c>
      <c r="E337" s="6" t="n">
        <v>37</v>
      </c>
      <c r="F337" s="6" t="n">
        <v>1077</v>
      </c>
      <c r="G337" s="6" t="inlineStr">
        <is>
          <t>120-160 characters</t>
        </is>
      </c>
      <c r="H337" s="6" t="inlineStr">
        <is>
          <t>Trim meta description in AIOSEO and front-load essential context.</t>
        </is>
      </c>
      <c r="I337" s="31" t="inlineStr">
        <is>
          <t>Main</t>
        </is>
      </c>
      <c r="J337" s="6" t="inlineStr">
        <is>
          <t>Meta Description</t>
        </is>
      </c>
      <c r="K337" s="6" t="inlineStr">
        <is>
          <t>No</t>
        </is>
      </c>
      <c r="L337" s="6" t="inlineStr">
        <is>
          <t>Copy Writer</t>
        </is>
      </c>
      <c r="M337" s="25" t="inlineStr">
        <is>
          <t>Open</t>
        </is>
      </c>
      <c r="N337" s="6" t="n">
        <v>4</v>
      </c>
      <c r="O337" s="6" t="inlineStr">
        <is>
          <t>https://africanmarketingconfederation.org/amc-sign-up-now-form-2025/::aioseo_meta_description_too_long</t>
        </is>
      </c>
      <c r="P337" s="6" t="inlineStr">
        <is>
          <t>Long descriptions are often truncated and lose message clarity.</t>
        </is>
      </c>
      <c r="Q337">
        <f>IFERROR(HYPERLINK("#Main!A"&amp;MATCH(A337,Main!A:A,0),"Open"),HYPERLINK("#Main!A1","Open"))</f>
        <v/>
      </c>
      <c r="R337">
        <f>IFERROR(HYPERLINK("#Technical!A"&amp;MATCH(A337,Technical!A:A,0),"Open"),HYPERLINK("#Technical!A1","Open"))</f>
        <v/>
      </c>
    </row>
    <row r="338" ht="30" customHeight="1">
      <c r="A338" s="33" t="inlineStr">
        <is>
          <t>https://africanmarketingconfederation.org/amc-sign-up-now-form-2025/</t>
        </is>
      </c>
      <c r="B338" s="24" t="inlineStr">
        <is>
          <t>Basic SEO</t>
        </is>
      </c>
      <c r="C338" s="29" t="inlineStr">
        <is>
          <t>Info</t>
        </is>
      </c>
      <c r="D338" s="24" t="inlineStr">
        <is>
          <t>No internal links found</t>
        </is>
      </c>
      <c r="E338" s="24" t="n">
        <v>37</v>
      </c>
      <c r="F338" s="24" t="n">
        <v>0</v>
      </c>
      <c r="G338" s="24" t="inlineStr">
        <is>
          <t>&gt;=2 relevant internal links</t>
        </is>
      </c>
      <c r="H338" s="24" t="inlineStr">
        <is>
          <t>Add contextual internal links from and to related pages using descriptive anchor text.</t>
        </is>
      </c>
      <c r="I338" s="28" t="inlineStr">
        <is>
          <t>Links</t>
        </is>
      </c>
      <c r="J338" s="24" t="inlineStr">
        <is>
          <t>Internal Links Count</t>
        </is>
      </c>
      <c r="K338" s="24" t="inlineStr">
        <is>
          <t>No</t>
        </is>
      </c>
      <c r="L338" s="24" t="inlineStr">
        <is>
          <t>Copy Writer</t>
        </is>
      </c>
      <c r="M338" s="25" t="inlineStr">
        <is>
          <t>Open</t>
        </is>
      </c>
      <c r="N338" s="24" t="n">
        <v>4</v>
      </c>
      <c r="O338" s="24" t="inlineStr">
        <is>
          <t>https://africanmarketingconfederation.org/amc-sign-up-now-form-2025/::aioseo_no_internal_links_found</t>
        </is>
      </c>
      <c r="P338" s="24" t="inlineStr">
        <is>
          <t>Internal links help discovery, topical signals, and authority flow.</t>
        </is>
      </c>
      <c r="Q338">
        <f>IFERROR(HYPERLINK("#Main!A"&amp;MATCH(A338,Main!A:A,0),"Open"),HYPERLINK("#Main!A1","Open"))</f>
        <v/>
      </c>
      <c r="R338">
        <f>IFERROR(HYPERLINK("#Technical!A"&amp;MATCH(A338,Technical!A:A,0),"Open"),HYPERLINK("#Technical!A1","Open"))</f>
        <v/>
      </c>
    </row>
    <row r="339" ht="30" customHeight="1">
      <c r="A339" s="33" t="inlineStr">
        <is>
          <t>https://africanmarketingconfederation.org/amc-sponsors-2025/</t>
        </is>
      </c>
      <c r="B339" s="6" t="inlineStr">
        <is>
          <t>Basic SEO</t>
        </is>
      </c>
      <c r="C339" s="29" t="inlineStr">
        <is>
          <t>Info</t>
        </is>
      </c>
      <c r="D339" s="6" t="inlineStr">
        <is>
          <t>Meta description too long</t>
        </is>
      </c>
      <c r="E339" s="6" t="n">
        <v>37</v>
      </c>
      <c r="F339" s="6" t="n">
        <v>161</v>
      </c>
      <c r="G339" s="6" t="inlineStr">
        <is>
          <t>120-160 characters</t>
        </is>
      </c>
      <c r="H339" s="6" t="inlineStr">
        <is>
          <t>Trim meta description in AIOSEO and front-load essential context.</t>
        </is>
      </c>
      <c r="I339" s="31" t="inlineStr">
        <is>
          <t>Main</t>
        </is>
      </c>
      <c r="J339" s="6" t="inlineStr">
        <is>
          <t>Meta Description</t>
        </is>
      </c>
      <c r="K339" s="6" t="inlineStr">
        <is>
          <t>No</t>
        </is>
      </c>
      <c r="L339" s="6" t="inlineStr">
        <is>
          <t>Copy Writer</t>
        </is>
      </c>
      <c r="M339" s="25" t="inlineStr">
        <is>
          <t>Open</t>
        </is>
      </c>
      <c r="N339" s="6" t="n">
        <v>4</v>
      </c>
      <c r="O339" s="6" t="inlineStr">
        <is>
          <t>https://africanmarketingconfederation.org/amc-sponsors-2025/::aioseo_meta_description_too_long</t>
        </is>
      </c>
      <c r="P339" s="6" t="inlineStr">
        <is>
          <t>Long descriptions are often truncated and lose message clarity.</t>
        </is>
      </c>
      <c r="Q339">
        <f>IFERROR(HYPERLINK("#Main!A"&amp;MATCH(A339,Main!A:A,0),"Open"),HYPERLINK("#Main!A1","Open"))</f>
        <v/>
      </c>
      <c r="R339">
        <f>IFERROR(HYPERLINK("#Technical!A"&amp;MATCH(A339,Technical!A:A,0),"Open"),HYPERLINK("#Technical!A1","Open"))</f>
        <v/>
      </c>
    </row>
    <row r="340" ht="30" customHeight="1">
      <c r="A340" s="33" t="inlineStr">
        <is>
          <t>https://africanmarketingconfederation.org/amc-sponsors-2025/</t>
        </is>
      </c>
      <c r="B340" s="24" t="inlineStr">
        <is>
          <t>Basic SEO</t>
        </is>
      </c>
      <c r="C340" s="29" t="inlineStr">
        <is>
          <t>Info</t>
        </is>
      </c>
      <c r="D340" s="24" t="inlineStr">
        <is>
          <t>No internal links found</t>
        </is>
      </c>
      <c r="E340" s="24" t="n">
        <v>37</v>
      </c>
      <c r="F340" s="24" t="n">
        <v>0</v>
      </c>
      <c r="G340" s="24" t="inlineStr">
        <is>
          <t>&gt;=2 relevant internal links</t>
        </is>
      </c>
      <c r="H340" s="24" t="inlineStr">
        <is>
          <t>Add contextual internal links from and to related pages using descriptive anchor text.</t>
        </is>
      </c>
      <c r="I340" s="28" t="inlineStr">
        <is>
          <t>Links</t>
        </is>
      </c>
      <c r="J340" s="24" t="inlineStr">
        <is>
          <t>Internal Links Count</t>
        </is>
      </c>
      <c r="K340" s="24" t="inlineStr">
        <is>
          <t>No</t>
        </is>
      </c>
      <c r="L340" s="24" t="inlineStr">
        <is>
          <t>Copy Writer</t>
        </is>
      </c>
      <c r="M340" s="25" t="inlineStr">
        <is>
          <t>Open</t>
        </is>
      </c>
      <c r="N340" s="24" t="n">
        <v>4</v>
      </c>
      <c r="O340" s="24" t="inlineStr">
        <is>
          <t>https://africanmarketingconfederation.org/amc-sponsors-2025/::aioseo_no_internal_links_found</t>
        </is>
      </c>
      <c r="P340" s="24" t="inlineStr">
        <is>
          <t>Internal links help discovery, topical signals, and authority flow.</t>
        </is>
      </c>
      <c r="Q340">
        <f>IFERROR(HYPERLINK("#Main!A"&amp;MATCH(A340,Main!A:A,0),"Open"),HYPERLINK("#Main!A1","Open"))</f>
        <v/>
      </c>
      <c r="R340">
        <f>IFERROR(HYPERLINK("#Technical!A"&amp;MATCH(A340,Technical!A:A,0),"Open"),HYPERLINK("#Technical!A1","Open"))</f>
        <v/>
      </c>
    </row>
    <row r="341" ht="30" customHeight="1">
      <c r="A341" s="33" t="inlineStr">
        <is>
          <t>https://africanmarketingconfederation.org/amc-testimony-page-2024/</t>
        </is>
      </c>
      <c r="B341" s="6" t="inlineStr">
        <is>
          <t>Basic SEO</t>
        </is>
      </c>
      <c r="C341" s="29" t="inlineStr">
        <is>
          <t>Info</t>
        </is>
      </c>
      <c r="D341" s="6" t="inlineStr">
        <is>
          <t>Meta description too long</t>
        </is>
      </c>
      <c r="E341" s="6" t="n">
        <v>37</v>
      </c>
      <c r="F341" s="6" t="n">
        <v>376</v>
      </c>
      <c r="G341" s="6" t="inlineStr">
        <is>
          <t>120-160 characters</t>
        </is>
      </c>
      <c r="H341" s="6" t="inlineStr">
        <is>
          <t>Trim meta description in AIOSEO and front-load essential context.</t>
        </is>
      </c>
      <c r="I341" s="31" t="inlineStr">
        <is>
          <t>Main</t>
        </is>
      </c>
      <c r="J341" s="6" t="inlineStr">
        <is>
          <t>Meta Description</t>
        </is>
      </c>
      <c r="K341" s="6" t="inlineStr">
        <is>
          <t>No</t>
        </is>
      </c>
      <c r="L341" s="6" t="inlineStr">
        <is>
          <t>Copy Writer</t>
        </is>
      </c>
      <c r="M341" s="25" t="inlineStr">
        <is>
          <t>Open</t>
        </is>
      </c>
      <c r="N341" s="6" t="n">
        <v>4</v>
      </c>
      <c r="O341" s="6" t="inlineStr">
        <is>
          <t>https://africanmarketingconfederation.org/amc-testimony-page-2024/::aioseo_meta_description_too_long</t>
        </is>
      </c>
      <c r="P341" s="6" t="inlineStr">
        <is>
          <t>Long descriptions are often truncated and lose message clarity.</t>
        </is>
      </c>
      <c r="Q341">
        <f>IFERROR(HYPERLINK("#Main!A"&amp;MATCH(A341,Main!A:A,0),"Open"),HYPERLINK("#Main!A1","Open"))</f>
        <v/>
      </c>
      <c r="R341">
        <f>IFERROR(HYPERLINK("#Technical!A"&amp;MATCH(A341,Technical!A:A,0),"Open"),HYPERLINK("#Technical!A1","Open"))</f>
        <v/>
      </c>
    </row>
    <row r="342" ht="30" customHeight="1">
      <c r="A342" s="33" t="inlineStr">
        <is>
          <t>https://africanmarketingconfederation.org/amc-testimony-page-2024/</t>
        </is>
      </c>
      <c r="B342" s="24" t="inlineStr">
        <is>
          <t>Basic SEO</t>
        </is>
      </c>
      <c r="C342" s="29" t="inlineStr">
        <is>
          <t>Info</t>
        </is>
      </c>
      <c r="D342" s="24" t="inlineStr">
        <is>
          <t>No internal links found</t>
        </is>
      </c>
      <c r="E342" s="24" t="n">
        <v>37</v>
      </c>
      <c r="F342" s="24" t="n">
        <v>0</v>
      </c>
      <c r="G342" s="24" t="inlineStr">
        <is>
          <t>&gt;=2 relevant internal links</t>
        </is>
      </c>
      <c r="H342" s="24" t="inlineStr">
        <is>
          <t>Add contextual internal links from and to related pages using descriptive anchor text.</t>
        </is>
      </c>
      <c r="I342" s="28" t="inlineStr">
        <is>
          <t>Links</t>
        </is>
      </c>
      <c r="J342" s="24" t="inlineStr">
        <is>
          <t>Internal Links Count</t>
        </is>
      </c>
      <c r="K342" s="24" t="inlineStr">
        <is>
          <t>No</t>
        </is>
      </c>
      <c r="L342" s="24" t="inlineStr">
        <is>
          <t>Copy Writer</t>
        </is>
      </c>
      <c r="M342" s="25" t="inlineStr">
        <is>
          <t>Open</t>
        </is>
      </c>
      <c r="N342" s="24" t="n">
        <v>4</v>
      </c>
      <c r="O342" s="24" t="inlineStr">
        <is>
          <t>https://africanmarketingconfederation.org/amc-testimony-page-2024/::aioseo_no_internal_links_found</t>
        </is>
      </c>
      <c r="P342" s="24" t="inlineStr">
        <is>
          <t>Internal links help discovery, topical signals, and authority flow.</t>
        </is>
      </c>
      <c r="Q342">
        <f>IFERROR(HYPERLINK("#Main!A"&amp;MATCH(A342,Main!A:A,0),"Open"),HYPERLINK("#Main!A1","Open"))</f>
        <v/>
      </c>
      <c r="R342">
        <f>IFERROR(HYPERLINK("#Technical!A"&amp;MATCH(A342,Technical!A:A,0),"Open"),HYPERLINK("#Technical!A1","Open"))</f>
        <v/>
      </c>
    </row>
    <row r="343" ht="30" customHeight="1">
      <c r="A343" s="33" t="inlineStr">
        <is>
          <t>https://africanmarketingconfederation.org/awards-2026-1/</t>
        </is>
      </c>
      <c r="B343" s="6" t="inlineStr">
        <is>
          <t>Basic SEO</t>
        </is>
      </c>
      <c r="C343" s="29" t="inlineStr">
        <is>
          <t>Info</t>
        </is>
      </c>
      <c r="D343" s="6" t="inlineStr">
        <is>
          <t>No internal links found</t>
        </is>
      </c>
      <c r="E343" s="6" t="n">
        <v>37</v>
      </c>
      <c r="F343" s="6" t="n">
        <v>0</v>
      </c>
      <c r="G343" s="6" t="inlineStr">
        <is>
          <t>&gt;=2 relevant internal links</t>
        </is>
      </c>
      <c r="H343" s="6" t="inlineStr">
        <is>
          <t>Add contextual internal links from and to related pages using descriptive anchor text.</t>
        </is>
      </c>
      <c r="I343" s="31" t="inlineStr">
        <is>
          <t>Links</t>
        </is>
      </c>
      <c r="J343" s="6" t="inlineStr">
        <is>
          <t>Internal Links Count</t>
        </is>
      </c>
      <c r="K343" s="6" t="inlineStr">
        <is>
          <t>No</t>
        </is>
      </c>
      <c r="L343" s="6" t="inlineStr">
        <is>
          <t>Copy Writer</t>
        </is>
      </c>
      <c r="M343" s="25" t="inlineStr">
        <is>
          <t>Open</t>
        </is>
      </c>
      <c r="N343" s="6" t="n">
        <v>4</v>
      </c>
      <c r="O343" s="6" t="inlineStr">
        <is>
          <t>https://africanmarketingconfederation.org/awards-2026-1/::aioseo_no_internal_links_found</t>
        </is>
      </c>
      <c r="P343" s="6" t="inlineStr">
        <is>
          <t>Internal links help discovery, topical signals, and authority flow.</t>
        </is>
      </c>
      <c r="Q343">
        <f>IFERROR(HYPERLINK("#Main!A"&amp;MATCH(A343,Main!A:A,0),"Open"),HYPERLINK("#Main!A1","Open"))</f>
        <v/>
      </c>
      <c r="R343">
        <f>IFERROR(HYPERLINK("#Technical!A"&amp;MATCH(A343,Technical!A:A,0),"Open"),HYPERLINK("#Technical!A1","Open"))</f>
        <v/>
      </c>
    </row>
    <row r="344" ht="30" customHeight="1">
      <c r="A344" s="33" t="inlineStr">
        <is>
          <t>https://africanmarketingconfederation.org/awards-2026-test/</t>
        </is>
      </c>
      <c r="B344" s="24" t="inlineStr">
        <is>
          <t>Basic SEO</t>
        </is>
      </c>
      <c r="C344" s="29" t="inlineStr">
        <is>
          <t>Info</t>
        </is>
      </c>
      <c r="D344" s="24" t="inlineStr">
        <is>
          <t>Meta description too long</t>
        </is>
      </c>
      <c r="E344" s="24" t="n">
        <v>37</v>
      </c>
      <c r="F344" s="24" t="n">
        <v>526</v>
      </c>
      <c r="G344" s="24" t="inlineStr">
        <is>
          <t>120-160 characters</t>
        </is>
      </c>
      <c r="H344" s="24" t="inlineStr">
        <is>
          <t>Trim meta description in AIOSEO and front-load essential context.</t>
        </is>
      </c>
      <c r="I344" s="28" t="inlineStr">
        <is>
          <t>Main</t>
        </is>
      </c>
      <c r="J344" s="24" t="inlineStr">
        <is>
          <t>Meta Description</t>
        </is>
      </c>
      <c r="K344" s="24" t="inlineStr">
        <is>
          <t>No</t>
        </is>
      </c>
      <c r="L344" s="24" t="inlineStr">
        <is>
          <t>Copy Writer</t>
        </is>
      </c>
      <c r="M344" s="25" t="inlineStr">
        <is>
          <t>Open</t>
        </is>
      </c>
      <c r="N344" s="24" t="n">
        <v>4</v>
      </c>
      <c r="O344" s="24" t="inlineStr">
        <is>
          <t>https://africanmarketingconfederation.org/awards-2026-test/::aioseo_meta_description_too_long</t>
        </is>
      </c>
      <c r="P344" s="24" t="inlineStr">
        <is>
          <t>Long descriptions are often truncated and lose message clarity.</t>
        </is>
      </c>
      <c r="Q344">
        <f>IFERROR(HYPERLINK("#Main!A"&amp;MATCH(A344,Main!A:A,0),"Open"),HYPERLINK("#Main!A1","Open"))</f>
        <v/>
      </c>
      <c r="R344">
        <f>IFERROR(HYPERLINK("#Technical!A"&amp;MATCH(A344,Technical!A:A,0),"Open"),HYPERLINK("#Technical!A1","Open"))</f>
        <v/>
      </c>
    </row>
    <row r="345" ht="30" customHeight="1">
      <c r="A345" s="33" t="inlineStr">
        <is>
          <t>https://africanmarketingconfederation.org/awards-2026-test/</t>
        </is>
      </c>
      <c r="B345" s="6" t="inlineStr">
        <is>
          <t>Basic SEO</t>
        </is>
      </c>
      <c r="C345" s="29" t="inlineStr">
        <is>
          <t>Info</t>
        </is>
      </c>
      <c r="D345" s="6" t="inlineStr">
        <is>
          <t>No internal links found</t>
        </is>
      </c>
      <c r="E345" s="6" t="n">
        <v>37</v>
      </c>
      <c r="F345" s="6" t="n">
        <v>0</v>
      </c>
      <c r="G345" s="6" t="inlineStr">
        <is>
          <t>&gt;=2 relevant internal links</t>
        </is>
      </c>
      <c r="H345" s="6" t="inlineStr">
        <is>
          <t>Add contextual internal links from and to related pages using descriptive anchor text.</t>
        </is>
      </c>
      <c r="I345" s="31" t="inlineStr">
        <is>
          <t>Links</t>
        </is>
      </c>
      <c r="J345" s="6" t="inlineStr">
        <is>
          <t>Internal Links Count</t>
        </is>
      </c>
      <c r="K345" s="6" t="inlineStr">
        <is>
          <t>No</t>
        </is>
      </c>
      <c r="L345" s="6" t="inlineStr">
        <is>
          <t>Copy Writer</t>
        </is>
      </c>
      <c r="M345" s="25" t="inlineStr">
        <is>
          <t>Open</t>
        </is>
      </c>
      <c r="N345" s="6" t="n">
        <v>4</v>
      </c>
      <c r="O345" s="6" t="inlineStr">
        <is>
          <t>https://africanmarketingconfederation.org/awards-2026-test/::aioseo_no_internal_links_found</t>
        </is>
      </c>
      <c r="P345" s="6" t="inlineStr">
        <is>
          <t>Internal links help discovery, topical signals, and authority flow.</t>
        </is>
      </c>
      <c r="Q345">
        <f>IFERROR(HYPERLINK("#Main!A"&amp;MATCH(A345,Main!A:A,0),"Open"),HYPERLINK("#Main!A1","Open"))</f>
        <v/>
      </c>
      <c r="R345">
        <f>IFERROR(HYPERLINK("#Technical!A"&amp;MATCH(A345,Technical!A:A,0),"Open"),HYPERLINK("#Technical!A1","Open"))</f>
        <v/>
      </c>
    </row>
    <row r="346" ht="30" customHeight="1">
      <c r="A346" s="33" t="inlineStr">
        <is>
          <t>https://africanmarketingconfederation.org/awards-2026/</t>
        </is>
      </c>
      <c r="B346" s="24" t="inlineStr">
        <is>
          <t>Basic SEO</t>
        </is>
      </c>
      <c r="C346" s="29" t="inlineStr">
        <is>
          <t>Info</t>
        </is>
      </c>
      <c r="D346" s="24" t="inlineStr">
        <is>
          <t>No internal links found</t>
        </is>
      </c>
      <c r="E346" s="24" t="n">
        <v>37</v>
      </c>
      <c r="F346" s="24" t="n">
        <v>0</v>
      </c>
      <c r="G346" s="24" t="inlineStr">
        <is>
          <t>&gt;=2 relevant internal links</t>
        </is>
      </c>
      <c r="H346" s="24" t="inlineStr">
        <is>
          <t>Add contextual internal links from and to related pages using descriptive anchor text.</t>
        </is>
      </c>
      <c r="I346" s="28" t="inlineStr">
        <is>
          <t>Links</t>
        </is>
      </c>
      <c r="J346" s="24" t="inlineStr">
        <is>
          <t>Internal Links Count</t>
        </is>
      </c>
      <c r="K346" s="24" t="inlineStr">
        <is>
          <t>No</t>
        </is>
      </c>
      <c r="L346" s="24" t="inlineStr">
        <is>
          <t>Copy Writer</t>
        </is>
      </c>
      <c r="M346" s="25" t="inlineStr">
        <is>
          <t>Open</t>
        </is>
      </c>
      <c r="N346" s="24" t="n">
        <v>4</v>
      </c>
      <c r="O346" s="24" t="inlineStr">
        <is>
          <t>https://africanmarketingconfederation.org/awards-2026/::aioseo_no_internal_links_found</t>
        </is>
      </c>
      <c r="P346" s="24" t="inlineStr">
        <is>
          <t>Internal links help discovery, topical signals, and authority flow.</t>
        </is>
      </c>
      <c r="Q346">
        <f>IFERROR(HYPERLINK("#Main!A"&amp;MATCH(A346,Main!A:A,0),"Open"),HYPERLINK("#Main!A1","Open"))</f>
        <v/>
      </c>
      <c r="R346">
        <f>IFERROR(HYPERLINK("#Technical!A"&amp;MATCH(A346,Technical!A:A,0),"Open"),HYPERLINK("#Technical!A1","Open"))</f>
        <v/>
      </c>
    </row>
    <row r="347" ht="30" customHeight="1">
      <c r="A347" s="33" t="inlineStr">
        <is>
          <t>https://africanmarketingconfederation.org/certified-professional-marketer-africa/</t>
        </is>
      </c>
      <c r="B347" s="6" t="inlineStr">
        <is>
          <t>Basic SEO</t>
        </is>
      </c>
      <c r="C347" s="29" t="inlineStr">
        <is>
          <t>Info</t>
        </is>
      </c>
      <c r="D347" s="6" t="inlineStr">
        <is>
          <t>Meta description too long</t>
        </is>
      </c>
      <c r="E347" s="6" t="n">
        <v>37</v>
      </c>
      <c r="F347" s="6" t="n">
        <v>400</v>
      </c>
      <c r="G347" s="6" t="inlineStr">
        <is>
          <t>120-160 characters</t>
        </is>
      </c>
      <c r="H347" s="6" t="inlineStr">
        <is>
          <t>Trim meta description in AIOSEO and front-load essential context.</t>
        </is>
      </c>
      <c r="I347" s="31" t="inlineStr">
        <is>
          <t>Main</t>
        </is>
      </c>
      <c r="J347" s="6" t="inlineStr">
        <is>
          <t>Meta Description</t>
        </is>
      </c>
      <c r="K347" s="6" t="inlineStr">
        <is>
          <t>No</t>
        </is>
      </c>
      <c r="L347" s="6" t="inlineStr">
        <is>
          <t>Copy Writer</t>
        </is>
      </c>
      <c r="M347" s="25" t="inlineStr">
        <is>
          <t>Open</t>
        </is>
      </c>
      <c r="N347" s="6" t="n">
        <v>4</v>
      </c>
      <c r="O347" s="6" t="inlineStr">
        <is>
          <t>https://africanmarketingconfederation.org/certified-professional-marketer-africa/::aioseo_meta_description_too_long</t>
        </is>
      </c>
      <c r="P347" s="6" t="inlineStr">
        <is>
          <t>Long descriptions are often truncated and lose message clarity.</t>
        </is>
      </c>
      <c r="Q347">
        <f>IFERROR(HYPERLINK("#Main!A"&amp;MATCH(A347,Main!A:A,0),"Open"),HYPERLINK("#Main!A1","Open"))</f>
        <v/>
      </c>
      <c r="R347">
        <f>IFERROR(HYPERLINK("#Technical!A"&amp;MATCH(A347,Technical!A:A,0),"Open"),HYPERLINK("#Technical!A1","Open"))</f>
        <v/>
      </c>
    </row>
    <row r="348" ht="30" customHeight="1">
      <c r="A348" s="33" t="inlineStr">
        <is>
          <t>https://africanmarketingconfederation.org/certified-professional-marketer-africa/</t>
        </is>
      </c>
      <c r="B348" s="24" t="inlineStr">
        <is>
          <t>Basic SEO</t>
        </is>
      </c>
      <c r="C348" s="29" t="inlineStr">
        <is>
          <t>Info</t>
        </is>
      </c>
      <c r="D348" s="24" t="inlineStr">
        <is>
          <t>No internal links found</t>
        </is>
      </c>
      <c r="E348" s="24" t="n">
        <v>37</v>
      </c>
      <c r="F348" s="24" t="n">
        <v>0</v>
      </c>
      <c r="G348" s="24" t="inlineStr">
        <is>
          <t>&gt;=2 relevant internal links</t>
        </is>
      </c>
      <c r="H348" s="24" t="inlineStr">
        <is>
          <t>Add contextual internal links from and to related pages using descriptive anchor text.</t>
        </is>
      </c>
      <c r="I348" s="28" t="inlineStr">
        <is>
          <t>Links</t>
        </is>
      </c>
      <c r="J348" s="24" t="inlineStr">
        <is>
          <t>Internal Links Count</t>
        </is>
      </c>
      <c r="K348" s="24" t="inlineStr">
        <is>
          <t>No</t>
        </is>
      </c>
      <c r="L348" s="24" t="inlineStr">
        <is>
          <t>Copy Writer</t>
        </is>
      </c>
      <c r="M348" s="25" t="inlineStr">
        <is>
          <t>Open</t>
        </is>
      </c>
      <c r="N348" s="24" t="n">
        <v>4</v>
      </c>
      <c r="O348" s="24" t="inlineStr">
        <is>
          <t>https://africanmarketingconfederation.org/certified-professional-marketer-africa/::aioseo_no_internal_links_found</t>
        </is>
      </c>
      <c r="P348" s="24" t="inlineStr">
        <is>
          <t>Internal links help discovery, topical signals, and authority flow.</t>
        </is>
      </c>
      <c r="Q348">
        <f>IFERROR(HYPERLINK("#Main!A"&amp;MATCH(A348,Main!A:A,0),"Open"),HYPERLINK("#Main!A1","Open"))</f>
        <v/>
      </c>
      <c r="R348">
        <f>IFERROR(HYPERLINK("#Technical!A"&amp;MATCH(A348,Technical!A:A,0),"Open"),HYPERLINK("#Technical!A1","Open"))</f>
        <v/>
      </c>
    </row>
    <row r="349" ht="30" customHeight="1">
      <c r="A349" s="33" t="inlineStr">
        <is>
          <t>https://africanmarketingconfederation.org/chartered-marketer-africa-final-submission-fee/</t>
        </is>
      </c>
      <c r="B349" s="6" t="inlineStr">
        <is>
          <t>Basic SEO</t>
        </is>
      </c>
      <c r="C349" s="29" t="inlineStr">
        <is>
          <t>Info</t>
        </is>
      </c>
      <c r="D349" s="6" t="inlineStr">
        <is>
          <t>Meta description too long</t>
        </is>
      </c>
      <c r="E349" s="6" t="n">
        <v>37</v>
      </c>
      <c r="F349" s="6" t="n">
        <v>210</v>
      </c>
      <c r="G349" s="6" t="inlineStr">
        <is>
          <t>120-160 characters</t>
        </is>
      </c>
      <c r="H349" s="6" t="inlineStr">
        <is>
          <t>Trim meta description in AIOSEO and front-load essential context.</t>
        </is>
      </c>
      <c r="I349" s="31" t="inlineStr">
        <is>
          <t>Main</t>
        </is>
      </c>
      <c r="J349" s="6" t="inlineStr">
        <is>
          <t>Meta Description</t>
        </is>
      </c>
      <c r="K349" s="6" t="inlineStr">
        <is>
          <t>No</t>
        </is>
      </c>
      <c r="L349" s="6" t="inlineStr">
        <is>
          <t>Copy Writer</t>
        </is>
      </c>
      <c r="M349" s="25" t="inlineStr">
        <is>
          <t>Open</t>
        </is>
      </c>
      <c r="N349" s="6" t="n">
        <v>4</v>
      </c>
      <c r="O349" s="6" t="inlineStr">
        <is>
          <t>https://africanmarketingconfederation.org/chartered-marketer-africa-final-submission-fee/::aioseo_meta_description_too_long</t>
        </is>
      </c>
      <c r="P349" s="6" t="inlineStr">
        <is>
          <t>Long descriptions are often truncated and lose message clarity.</t>
        </is>
      </c>
      <c r="Q349">
        <f>IFERROR(HYPERLINK("#Main!A"&amp;MATCH(A349,Main!A:A,0),"Open"),HYPERLINK("#Main!A1","Open"))</f>
        <v/>
      </c>
      <c r="R349">
        <f>IFERROR(HYPERLINK("#Technical!A"&amp;MATCH(A349,Technical!A:A,0),"Open"),HYPERLINK("#Technical!A1","Open"))</f>
        <v/>
      </c>
    </row>
    <row r="350" ht="30" customHeight="1">
      <c r="A350" s="33" t="inlineStr">
        <is>
          <t>https://africanmarketingconfederation.org/chartered-marketer-africa-final-submission-fee/</t>
        </is>
      </c>
      <c r="B350" s="24" t="inlineStr">
        <is>
          <t>Basic SEO</t>
        </is>
      </c>
      <c r="C350" s="29" t="inlineStr">
        <is>
          <t>Info</t>
        </is>
      </c>
      <c r="D350" s="24" t="inlineStr">
        <is>
          <t>No internal links found</t>
        </is>
      </c>
      <c r="E350" s="24" t="n">
        <v>37</v>
      </c>
      <c r="F350" s="24" t="n">
        <v>0</v>
      </c>
      <c r="G350" s="24" t="inlineStr">
        <is>
          <t>&gt;=2 relevant internal links</t>
        </is>
      </c>
      <c r="H350" s="24" t="inlineStr">
        <is>
          <t>Add contextual internal links from and to related pages using descriptive anchor text.</t>
        </is>
      </c>
      <c r="I350" s="28" t="inlineStr">
        <is>
          <t>Links</t>
        </is>
      </c>
      <c r="J350" s="24" t="inlineStr">
        <is>
          <t>Internal Links Count</t>
        </is>
      </c>
      <c r="K350" s="24" t="inlineStr">
        <is>
          <t>No</t>
        </is>
      </c>
      <c r="L350" s="24" t="inlineStr">
        <is>
          <t>Copy Writer</t>
        </is>
      </c>
      <c r="M350" s="25" t="inlineStr">
        <is>
          <t>Open</t>
        </is>
      </c>
      <c r="N350" s="24" t="n">
        <v>4</v>
      </c>
      <c r="O350" s="24" t="inlineStr">
        <is>
          <t>https://africanmarketingconfederation.org/chartered-marketer-africa-final-submission-fee/::aioseo_no_internal_links_found</t>
        </is>
      </c>
      <c r="P350" s="24" t="inlineStr">
        <is>
          <t>Internal links help discovery, topical signals, and authority flow.</t>
        </is>
      </c>
      <c r="Q350">
        <f>IFERROR(HYPERLINK("#Main!A"&amp;MATCH(A350,Main!A:A,0),"Open"),HYPERLINK("#Main!A1","Open"))</f>
        <v/>
      </c>
      <c r="R350">
        <f>IFERROR(HYPERLINK("#Technical!A"&amp;MATCH(A350,Technical!A:A,0),"Open"),HYPERLINK("#Technical!A1","Open"))</f>
        <v/>
      </c>
    </row>
    <row r="351" ht="30" customHeight="1">
      <c r="A351" s="33" t="inlineStr">
        <is>
          <t>https://africanmarketingconfederation.org/chartered-marketer-africa-programme-fee/</t>
        </is>
      </c>
      <c r="B351" s="6" t="inlineStr">
        <is>
          <t>Basic SEO</t>
        </is>
      </c>
      <c r="C351" s="29" t="inlineStr">
        <is>
          <t>Info</t>
        </is>
      </c>
      <c r="D351" s="6" t="inlineStr">
        <is>
          <t>Meta description too long</t>
        </is>
      </c>
      <c r="E351" s="6" t="n">
        <v>37</v>
      </c>
      <c r="F351" s="6" t="n">
        <v>193</v>
      </c>
      <c r="G351" s="6" t="inlineStr">
        <is>
          <t>120-160 characters</t>
        </is>
      </c>
      <c r="H351" s="6" t="inlineStr">
        <is>
          <t>Trim meta description in AIOSEO and front-load essential context.</t>
        </is>
      </c>
      <c r="I351" s="31" t="inlineStr">
        <is>
          <t>Main</t>
        </is>
      </c>
      <c r="J351" s="6" t="inlineStr">
        <is>
          <t>Meta Description</t>
        </is>
      </c>
      <c r="K351" s="6" t="inlineStr">
        <is>
          <t>No</t>
        </is>
      </c>
      <c r="L351" s="6" t="inlineStr">
        <is>
          <t>Copy Writer</t>
        </is>
      </c>
      <c r="M351" s="25" t="inlineStr">
        <is>
          <t>Open</t>
        </is>
      </c>
      <c r="N351" s="6" t="n">
        <v>4</v>
      </c>
      <c r="O351" s="6" t="inlineStr">
        <is>
          <t>https://africanmarketingconfederation.org/chartered-marketer-africa-programme-fee/::aioseo_meta_description_too_long</t>
        </is>
      </c>
      <c r="P351" s="6" t="inlineStr">
        <is>
          <t>Long descriptions are often truncated and lose message clarity.</t>
        </is>
      </c>
      <c r="Q351">
        <f>IFERROR(HYPERLINK("#Main!A"&amp;MATCH(A351,Main!A:A,0),"Open"),HYPERLINK("#Main!A1","Open"))</f>
        <v/>
      </c>
      <c r="R351">
        <f>IFERROR(HYPERLINK("#Technical!A"&amp;MATCH(A351,Technical!A:A,0),"Open"),HYPERLINK("#Technical!A1","Open"))</f>
        <v/>
      </c>
    </row>
    <row r="352" ht="30" customHeight="1">
      <c r="A352" s="33" t="inlineStr">
        <is>
          <t>https://africanmarketingconfederation.org/chartered-marketer-africa-programme-fee/</t>
        </is>
      </c>
      <c r="B352" s="24" t="inlineStr">
        <is>
          <t>Basic SEO</t>
        </is>
      </c>
      <c r="C352" s="29" t="inlineStr">
        <is>
          <t>Info</t>
        </is>
      </c>
      <c r="D352" s="24" t="inlineStr">
        <is>
          <t>No internal links found</t>
        </is>
      </c>
      <c r="E352" s="24" t="n">
        <v>37</v>
      </c>
      <c r="F352" s="24" t="n">
        <v>0</v>
      </c>
      <c r="G352" s="24" t="inlineStr">
        <is>
          <t>&gt;=2 relevant internal links</t>
        </is>
      </c>
      <c r="H352" s="24" t="inlineStr">
        <is>
          <t>Add contextual internal links from and to related pages using descriptive anchor text.</t>
        </is>
      </c>
      <c r="I352" s="28" t="inlineStr">
        <is>
          <t>Links</t>
        </is>
      </c>
      <c r="J352" s="24" t="inlineStr">
        <is>
          <t>Internal Links Count</t>
        </is>
      </c>
      <c r="K352" s="24" t="inlineStr">
        <is>
          <t>No</t>
        </is>
      </c>
      <c r="L352" s="24" t="inlineStr">
        <is>
          <t>Copy Writer</t>
        </is>
      </c>
      <c r="M352" s="25" t="inlineStr">
        <is>
          <t>Open</t>
        </is>
      </c>
      <c r="N352" s="24" t="n">
        <v>4</v>
      </c>
      <c r="O352" s="24" t="inlineStr">
        <is>
          <t>https://africanmarketingconfederation.org/chartered-marketer-africa-programme-fee/::aioseo_no_internal_links_found</t>
        </is>
      </c>
      <c r="P352" s="24" t="inlineStr">
        <is>
          <t>Internal links help discovery, topical signals, and authority flow.</t>
        </is>
      </c>
      <c r="Q352">
        <f>IFERROR(HYPERLINK("#Main!A"&amp;MATCH(A352,Main!A:A,0),"Open"),HYPERLINK("#Main!A1","Open"))</f>
        <v/>
      </c>
      <c r="R352">
        <f>IFERROR(HYPERLINK("#Technical!A"&amp;MATCH(A352,Technical!A:A,0),"Open"),HYPERLINK("#Technical!A1","Open"))</f>
        <v/>
      </c>
    </row>
    <row r="353" ht="30" customHeight="1">
      <c r="A353" s="33" t="inlineStr">
        <is>
          <t>https://africanmarketingconfederation.org/chartered-marketer-africa-thank-you/</t>
        </is>
      </c>
      <c r="B353" s="6" t="inlineStr">
        <is>
          <t>Basic SEO</t>
        </is>
      </c>
      <c r="C353" s="29" t="inlineStr">
        <is>
          <t>Info</t>
        </is>
      </c>
      <c r="D353" s="6" t="inlineStr">
        <is>
          <t>Meta description too short</t>
        </is>
      </c>
      <c r="E353" s="6" t="n">
        <v>37</v>
      </c>
      <c r="F353" s="6" t="n">
        <v>92</v>
      </c>
      <c r="G353" s="6" t="inlineStr">
        <is>
          <t>120-160 characters</t>
        </is>
      </c>
      <c r="H353" s="6" t="inlineStr">
        <is>
          <t>Expand meta description in AIOSEO to include key value points and intent terms naturally.</t>
        </is>
      </c>
      <c r="I353" s="31" t="inlineStr">
        <is>
          <t>Main</t>
        </is>
      </c>
      <c r="J353" s="6" t="inlineStr">
        <is>
          <t>Meta Description</t>
        </is>
      </c>
      <c r="K353" s="6" t="inlineStr">
        <is>
          <t>No</t>
        </is>
      </c>
      <c r="L353" s="6" t="inlineStr">
        <is>
          <t>Copy Writer</t>
        </is>
      </c>
      <c r="M353" s="25" t="inlineStr">
        <is>
          <t>Open</t>
        </is>
      </c>
      <c r="N353" s="6" t="n">
        <v>4</v>
      </c>
      <c r="O353" s="6" t="inlineStr">
        <is>
          <t>https://africanmarketingconfederation.org/chartered-marketer-africa-thank-you/::aioseo_meta_description_too_short</t>
        </is>
      </c>
      <c r="P353" s="6" t="inlineStr">
        <is>
          <t>Short descriptions can under-communicate relevance and value.</t>
        </is>
      </c>
      <c r="Q353">
        <f>IFERROR(HYPERLINK("#Main!A"&amp;MATCH(A353,Main!A:A,0),"Open"),HYPERLINK("#Main!A1","Open"))</f>
        <v/>
      </c>
      <c r="R353">
        <f>IFERROR(HYPERLINK("#Technical!A"&amp;MATCH(A353,Technical!A:A,0),"Open"),HYPERLINK("#Technical!A1","Open"))</f>
        <v/>
      </c>
    </row>
    <row r="354" ht="30" customHeight="1">
      <c r="A354" s="33" t="inlineStr">
        <is>
          <t>https://africanmarketingconfederation.org/chartered-marketer-africa-thank-you/</t>
        </is>
      </c>
      <c r="B354" s="24" t="inlineStr">
        <is>
          <t>Basic SEO</t>
        </is>
      </c>
      <c r="C354" s="29" t="inlineStr">
        <is>
          <t>Info</t>
        </is>
      </c>
      <c r="D354" s="24" t="inlineStr">
        <is>
          <t>No internal links found</t>
        </is>
      </c>
      <c r="E354" s="24" t="n">
        <v>37</v>
      </c>
      <c r="F354" s="24" t="n">
        <v>0</v>
      </c>
      <c r="G354" s="24" t="inlineStr">
        <is>
          <t>&gt;=2 relevant internal links</t>
        </is>
      </c>
      <c r="H354" s="24" t="inlineStr">
        <is>
          <t>Add contextual internal links from and to related pages using descriptive anchor text.</t>
        </is>
      </c>
      <c r="I354" s="28" t="inlineStr">
        <is>
          <t>Links</t>
        </is>
      </c>
      <c r="J354" s="24" t="inlineStr">
        <is>
          <t>Internal Links Count</t>
        </is>
      </c>
      <c r="K354" s="24" t="inlineStr">
        <is>
          <t>No</t>
        </is>
      </c>
      <c r="L354" s="24" t="inlineStr">
        <is>
          <t>Copy Writer</t>
        </is>
      </c>
      <c r="M354" s="25" t="inlineStr">
        <is>
          <t>Open</t>
        </is>
      </c>
      <c r="N354" s="24" t="n">
        <v>4</v>
      </c>
      <c r="O354" s="24" t="inlineStr">
        <is>
          <t>https://africanmarketingconfederation.org/chartered-marketer-africa-thank-you/::aioseo_no_internal_links_found</t>
        </is>
      </c>
      <c r="P354" s="24" t="inlineStr">
        <is>
          <t>Internal links help discovery, topical signals, and authority flow.</t>
        </is>
      </c>
      <c r="Q354">
        <f>IFERROR(HYPERLINK("#Main!A"&amp;MATCH(A354,Main!A:A,0),"Open"),HYPERLINK("#Main!A1","Open"))</f>
        <v/>
      </c>
      <c r="R354">
        <f>IFERROR(HYPERLINK("#Technical!A"&amp;MATCH(A354,Technical!A:A,0),"Open"),HYPERLINK("#Technical!A1","Open"))</f>
        <v/>
      </c>
    </row>
    <row r="355" ht="30" customHeight="1">
      <c r="A355" s="33" t="inlineStr">
        <is>
          <t>https://africanmarketingconfederation.org/chartered-marketer-africa/</t>
        </is>
      </c>
      <c r="B355" s="6" t="inlineStr">
        <is>
          <t>Basic SEO</t>
        </is>
      </c>
      <c r="C355" s="29" t="inlineStr">
        <is>
          <t>Info</t>
        </is>
      </c>
      <c r="D355" s="6" t="inlineStr">
        <is>
          <t>No internal links found</t>
        </is>
      </c>
      <c r="E355" s="6" t="n">
        <v>37</v>
      </c>
      <c r="F355" s="6" t="n">
        <v>0</v>
      </c>
      <c r="G355" s="6" t="inlineStr">
        <is>
          <t>&gt;=2 relevant internal links</t>
        </is>
      </c>
      <c r="H355" s="6" t="inlineStr">
        <is>
          <t>Add contextual internal links from and to related pages using descriptive anchor text.</t>
        </is>
      </c>
      <c r="I355" s="31" t="inlineStr">
        <is>
          <t>Links</t>
        </is>
      </c>
      <c r="J355" s="6" t="inlineStr">
        <is>
          <t>Internal Links Count</t>
        </is>
      </c>
      <c r="K355" s="6" t="inlineStr">
        <is>
          <t>No</t>
        </is>
      </c>
      <c r="L355" s="6" t="inlineStr">
        <is>
          <t>Copy Writer</t>
        </is>
      </c>
      <c r="M355" s="25" t="inlineStr">
        <is>
          <t>Open</t>
        </is>
      </c>
      <c r="N355" s="6" t="n">
        <v>4</v>
      </c>
      <c r="O355" s="6" t="inlineStr">
        <is>
          <t>https://africanmarketingconfederation.org/chartered-marketer-africa/::aioseo_no_internal_links_found</t>
        </is>
      </c>
      <c r="P355" s="6" t="inlineStr">
        <is>
          <t>Internal links help discovery, topical signals, and authority flow.</t>
        </is>
      </c>
      <c r="Q355">
        <f>IFERROR(HYPERLINK("#Main!A"&amp;MATCH(A355,Main!A:A,0),"Open"),HYPERLINK("#Main!A1","Open"))</f>
        <v/>
      </c>
      <c r="R355">
        <f>IFERROR(HYPERLINK("#Technical!A"&amp;MATCH(A355,Technical!A:A,0),"Open"),HYPERLINK("#Technical!A1","Open"))</f>
        <v/>
      </c>
    </row>
    <row r="356" ht="30" customHeight="1">
      <c r="A356" s="33" t="inlineStr">
        <is>
          <t>https://africanmarketingconfederation.org/checkout/</t>
        </is>
      </c>
      <c r="B356" s="24" t="inlineStr">
        <is>
          <t>Basic SEO</t>
        </is>
      </c>
      <c r="C356" s="29" t="inlineStr">
        <is>
          <t>Info</t>
        </is>
      </c>
      <c r="D356" s="24" t="inlineStr">
        <is>
          <t>Meta description too short</t>
        </is>
      </c>
      <c r="E356" s="24" t="n">
        <v>37</v>
      </c>
      <c r="F356" s="24" t="n">
        <v>44</v>
      </c>
      <c r="G356" s="24" t="inlineStr">
        <is>
          <t>120-160 characters</t>
        </is>
      </c>
      <c r="H356" s="24" t="inlineStr">
        <is>
          <t>Expand meta description in AIOSEO to include key value points and intent terms naturally.</t>
        </is>
      </c>
      <c r="I356" s="28" t="inlineStr">
        <is>
          <t>Main</t>
        </is>
      </c>
      <c r="J356" s="24" t="inlineStr">
        <is>
          <t>Meta Description</t>
        </is>
      </c>
      <c r="K356" s="24" t="inlineStr">
        <is>
          <t>No</t>
        </is>
      </c>
      <c r="L356" s="24" t="inlineStr">
        <is>
          <t>Copy Writer</t>
        </is>
      </c>
      <c r="M356" s="25" t="inlineStr">
        <is>
          <t>Open</t>
        </is>
      </c>
      <c r="N356" s="24" t="n">
        <v>4</v>
      </c>
      <c r="O356" s="24" t="inlineStr">
        <is>
          <t>https://africanmarketingconfederation.org/checkout/::aioseo_meta_description_too_short</t>
        </is>
      </c>
      <c r="P356" s="24" t="inlineStr">
        <is>
          <t>Short descriptions can under-communicate relevance and value.</t>
        </is>
      </c>
      <c r="Q356">
        <f>IFERROR(HYPERLINK("#Main!A"&amp;MATCH(A356,Main!A:A,0),"Open"),HYPERLINK("#Main!A1","Open"))</f>
        <v/>
      </c>
      <c r="R356">
        <f>IFERROR(HYPERLINK("#Technical!A"&amp;MATCH(A356,Technical!A:A,0),"Open"),HYPERLINK("#Technical!A1","Open"))</f>
        <v/>
      </c>
    </row>
    <row r="357" ht="30" customHeight="1">
      <c r="A357" s="33" t="inlineStr">
        <is>
          <t>https://africanmarketingconfederation.org/checkout/</t>
        </is>
      </c>
      <c r="B357" s="6" t="inlineStr">
        <is>
          <t>Basic SEO</t>
        </is>
      </c>
      <c r="C357" s="29" t="inlineStr">
        <is>
          <t>Info</t>
        </is>
      </c>
      <c r="D357" s="6" t="inlineStr">
        <is>
          <t>No internal links found</t>
        </is>
      </c>
      <c r="E357" s="6" t="n">
        <v>37</v>
      </c>
      <c r="F357" s="6" t="n">
        <v>0</v>
      </c>
      <c r="G357" s="6" t="inlineStr">
        <is>
          <t>&gt;=2 relevant internal links</t>
        </is>
      </c>
      <c r="H357" s="6" t="inlineStr">
        <is>
          <t>Add contextual internal links from and to related pages using descriptive anchor text.</t>
        </is>
      </c>
      <c r="I357" s="31" t="inlineStr">
        <is>
          <t>Links</t>
        </is>
      </c>
      <c r="J357" s="6" t="inlineStr">
        <is>
          <t>Internal Links Count</t>
        </is>
      </c>
      <c r="K357" s="6" t="inlineStr">
        <is>
          <t>No</t>
        </is>
      </c>
      <c r="L357" s="6" t="inlineStr">
        <is>
          <t>Copy Writer</t>
        </is>
      </c>
      <c r="M357" s="25" t="inlineStr">
        <is>
          <t>Open</t>
        </is>
      </c>
      <c r="N357" s="6" t="n">
        <v>4</v>
      </c>
      <c r="O357" s="6" t="inlineStr">
        <is>
          <t>https://africanmarketingconfederation.org/checkout/::aioseo_no_internal_links_found</t>
        </is>
      </c>
      <c r="P357" s="6" t="inlineStr">
        <is>
          <t>Internal links help discovery, topical signals, and authority flow.</t>
        </is>
      </c>
      <c r="Q357">
        <f>IFERROR(HYPERLINK("#Main!A"&amp;MATCH(A357,Main!A:A,0),"Open"),HYPERLINK("#Main!A1","Open"))</f>
        <v/>
      </c>
      <c r="R357">
        <f>IFERROR(HYPERLINK("#Technical!A"&amp;MATCH(A357,Technical!A:A,0),"Open"),HYPERLINK("#Technical!A1","Open"))</f>
        <v/>
      </c>
    </row>
    <row r="358" ht="30" customHeight="1">
      <c r="A358" s="33" t="inlineStr">
        <is>
          <t>https://africanmarketingconfederation.org/conference-faq-2025/</t>
        </is>
      </c>
      <c r="B358" s="24" t="inlineStr">
        <is>
          <t>Basic SEO</t>
        </is>
      </c>
      <c r="C358" s="29" t="inlineStr">
        <is>
          <t>Info</t>
        </is>
      </c>
      <c r="D358" s="24" t="inlineStr">
        <is>
          <t>No internal links found</t>
        </is>
      </c>
      <c r="E358" s="24" t="n">
        <v>37</v>
      </c>
      <c r="F358" s="24" t="n">
        <v>0</v>
      </c>
      <c r="G358" s="24" t="inlineStr">
        <is>
          <t>&gt;=2 relevant internal links</t>
        </is>
      </c>
      <c r="H358" s="24" t="inlineStr">
        <is>
          <t>Add contextual internal links from and to related pages using descriptive anchor text.</t>
        </is>
      </c>
      <c r="I358" s="28" t="inlineStr">
        <is>
          <t>Links</t>
        </is>
      </c>
      <c r="J358" s="24" t="inlineStr">
        <is>
          <t>Internal Links Count</t>
        </is>
      </c>
      <c r="K358" s="24" t="inlineStr">
        <is>
          <t>No</t>
        </is>
      </c>
      <c r="L358" s="24" t="inlineStr">
        <is>
          <t>Copy Writer</t>
        </is>
      </c>
      <c r="M358" s="25" t="inlineStr">
        <is>
          <t>Open</t>
        </is>
      </c>
      <c r="N358" s="24" t="n">
        <v>4</v>
      </c>
      <c r="O358" s="24" t="inlineStr">
        <is>
          <t>https://africanmarketingconfederation.org/conference-faq-2025/::aioseo_no_internal_links_found</t>
        </is>
      </c>
      <c r="P358" s="24" t="inlineStr">
        <is>
          <t>Internal links help discovery, topical signals, and authority flow.</t>
        </is>
      </c>
      <c r="Q358">
        <f>IFERROR(HYPERLINK("#Main!A"&amp;MATCH(A358,Main!A:A,0),"Open"),HYPERLINK("#Main!A1","Open"))</f>
        <v/>
      </c>
      <c r="R358">
        <f>IFERROR(HYPERLINK("#Technical!A"&amp;MATCH(A358,Technical!A:A,0),"Open"),HYPERLINK("#Technical!A1","Open"))</f>
        <v/>
      </c>
    </row>
    <row r="359" ht="30" customHeight="1">
      <c r="A359" s="33" t="inlineStr">
        <is>
          <t>https://africanmarketingconfederation.org/conference-registrations-2024/</t>
        </is>
      </c>
      <c r="B359" s="6" t="inlineStr">
        <is>
          <t>Basic SEO</t>
        </is>
      </c>
      <c r="C359" s="29" t="inlineStr">
        <is>
          <t>Info</t>
        </is>
      </c>
      <c r="D359" s="6" t="inlineStr">
        <is>
          <t>Meta description too long</t>
        </is>
      </c>
      <c r="E359" s="6" t="n">
        <v>37</v>
      </c>
      <c r="F359" s="6" t="n">
        <v>800</v>
      </c>
      <c r="G359" s="6" t="inlineStr">
        <is>
          <t>120-160 characters</t>
        </is>
      </c>
      <c r="H359" s="6" t="inlineStr">
        <is>
          <t>Trim meta description in AIOSEO and front-load essential context.</t>
        </is>
      </c>
      <c r="I359" s="31" t="inlineStr">
        <is>
          <t>Main</t>
        </is>
      </c>
      <c r="J359" s="6" t="inlineStr">
        <is>
          <t>Meta Description</t>
        </is>
      </c>
      <c r="K359" s="6" t="inlineStr">
        <is>
          <t>No</t>
        </is>
      </c>
      <c r="L359" s="6" t="inlineStr">
        <is>
          <t>Copy Writer</t>
        </is>
      </c>
      <c r="M359" s="25" t="inlineStr">
        <is>
          <t>Open</t>
        </is>
      </c>
      <c r="N359" s="6" t="n">
        <v>4</v>
      </c>
      <c r="O359" s="6" t="inlineStr">
        <is>
          <t>https://africanmarketingconfederation.org/conference-registrations-2024/::aioseo_meta_description_too_long</t>
        </is>
      </c>
      <c r="P359" s="6" t="inlineStr">
        <is>
          <t>Long descriptions are often truncated and lose message clarity.</t>
        </is>
      </c>
      <c r="Q359">
        <f>IFERROR(HYPERLINK("#Main!A"&amp;MATCH(A359,Main!A:A,0),"Open"),HYPERLINK("#Main!A1","Open"))</f>
        <v/>
      </c>
      <c r="R359">
        <f>IFERROR(HYPERLINK("#Technical!A"&amp;MATCH(A359,Technical!A:A,0),"Open"),HYPERLINK("#Technical!A1","Open"))</f>
        <v/>
      </c>
    </row>
    <row r="360" ht="30" customHeight="1">
      <c r="A360" s="33" t="inlineStr">
        <is>
          <t>https://africanmarketingconfederation.org/conference-registrations-2024/</t>
        </is>
      </c>
      <c r="B360" s="24" t="inlineStr">
        <is>
          <t>Basic SEO</t>
        </is>
      </c>
      <c r="C360" s="29" t="inlineStr">
        <is>
          <t>Info</t>
        </is>
      </c>
      <c r="D360" s="24" t="inlineStr">
        <is>
          <t>No internal links found</t>
        </is>
      </c>
      <c r="E360" s="24" t="n">
        <v>37</v>
      </c>
      <c r="F360" s="24" t="n">
        <v>0</v>
      </c>
      <c r="G360" s="24" t="inlineStr">
        <is>
          <t>&gt;=2 relevant internal links</t>
        </is>
      </c>
      <c r="H360" s="24" t="inlineStr">
        <is>
          <t>Add contextual internal links from and to related pages using descriptive anchor text.</t>
        </is>
      </c>
      <c r="I360" s="28" t="inlineStr">
        <is>
          <t>Links</t>
        </is>
      </c>
      <c r="J360" s="24" t="inlineStr">
        <is>
          <t>Internal Links Count</t>
        </is>
      </c>
      <c r="K360" s="24" t="inlineStr">
        <is>
          <t>No</t>
        </is>
      </c>
      <c r="L360" s="24" t="inlineStr">
        <is>
          <t>Copy Writer</t>
        </is>
      </c>
      <c r="M360" s="25" t="inlineStr">
        <is>
          <t>Open</t>
        </is>
      </c>
      <c r="N360" s="24" t="n">
        <v>4</v>
      </c>
      <c r="O360" s="24" t="inlineStr">
        <is>
          <t>https://africanmarketingconfederation.org/conference-registrations-2024/::aioseo_no_internal_links_found</t>
        </is>
      </c>
      <c r="P360" s="24" t="inlineStr">
        <is>
          <t>Internal links help discovery, topical signals, and authority flow.</t>
        </is>
      </c>
      <c r="Q360">
        <f>IFERROR(HYPERLINK("#Main!A"&amp;MATCH(A360,Main!A:A,0),"Open"),HYPERLINK("#Main!A1","Open"))</f>
        <v/>
      </c>
      <c r="R360">
        <f>IFERROR(HYPERLINK("#Technical!A"&amp;MATCH(A360,Technical!A:A,0),"Open"),HYPERLINK("#Technical!A1","Open"))</f>
        <v/>
      </c>
    </row>
    <row r="361" ht="30" customHeight="1">
      <c r="A361" s="33" t="inlineStr">
        <is>
          <t>https://africanmarketingconfederation.org/contact-us/</t>
        </is>
      </c>
      <c r="B361" s="6" t="inlineStr">
        <is>
          <t>Basic SEO</t>
        </is>
      </c>
      <c r="C361" s="29" t="inlineStr">
        <is>
          <t>Info</t>
        </is>
      </c>
      <c r="D361" s="6" t="inlineStr">
        <is>
          <t>Meta description too short</t>
        </is>
      </c>
      <c r="E361" s="6" t="n">
        <v>37</v>
      </c>
      <c r="F361" s="6" t="n">
        <v>79</v>
      </c>
      <c r="G361" s="6" t="inlineStr">
        <is>
          <t>120-160 characters</t>
        </is>
      </c>
      <c r="H361" s="6" t="inlineStr">
        <is>
          <t>Expand meta description in AIOSEO to include key value points and intent terms naturally.</t>
        </is>
      </c>
      <c r="I361" s="31" t="inlineStr">
        <is>
          <t>Main</t>
        </is>
      </c>
      <c r="J361" s="6" t="inlineStr">
        <is>
          <t>Meta Description</t>
        </is>
      </c>
      <c r="K361" s="6" t="inlineStr">
        <is>
          <t>No</t>
        </is>
      </c>
      <c r="L361" s="6" t="inlineStr">
        <is>
          <t>Copy Writer</t>
        </is>
      </c>
      <c r="M361" s="25" t="inlineStr">
        <is>
          <t>Open</t>
        </is>
      </c>
      <c r="N361" s="6" t="n">
        <v>4</v>
      </c>
      <c r="O361" s="6" t="inlineStr">
        <is>
          <t>https://africanmarketingconfederation.org/contact-us/::aioseo_meta_description_too_short</t>
        </is>
      </c>
      <c r="P361" s="6" t="inlineStr">
        <is>
          <t>Short descriptions can under-communicate relevance and value.</t>
        </is>
      </c>
      <c r="Q361">
        <f>IFERROR(HYPERLINK("#Main!A"&amp;MATCH(A361,Main!A:A,0),"Open"),HYPERLINK("#Main!A1","Open"))</f>
        <v/>
      </c>
      <c r="R361">
        <f>IFERROR(HYPERLINK("#Technical!A"&amp;MATCH(A361,Technical!A:A,0),"Open"),HYPERLINK("#Technical!A1","Open"))</f>
        <v/>
      </c>
    </row>
    <row r="362" ht="30" customHeight="1">
      <c r="A362" s="33" t="inlineStr">
        <is>
          <t>https://africanmarketingconfederation.org/contact-us/</t>
        </is>
      </c>
      <c r="B362" s="24" t="inlineStr">
        <is>
          <t>Basic SEO</t>
        </is>
      </c>
      <c r="C362" s="29" t="inlineStr">
        <is>
          <t>Info</t>
        </is>
      </c>
      <c r="D362" s="24" t="inlineStr">
        <is>
          <t>No internal links found</t>
        </is>
      </c>
      <c r="E362" s="24" t="n">
        <v>37</v>
      </c>
      <c r="F362" s="24" t="n">
        <v>0</v>
      </c>
      <c r="G362" s="24" t="inlineStr">
        <is>
          <t>&gt;=2 relevant internal links</t>
        </is>
      </c>
      <c r="H362" s="24" t="inlineStr">
        <is>
          <t>Add contextual internal links from and to related pages using descriptive anchor text.</t>
        </is>
      </c>
      <c r="I362" s="28" t="inlineStr">
        <is>
          <t>Links</t>
        </is>
      </c>
      <c r="J362" s="24" t="inlineStr">
        <is>
          <t>Internal Links Count</t>
        </is>
      </c>
      <c r="K362" s="24" t="inlineStr">
        <is>
          <t>No</t>
        </is>
      </c>
      <c r="L362" s="24" t="inlineStr">
        <is>
          <t>Copy Writer</t>
        </is>
      </c>
      <c r="M362" s="25" t="inlineStr">
        <is>
          <t>Open</t>
        </is>
      </c>
      <c r="N362" s="24" t="n">
        <v>4</v>
      </c>
      <c r="O362" s="24" t="inlineStr">
        <is>
          <t>https://africanmarketingconfederation.org/contact-us/::aioseo_no_internal_links_found</t>
        </is>
      </c>
      <c r="P362" s="24" t="inlineStr">
        <is>
          <t>Internal links help discovery, topical signals, and authority flow.</t>
        </is>
      </c>
      <c r="Q362">
        <f>IFERROR(HYPERLINK("#Main!A"&amp;MATCH(A362,Main!A:A,0),"Open"),HYPERLINK("#Main!A1","Open"))</f>
        <v/>
      </c>
      <c r="R362">
        <f>IFERROR(HYPERLINK("#Technical!A"&amp;MATCH(A362,Technical!A:A,0),"Open"),HYPERLINK("#Technical!A1","Open"))</f>
        <v/>
      </c>
    </row>
    <row r="363" ht="30" customHeight="1">
      <c r="A363" s="33" t="inlineStr">
        <is>
          <t>https://africanmarketingconfederation.org/download-brochure/</t>
        </is>
      </c>
      <c r="B363" s="6" t="inlineStr">
        <is>
          <t>Basic SEO</t>
        </is>
      </c>
      <c r="C363" s="29" t="inlineStr">
        <is>
          <t>Info</t>
        </is>
      </c>
      <c r="D363" s="6" t="inlineStr">
        <is>
          <t>Meta description too short</t>
        </is>
      </c>
      <c r="E363" s="6" t="n">
        <v>37</v>
      </c>
      <c r="F363" s="6" t="n">
        <v>100</v>
      </c>
      <c r="G363" s="6" t="inlineStr">
        <is>
          <t>120-160 characters</t>
        </is>
      </c>
      <c r="H363" s="6" t="inlineStr">
        <is>
          <t>Expand meta description in AIOSEO to include key value points and intent terms naturally.</t>
        </is>
      </c>
      <c r="I363" s="31" t="inlineStr">
        <is>
          <t>Main</t>
        </is>
      </c>
      <c r="J363" s="6" t="inlineStr">
        <is>
          <t>Meta Description</t>
        </is>
      </c>
      <c r="K363" s="6" t="inlineStr">
        <is>
          <t>No</t>
        </is>
      </c>
      <c r="L363" s="6" t="inlineStr">
        <is>
          <t>Copy Writer</t>
        </is>
      </c>
      <c r="M363" s="25" t="inlineStr">
        <is>
          <t>Open</t>
        </is>
      </c>
      <c r="N363" s="6" t="n">
        <v>4</v>
      </c>
      <c r="O363" s="6" t="inlineStr">
        <is>
          <t>https://africanmarketingconfederation.org/download-brochure/::aioseo_meta_description_too_short</t>
        </is>
      </c>
      <c r="P363" s="6" t="inlineStr">
        <is>
          <t>Short descriptions can under-communicate relevance and value.</t>
        </is>
      </c>
      <c r="Q363">
        <f>IFERROR(HYPERLINK("#Main!A"&amp;MATCH(A363,Main!A:A,0),"Open"),HYPERLINK("#Main!A1","Open"))</f>
        <v/>
      </c>
      <c r="R363">
        <f>IFERROR(HYPERLINK("#Technical!A"&amp;MATCH(A363,Technical!A:A,0),"Open"),HYPERLINK("#Technical!A1","Open"))</f>
        <v/>
      </c>
    </row>
    <row r="364" ht="30" customHeight="1">
      <c r="A364" s="33" t="inlineStr">
        <is>
          <t>https://africanmarketingconfederation.org/download-brochure/</t>
        </is>
      </c>
      <c r="B364" s="24" t="inlineStr">
        <is>
          <t>Basic SEO</t>
        </is>
      </c>
      <c r="C364" s="29" t="inlineStr">
        <is>
          <t>Info</t>
        </is>
      </c>
      <c r="D364" s="24" t="inlineStr">
        <is>
          <t>No internal links found</t>
        </is>
      </c>
      <c r="E364" s="24" t="n">
        <v>37</v>
      </c>
      <c r="F364" s="24" t="n">
        <v>0</v>
      </c>
      <c r="G364" s="24" t="inlineStr">
        <is>
          <t>&gt;=2 relevant internal links</t>
        </is>
      </c>
      <c r="H364" s="24" t="inlineStr">
        <is>
          <t>Add contextual internal links from and to related pages using descriptive anchor text.</t>
        </is>
      </c>
      <c r="I364" s="28" t="inlineStr">
        <is>
          <t>Links</t>
        </is>
      </c>
      <c r="J364" s="24" t="inlineStr">
        <is>
          <t>Internal Links Count</t>
        </is>
      </c>
      <c r="K364" s="24" t="inlineStr">
        <is>
          <t>No</t>
        </is>
      </c>
      <c r="L364" s="24" t="inlineStr">
        <is>
          <t>Copy Writer</t>
        </is>
      </c>
      <c r="M364" s="25" t="inlineStr">
        <is>
          <t>Open</t>
        </is>
      </c>
      <c r="N364" s="24" t="n">
        <v>4</v>
      </c>
      <c r="O364" s="24" t="inlineStr">
        <is>
          <t>https://africanmarketingconfederation.org/download-brochure/::aioseo_no_internal_links_found</t>
        </is>
      </c>
      <c r="P364" s="24" t="inlineStr">
        <is>
          <t>Internal links help discovery, topical signals, and authority flow.</t>
        </is>
      </c>
      <c r="Q364">
        <f>IFERROR(HYPERLINK("#Main!A"&amp;MATCH(A364,Main!A:A,0),"Open"),HYPERLINK("#Main!A1","Open"))</f>
        <v/>
      </c>
      <c r="R364">
        <f>IFERROR(HYPERLINK("#Technical!A"&amp;MATCH(A364,Technical!A:A,0),"Open"),HYPERLINK("#Technical!A1","Open"))</f>
        <v/>
      </c>
    </row>
    <row r="365" ht="30" customHeight="1">
      <c r="A365" s="33" t="inlineStr">
        <is>
          <t>https://africanmarketingconfederation.org/download-prospectus-2024/</t>
        </is>
      </c>
      <c r="B365" s="6" t="inlineStr">
        <is>
          <t>Basic SEO</t>
        </is>
      </c>
      <c r="C365" s="29" t="inlineStr">
        <is>
          <t>Info</t>
        </is>
      </c>
      <c r="D365" s="6" t="inlineStr">
        <is>
          <t>Meta description too short</t>
        </is>
      </c>
      <c r="E365" s="6" t="n">
        <v>37</v>
      </c>
      <c r="F365" s="6" t="n">
        <v>68</v>
      </c>
      <c r="G365" s="6" t="inlineStr">
        <is>
          <t>120-160 characters</t>
        </is>
      </c>
      <c r="H365" s="6" t="inlineStr">
        <is>
          <t>Expand meta description in AIOSEO to include key value points and intent terms naturally.</t>
        </is>
      </c>
      <c r="I365" s="31" t="inlineStr">
        <is>
          <t>Main</t>
        </is>
      </c>
      <c r="J365" s="6" t="inlineStr">
        <is>
          <t>Meta Description</t>
        </is>
      </c>
      <c r="K365" s="6" t="inlineStr">
        <is>
          <t>No</t>
        </is>
      </c>
      <c r="L365" s="6" t="inlineStr">
        <is>
          <t>Copy Writer</t>
        </is>
      </c>
      <c r="M365" s="25" t="inlineStr">
        <is>
          <t>Open</t>
        </is>
      </c>
      <c r="N365" s="6" t="n">
        <v>4</v>
      </c>
      <c r="O365" s="6" t="inlineStr">
        <is>
          <t>https://africanmarketingconfederation.org/download-prospectus-2024/::aioseo_meta_description_too_short</t>
        </is>
      </c>
      <c r="P365" s="6" t="inlineStr">
        <is>
          <t>Short descriptions can under-communicate relevance and value.</t>
        </is>
      </c>
      <c r="Q365">
        <f>IFERROR(HYPERLINK("#Main!A"&amp;MATCH(A365,Main!A:A,0),"Open"),HYPERLINK("#Main!A1","Open"))</f>
        <v/>
      </c>
      <c r="R365">
        <f>IFERROR(HYPERLINK("#Technical!A"&amp;MATCH(A365,Technical!A:A,0),"Open"),HYPERLINK("#Technical!A1","Open"))</f>
        <v/>
      </c>
    </row>
    <row r="366" ht="30" customHeight="1">
      <c r="A366" s="33" t="inlineStr">
        <is>
          <t>https://africanmarketingconfederation.org/download-prospectus-2024/</t>
        </is>
      </c>
      <c r="B366" s="24" t="inlineStr">
        <is>
          <t>Basic SEO</t>
        </is>
      </c>
      <c r="C366" s="29" t="inlineStr">
        <is>
          <t>Info</t>
        </is>
      </c>
      <c r="D366" s="24" t="inlineStr">
        <is>
          <t>No internal links found</t>
        </is>
      </c>
      <c r="E366" s="24" t="n">
        <v>37</v>
      </c>
      <c r="F366" s="24" t="n">
        <v>0</v>
      </c>
      <c r="G366" s="24" t="inlineStr">
        <is>
          <t>&gt;=2 relevant internal links</t>
        </is>
      </c>
      <c r="H366" s="24" t="inlineStr">
        <is>
          <t>Add contextual internal links from and to related pages using descriptive anchor text.</t>
        </is>
      </c>
      <c r="I366" s="28" t="inlineStr">
        <is>
          <t>Links</t>
        </is>
      </c>
      <c r="J366" s="24" t="inlineStr">
        <is>
          <t>Internal Links Count</t>
        </is>
      </c>
      <c r="K366" s="24" t="inlineStr">
        <is>
          <t>No</t>
        </is>
      </c>
      <c r="L366" s="24" t="inlineStr">
        <is>
          <t>Copy Writer</t>
        </is>
      </c>
      <c r="M366" s="25" t="inlineStr">
        <is>
          <t>Open</t>
        </is>
      </c>
      <c r="N366" s="24" t="n">
        <v>4</v>
      </c>
      <c r="O366" s="24" t="inlineStr">
        <is>
          <t>https://africanmarketingconfederation.org/download-prospectus-2024/::aioseo_no_internal_links_found</t>
        </is>
      </c>
      <c r="P366" s="24" t="inlineStr">
        <is>
          <t>Internal links help discovery, topical signals, and authority flow.</t>
        </is>
      </c>
      <c r="Q366">
        <f>IFERROR(HYPERLINK("#Main!A"&amp;MATCH(A366,Main!A:A,0),"Open"),HYPERLINK("#Main!A1","Open"))</f>
        <v/>
      </c>
      <c r="R366">
        <f>IFERROR(HYPERLINK("#Technical!A"&amp;MATCH(A366,Technical!A:A,0),"Open"),HYPERLINK("#Technical!A1","Open"))</f>
        <v/>
      </c>
    </row>
    <row r="367" ht="30" customHeight="1">
      <c r="A367" s="33" t="inlineStr">
        <is>
          <t>https://africanmarketingconfederation.org/education/</t>
        </is>
      </c>
      <c r="B367" s="6" t="inlineStr">
        <is>
          <t>Basic SEO</t>
        </is>
      </c>
      <c r="C367" s="29" t="inlineStr">
        <is>
          <t>Info</t>
        </is>
      </c>
      <c r="D367" s="6" t="inlineStr">
        <is>
          <t>Meta description too long</t>
        </is>
      </c>
      <c r="E367" s="6" t="n">
        <v>37</v>
      </c>
      <c r="F367" s="6" t="n">
        <v>344</v>
      </c>
      <c r="G367" s="6" t="inlineStr">
        <is>
          <t>120-160 characters</t>
        </is>
      </c>
      <c r="H367" s="6" t="inlineStr">
        <is>
          <t>Trim meta description in AIOSEO and front-load essential context.</t>
        </is>
      </c>
      <c r="I367" s="31" t="inlineStr">
        <is>
          <t>Main</t>
        </is>
      </c>
      <c r="J367" s="6" t="inlineStr">
        <is>
          <t>Meta Description</t>
        </is>
      </c>
      <c r="K367" s="6" t="inlineStr">
        <is>
          <t>No</t>
        </is>
      </c>
      <c r="L367" s="6" t="inlineStr">
        <is>
          <t>Copy Writer</t>
        </is>
      </c>
      <c r="M367" s="25" t="inlineStr">
        <is>
          <t>Open</t>
        </is>
      </c>
      <c r="N367" s="6" t="n">
        <v>4</v>
      </c>
      <c r="O367" s="6" t="inlineStr">
        <is>
          <t>https://africanmarketingconfederation.org/education/::aioseo_meta_description_too_long</t>
        </is>
      </c>
      <c r="P367" s="6" t="inlineStr">
        <is>
          <t>Long descriptions are often truncated and lose message clarity.</t>
        </is>
      </c>
      <c r="Q367">
        <f>IFERROR(HYPERLINK("#Main!A"&amp;MATCH(A367,Main!A:A,0),"Open"),HYPERLINK("#Main!A1","Open"))</f>
        <v/>
      </c>
      <c r="R367">
        <f>IFERROR(HYPERLINK("#Technical!A"&amp;MATCH(A367,Technical!A:A,0),"Open"),HYPERLINK("#Technical!A1","Open"))</f>
        <v/>
      </c>
    </row>
    <row r="368" ht="30" customHeight="1">
      <c r="A368" s="33" t="inlineStr">
        <is>
          <t>https://africanmarketingconfederation.org/education/</t>
        </is>
      </c>
      <c r="B368" s="24" t="inlineStr">
        <is>
          <t>Basic SEO</t>
        </is>
      </c>
      <c r="C368" s="29" t="inlineStr">
        <is>
          <t>Info</t>
        </is>
      </c>
      <c r="D368" s="24" t="inlineStr">
        <is>
          <t>No internal links found</t>
        </is>
      </c>
      <c r="E368" s="24" t="n">
        <v>37</v>
      </c>
      <c r="F368" s="24" t="n">
        <v>0</v>
      </c>
      <c r="G368" s="24" t="inlineStr">
        <is>
          <t>&gt;=2 relevant internal links</t>
        </is>
      </c>
      <c r="H368" s="24" t="inlineStr">
        <is>
          <t>Add contextual internal links from and to related pages using descriptive anchor text.</t>
        </is>
      </c>
      <c r="I368" s="28" t="inlineStr">
        <is>
          <t>Links</t>
        </is>
      </c>
      <c r="J368" s="24" t="inlineStr">
        <is>
          <t>Internal Links Count</t>
        </is>
      </c>
      <c r="K368" s="24" t="inlineStr">
        <is>
          <t>No</t>
        </is>
      </c>
      <c r="L368" s="24" t="inlineStr">
        <is>
          <t>Copy Writer</t>
        </is>
      </c>
      <c r="M368" s="25" t="inlineStr">
        <is>
          <t>Open</t>
        </is>
      </c>
      <c r="N368" s="24" t="n">
        <v>4</v>
      </c>
      <c r="O368" s="24" t="inlineStr">
        <is>
          <t>https://africanmarketingconfederation.org/education/::aioseo_no_internal_links_found</t>
        </is>
      </c>
      <c r="P368" s="24" t="inlineStr">
        <is>
          <t>Internal links help discovery, topical signals, and authority flow.</t>
        </is>
      </c>
      <c r="Q368">
        <f>IFERROR(HYPERLINK("#Main!A"&amp;MATCH(A368,Main!A:A,0),"Open"),HYPERLINK("#Main!A1","Open"))</f>
        <v/>
      </c>
      <c r="R368">
        <f>IFERROR(HYPERLINK("#Technical!A"&amp;MATCH(A368,Technical!A:A,0),"Open"),HYPERLINK("#Technical!A1","Open"))</f>
        <v/>
      </c>
    </row>
    <row r="369" ht="30" customHeight="1">
      <c r="A369" s="33" t="inlineStr">
        <is>
          <t>https://africanmarketingconfederation.org/elementor-16548/</t>
        </is>
      </c>
      <c r="B369" s="6" t="inlineStr">
        <is>
          <t>Basic SEO</t>
        </is>
      </c>
      <c r="C369" s="29" t="inlineStr">
        <is>
          <t>Info</t>
        </is>
      </c>
      <c r="D369" s="6" t="inlineStr">
        <is>
          <t>Meta description too long</t>
        </is>
      </c>
      <c r="E369" s="6" t="n">
        <v>37</v>
      </c>
      <c r="F369" s="6" t="n">
        <v>216</v>
      </c>
      <c r="G369" s="6" t="inlineStr">
        <is>
          <t>120-160 characters</t>
        </is>
      </c>
      <c r="H369" s="6" t="inlineStr">
        <is>
          <t>Trim meta description in AIOSEO and front-load essential context.</t>
        </is>
      </c>
      <c r="I369" s="31" t="inlineStr">
        <is>
          <t>Main</t>
        </is>
      </c>
      <c r="J369" s="6" t="inlineStr">
        <is>
          <t>Meta Description</t>
        </is>
      </c>
      <c r="K369" s="6" t="inlineStr">
        <is>
          <t>No</t>
        </is>
      </c>
      <c r="L369" s="6" t="inlineStr">
        <is>
          <t>Copy Writer</t>
        </is>
      </c>
      <c r="M369" s="25" t="inlineStr">
        <is>
          <t>Open</t>
        </is>
      </c>
      <c r="N369" s="6" t="n">
        <v>4</v>
      </c>
      <c r="O369" s="6" t="inlineStr">
        <is>
          <t>https://africanmarketingconfederation.org/elementor-16548/::aioseo_meta_description_too_long</t>
        </is>
      </c>
      <c r="P369" s="6" t="inlineStr">
        <is>
          <t>Long descriptions are often truncated and lose message clarity.</t>
        </is>
      </c>
      <c r="Q369">
        <f>IFERROR(HYPERLINK("#Main!A"&amp;MATCH(A369,Main!A:A,0),"Open"),HYPERLINK("#Main!A1","Open"))</f>
        <v/>
      </c>
      <c r="R369">
        <f>IFERROR(HYPERLINK("#Technical!A"&amp;MATCH(A369,Technical!A:A,0),"Open"),HYPERLINK("#Technical!A1","Open"))</f>
        <v/>
      </c>
    </row>
    <row r="370" ht="30" customHeight="1">
      <c r="A370" s="33" t="inlineStr">
        <is>
          <t>https://africanmarketingconfederation.org/elementor-16548/</t>
        </is>
      </c>
      <c r="B370" s="24" t="inlineStr">
        <is>
          <t>Basic SEO</t>
        </is>
      </c>
      <c r="C370" s="29" t="inlineStr">
        <is>
          <t>Info</t>
        </is>
      </c>
      <c r="D370" s="24" t="inlineStr">
        <is>
          <t>No internal links found</t>
        </is>
      </c>
      <c r="E370" s="24" t="n">
        <v>37</v>
      </c>
      <c r="F370" s="24" t="n">
        <v>0</v>
      </c>
      <c r="G370" s="24" t="inlineStr">
        <is>
          <t>&gt;=2 relevant internal links</t>
        </is>
      </c>
      <c r="H370" s="24" t="inlineStr">
        <is>
          <t>Add contextual internal links from and to related pages using descriptive anchor text.</t>
        </is>
      </c>
      <c r="I370" s="28" t="inlineStr">
        <is>
          <t>Links</t>
        </is>
      </c>
      <c r="J370" s="24" t="inlineStr">
        <is>
          <t>Internal Links Count</t>
        </is>
      </c>
      <c r="K370" s="24" t="inlineStr">
        <is>
          <t>No</t>
        </is>
      </c>
      <c r="L370" s="24" t="inlineStr">
        <is>
          <t>Copy Writer</t>
        </is>
      </c>
      <c r="M370" s="25" t="inlineStr">
        <is>
          <t>Open</t>
        </is>
      </c>
      <c r="N370" s="24" t="n">
        <v>4</v>
      </c>
      <c r="O370" s="24" t="inlineStr">
        <is>
          <t>https://africanmarketingconfederation.org/elementor-16548/::aioseo_no_internal_links_found</t>
        </is>
      </c>
      <c r="P370" s="24" t="inlineStr">
        <is>
          <t>Internal links help discovery, topical signals, and authority flow.</t>
        </is>
      </c>
      <c r="Q370">
        <f>IFERROR(HYPERLINK("#Main!A"&amp;MATCH(A370,Main!A:A,0),"Open"),HYPERLINK("#Main!A1","Open"))</f>
        <v/>
      </c>
      <c r="R370">
        <f>IFERROR(HYPERLINK("#Technical!A"&amp;MATCH(A370,Technical!A:A,0),"Open"),HYPERLINK("#Technical!A1","Open"))</f>
        <v/>
      </c>
    </row>
    <row r="371" ht="30" customHeight="1">
      <c r="A371" s="33" t="inlineStr">
        <is>
          <t>https://africanmarketingconfederation.org/elementor-20341/</t>
        </is>
      </c>
      <c r="B371" s="6" t="inlineStr">
        <is>
          <t>Basic SEO</t>
        </is>
      </c>
      <c r="C371" s="29" t="inlineStr">
        <is>
          <t>Info</t>
        </is>
      </c>
      <c r="D371" s="6" t="inlineStr">
        <is>
          <t>No internal links found</t>
        </is>
      </c>
      <c r="E371" s="6" t="n">
        <v>37</v>
      </c>
      <c r="F371" s="6" t="n">
        <v>0</v>
      </c>
      <c r="G371" s="6" t="inlineStr">
        <is>
          <t>&gt;=2 relevant internal links</t>
        </is>
      </c>
      <c r="H371" s="6" t="inlineStr">
        <is>
          <t>Add contextual internal links from and to related pages using descriptive anchor text.</t>
        </is>
      </c>
      <c r="I371" s="31" t="inlineStr">
        <is>
          <t>Links</t>
        </is>
      </c>
      <c r="J371" s="6" t="inlineStr">
        <is>
          <t>Internal Links Count</t>
        </is>
      </c>
      <c r="K371" s="6" t="inlineStr">
        <is>
          <t>No</t>
        </is>
      </c>
      <c r="L371" s="6" t="inlineStr">
        <is>
          <t>Copy Writer</t>
        </is>
      </c>
      <c r="M371" s="25" t="inlineStr">
        <is>
          <t>Open</t>
        </is>
      </c>
      <c r="N371" s="6" t="n">
        <v>4</v>
      </c>
      <c r="O371" s="6" t="inlineStr">
        <is>
          <t>https://africanmarketingconfederation.org/elementor-20341/::aioseo_no_internal_links_found</t>
        </is>
      </c>
      <c r="P371" s="6" t="inlineStr">
        <is>
          <t>Internal links help discovery, topical signals, and authority flow.</t>
        </is>
      </c>
      <c r="Q371">
        <f>IFERROR(HYPERLINK("#Main!A"&amp;MATCH(A371,Main!A:A,0),"Open"),HYPERLINK("#Main!A1","Open"))</f>
        <v/>
      </c>
      <c r="R371">
        <f>IFERROR(HYPERLINK("#Technical!A"&amp;MATCH(A371,Technical!A:A,0),"Open"),HYPERLINK("#Technical!A1","Open"))</f>
        <v/>
      </c>
    </row>
    <row r="372" ht="30" customHeight="1">
      <c r="A372" s="33" t="inlineStr">
        <is>
          <t>https://africanmarketingconfederation.org/elementor-31820/</t>
        </is>
      </c>
      <c r="B372" s="24" t="inlineStr">
        <is>
          <t>Basic SEO</t>
        </is>
      </c>
      <c r="C372" s="29" t="inlineStr">
        <is>
          <t>Info</t>
        </is>
      </c>
      <c r="D372" s="24" t="inlineStr">
        <is>
          <t>Meta description too long</t>
        </is>
      </c>
      <c r="E372" s="24" t="n">
        <v>37</v>
      </c>
      <c r="F372" s="24" t="n">
        <v>368</v>
      </c>
      <c r="G372" s="24" t="inlineStr">
        <is>
          <t>120-160 characters</t>
        </is>
      </c>
      <c r="H372" s="24" t="inlineStr">
        <is>
          <t>Trim meta description in AIOSEO and front-load essential context.</t>
        </is>
      </c>
      <c r="I372" s="28" t="inlineStr">
        <is>
          <t>Main</t>
        </is>
      </c>
      <c r="J372" s="24" t="inlineStr">
        <is>
          <t>Meta Description</t>
        </is>
      </c>
      <c r="K372" s="24" t="inlineStr">
        <is>
          <t>No</t>
        </is>
      </c>
      <c r="L372" s="24" t="inlineStr">
        <is>
          <t>Copy Writer</t>
        </is>
      </c>
      <c r="M372" s="25" t="inlineStr">
        <is>
          <t>Open</t>
        </is>
      </c>
      <c r="N372" s="24" t="n">
        <v>4</v>
      </c>
      <c r="O372" s="24" t="inlineStr">
        <is>
          <t>https://africanmarketingconfederation.org/elementor-31820/::aioseo_meta_description_too_long</t>
        </is>
      </c>
      <c r="P372" s="24" t="inlineStr">
        <is>
          <t>Long descriptions are often truncated and lose message clarity.</t>
        </is>
      </c>
      <c r="Q372">
        <f>IFERROR(HYPERLINK("#Main!A"&amp;MATCH(A372,Main!A:A,0),"Open"),HYPERLINK("#Main!A1","Open"))</f>
        <v/>
      </c>
      <c r="R372">
        <f>IFERROR(HYPERLINK("#Technical!A"&amp;MATCH(A372,Technical!A:A,0),"Open"),HYPERLINK("#Technical!A1","Open"))</f>
        <v/>
      </c>
    </row>
    <row r="373" ht="30" customHeight="1">
      <c r="A373" s="33" t="inlineStr">
        <is>
          <t>https://africanmarketingconfederation.org/elementor-31820/</t>
        </is>
      </c>
      <c r="B373" s="6" t="inlineStr">
        <is>
          <t>Basic SEO</t>
        </is>
      </c>
      <c r="C373" s="29" t="inlineStr">
        <is>
          <t>Info</t>
        </is>
      </c>
      <c r="D373" s="6" t="inlineStr">
        <is>
          <t>No internal links found</t>
        </is>
      </c>
      <c r="E373" s="6" t="n">
        <v>37</v>
      </c>
      <c r="F373" s="6" t="n">
        <v>0</v>
      </c>
      <c r="G373" s="6" t="inlineStr">
        <is>
          <t>&gt;=2 relevant internal links</t>
        </is>
      </c>
      <c r="H373" s="6" t="inlineStr">
        <is>
          <t>Add contextual internal links from and to related pages using descriptive anchor text.</t>
        </is>
      </c>
      <c r="I373" s="31" t="inlineStr">
        <is>
          <t>Links</t>
        </is>
      </c>
      <c r="J373" s="6" t="inlineStr">
        <is>
          <t>Internal Links Count</t>
        </is>
      </c>
      <c r="K373" s="6" t="inlineStr">
        <is>
          <t>No</t>
        </is>
      </c>
      <c r="L373" s="6" t="inlineStr">
        <is>
          <t>Copy Writer</t>
        </is>
      </c>
      <c r="M373" s="25" t="inlineStr">
        <is>
          <t>Open</t>
        </is>
      </c>
      <c r="N373" s="6" t="n">
        <v>4</v>
      </c>
      <c r="O373" s="6" t="inlineStr">
        <is>
          <t>https://africanmarketingconfederation.org/elementor-31820/::aioseo_no_internal_links_found</t>
        </is>
      </c>
      <c r="P373" s="6" t="inlineStr">
        <is>
          <t>Internal links help discovery, topical signals, and authority flow.</t>
        </is>
      </c>
      <c r="Q373">
        <f>IFERROR(HYPERLINK("#Main!A"&amp;MATCH(A373,Main!A:A,0),"Open"),HYPERLINK("#Main!A1","Open"))</f>
        <v/>
      </c>
      <c r="R373">
        <f>IFERROR(HYPERLINK("#Technical!A"&amp;MATCH(A373,Technical!A:A,0),"Open"),HYPERLINK("#Technical!A1","Open"))</f>
        <v/>
      </c>
    </row>
    <row r="374" ht="30" customHeight="1">
      <c r="A374" s="33" t="inlineStr">
        <is>
          <t>https://africanmarketingconfederation.org/general-enquiry-form-thank-you/</t>
        </is>
      </c>
      <c r="B374" s="24" t="inlineStr">
        <is>
          <t>Basic SEO</t>
        </is>
      </c>
      <c r="C374" s="29" t="inlineStr">
        <is>
          <t>Info</t>
        </is>
      </c>
      <c r="D374" s="24" t="inlineStr">
        <is>
          <t>No internal links found</t>
        </is>
      </c>
      <c r="E374" s="24" t="n">
        <v>37</v>
      </c>
      <c r="F374" s="24" t="n">
        <v>0</v>
      </c>
      <c r="G374" s="24" t="inlineStr">
        <is>
          <t>&gt;=2 relevant internal links</t>
        </is>
      </c>
      <c r="H374" s="24" t="inlineStr">
        <is>
          <t>Add contextual internal links from and to related pages using descriptive anchor text.</t>
        </is>
      </c>
      <c r="I374" s="28" t="inlineStr">
        <is>
          <t>Links</t>
        </is>
      </c>
      <c r="J374" s="24" t="inlineStr">
        <is>
          <t>Internal Links Count</t>
        </is>
      </c>
      <c r="K374" s="24" t="inlineStr">
        <is>
          <t>No</t>
        </is>
      </c>
      <c r="L374" s="24" t="inlineStr">
        <is>
          <t>Copy Writer</t>
        </is>
      </c>
      <c r="M374" s="25" t="inlineStr">
        <is>
          <t>Open</t>
        </is>
      </c>
      <c r="N374" s="24" t="n">
        <v>4</v>
      </c>
      <c r="O374" s="24" t="inlineStr">
        <is>
          <t>https://africanmarketingconfederation.org/general-enquiry-form-thank-you/::aioseo_no_internal_links_found</t>
        </is>
      </c>
      <c r="P374" s="24" t="inlineStr">
        <is>
          <t>Internal links help discovery, topical signals, and authority flow.</t>
        </is>
      </c>
      <c r="Q374">
        <f>IFERROR(HYPERLINK("#Main!A"&amp;MATCH(A374,Main!A:A,0),"Open"),HYPERLINK("#Main!A1","Open"))</f>
        <v/>
      </c>
      <c r="R374">
        <f>IFERROR(HYPERLINK("#Technical!A"&amp;MATCH(A374,Technical!A:A,0),"Open"),HYPERLINK("#Technical!A1","Open"))</f>
        <v/>
      </c>
    </row>
    <row r="375" ht="30" customHeight="1">
      <c r="A375" s="33" t="inlineStr">
        <is>
          <t>https://africanmarketingconfederation.org/launch-event-2026-amc-conference/</t>
        </is>
      </c>
      <c r="B375" s="6" t="inlineStr">
        <is>
          <t>Basic SEO</t>
        </is>
      </c>
      <c r="C375" s="29" t="inlineStr">
        <is>
          <t>Info</t>
        </is>
      </c>
      <c r="D375" s="6" t="inlineStr">
        <is>
          <t>Meta description too long</t>
        </is>
      </c>
      <c r="E375" s="6" t="n">
        <v>37</v>
      </c>
      <c r="F375" s="6" t="n">
        <v>306</v>
      </c>
      <c r="G375" s="6" t="inlineStr">
        <is>
          <t>120-160 characters</t>
        </is>
      </c>
      <c r="H375" s="6" t="inlineStr">
        <is>
          <t>Trim meta description in AIOSEO and front-load essential context.</t>
        </is>
      </c>
      <c r="I375" s="31" t="inlineStr">
        <is>
          <t>Main</t>
        </is>
      </c>
      <c r="J375" s="6" t="inlineStr">
        <is>
          <t>Meta Description</t>
        </is>
      </c>
      <c r="K375" s="6" t="inlineStr">
        <is>
          <t>No</t>
        </is>
      </c>
      <c r="L375" s="6" t="inlineStr">
        <is>
          <t>Copy Writer</t>
        </is>
      </c>
      <c r="M375" s="25" t="inlineStr">
        <is>
          <t>Open</t>
        </is>
      </c>
      <c r="N375" s="6" t="n">
        <v>4</v>
      </c>
      <c r="O375" s="6" t="inlineStr">
        <is>
          <t>https://africanmarketingconfederation.org/launch-event-2026-amc-conference/::aioseo_meta_description_too_long</t>
        </is>
      </c>
      <c r="P375" s="6" t="inlineStr">
        <is>
          <t>Long descriptions are often truncated and lose message clarity.</t>
        </is>
      </c>
      <c r="Q375">
        <f>IFERROR(HYPERLINK("#Main!A"&amp;MATCH(A375,Main!A:A,0),"Open"),HYPERLINK("#Main!A1","Open"))</f>
        <v/>
      </c>
      <c r="R375">
        <f>IFERROR(HYPERLINK("#Technical!A"&amp;MATCH(A375,Technical!A:A,0),"Open"),HYPERLINK("#Technical!A1","Open"))</f>
        <v/>
      </c>
    </row>
    <row r="376" ht="30" customHeight="1">
      <c r="A376" s="33" t="inlineStr">
        <is>
          <t>https://africanmarketingconfederation.org/launch-event-2026-amc-conference/</t>
        </is>
      </c>
      <c r="B376" s="24" t="inlineStr">
        <is>
          <t>Basic SEO</t>
        </is>
      </c>
      <c r="C376" s="29" t="inlineStr">
        <is>
          <t>Info</t>
        </is>
      </c>
      <c r="D376" s="24" t="inlineStr">
        <is>
          <t>No internal links found</t>
        </is>
      </c>
      <c r="E376" s="24" t="n">
        <v>37</v>
      </c>
      <c r="F376" s="24" t="n">
        <v>0</v>
      </c>
      <c r="G376" s="24" t="inlineStr">
        <is>
          <t>&gt;=2 relevant internal links</t>
        </is>
      </c>
      <c r="H376" s="24" t="inlineStr">
        <is>
          <t>Add contextual internal links from and to related pages using descriptive anchor text.</t>
        </is>
      </c>
      <c r="I376" s="28" t="inlineStr">
        <is>
          <t>Links</t>
        </is>
      </c>
      <c r="J376" s="24" t="inlineStr">
        <is>
          <t>Internal Links Count</t>
        </is>
      </c>
      <c r="K376" s="24" t="inlineStr">
        <is>
          <t>No</t>
        </is>
      </c>
      <c r="L376" s="24" t="inlineStr">
        <is>
          <t>Copy Writer</t>
        </is>
      </c>
      <c r="M376" s="25" t="inlineStr">
        <is>
          <t>Open</t>
        </is>
      </c>
      <c r="N376" s="24" t="n">
        <v>4</v>
      </c>
      <c r="O376" s="24" t="inlineStr">
        <is>
          <t>https://africanmarketingconfederation.org/launch-event-2026-amc-conference/::aioseo_no_internal_links_found</t>
        </is>
      </c>
      <c r="P376" s="24" t="inlineStr">
        <is>
          <t>Internal links help discovery, topical signals, and authority flow.</t>
        </is>
      </c>
      <c r="Q376">
        <f>IFERROR(HYPERLINK("#Main!A"&amp;MATCH(A376,Main!A:A,0),"Open"),HYPERLINK("#Main!A1","Open"))</f>
        <v/>
      </c>
      <c r="R376">
        <f>IFERROR(HYPERLINK("#Technical!A"&amp;MATCH(A376,Technical!A:A,0),"Open"),HYPERLINK("#Technical!A1","Open"))</f>
        <v/>
      </c>
    </row>
    <row r="377" ht="30" customHeight="1">
      <c r="A377" s="33" t="inlineStr">
        <is>
          <t>https://africanmarketingconfederation.org/members/</t>
        </is>
      </c>
      <c r="B377" s="6" t="inlineStr">
        <is>
          <t>Basic SEO</t>
        </is>
      </c>
      <c r="C377" s="29" t="inlineStr">
        <is>
          <t>Info</t>
        </is>
      </c>
      <c r="D377" s="6" t="inlineStr">
        <is>
          <t>Meta description too long</t>
        </is>
      </c>
      <c r="E377" s="6" t="n">
        <v>37</v>
      </c>
      <c r="F377" s="6" t="n">
        <v>370</v>
      </c>
      <c r="G377" s="6" t="inlineStr">
        <is>
          <t>120-160 characters</t>
        </is>
      </c>
      <c r="H377" s="6" t="inlineStr">
        <is>
          <t>Trim meta description in AIOSEO and front-load essential context.</t>
        </is>
      </c>
      <c r="I377" s="31" t="inlineStr">
        <is>
          <t>Main</t>
        </is>
      </c>
      <c r="J377" s="6" t="inlineStr">
        <is>
          <t>Meta Description</t>
        </is>
      </c>
      <c r="K377" s="6" t="inlineStr">
        <is>
          <t>No</t>
        </is>
      </c>
      <c r="L377" s="6" t="inlineStr">
        <is>
          <t>Copy Writer</t>
        </is>
      </c>
      <c r="M377" s="25" t="inlineStr">
        <is>
          <t>Open</t>
        </is>
      </c>
      <c r="N377" s="6" t="n">
        <v>4</v>
      </c>
      <c r="O377" s="6" t="inlineStr">
        <is>
          <t>https://africanmarketingconfederation.org/members/::aioseo_meta_description_too_long</t>
        </is>
      </c>
      <c r="P377" s="6" t="inlineStr">
        <is>
          <t>Long descriptions are often truncated and lose message clarity.</t>
        </is>
      </c>
      <c r="Q377">
        <f>IFERROR(HYPERLINK("#Main!A"&amp;MATCH(A377,Main!A:A,0),"Open"),HYPERLINK("#Main!A1","Open"))</f>
        <v/>
      </c>
      <c r="R377">
        <f>IFERROR(HYPERLINK("#Technical!A"&amp;MATCH(A377,Technical!A:A,0),"Open"),HYPERLINK("#Technical!A1","Open"))</f>
        <v/>
      </c>
    </row>
    <row r="378" ht="30" customHeight="1">
      <c r="A378" s="33" t="inlineStr">
        <is>
          <t>https://africanmarketingconfederation.org/members/</t>
        </is>
      </c>
      <c r="B378" s="24" t="inlineStr">
        <is>
          <t>Basic SEO</t>
        </is>
      </c>
      <c r="C378" s="29" t="inlineStr">
        <is>
          <t>Info</t>
        </is>
      </c>
      <c r="D378" s="24" t="inlineStr">
        <is>
          <t>No internal links found</t>
        </is>
      </c>
      <c r="E378" s="24" t="n">
        <v>37</v>
      </c>
      <c r="F378" s="24" t="n">
        <v>0</v>
      </c>
      <c r="G378" s="24" t="inlineStr">
        <is>
          <t>&gt;=2 relevant internal links</t>
        </is>
      </c>
      <c r="H378" s="24" t="inlineStr">
        <is>
          <t>Add contextual internal links from and to related pages using descriptive anchor text.</t>
        </is>
      </c>
      <c r="I378" s="28" t="inlineStr">
        <is>
          <t>Links</t>
        </is>
      </c>
      <c r="J378" s="24" t="inlineStr">
        <is>
          <t>Internal Links Count</t>
        </is>
      </c>
      <c r="K378" s="24" t="inlineStr">
        <is>
          <t>No</t>
        </is>
      </c>
      <c r="L378" s="24" t="inlineStr">
        <is>
          <t>Copy Writer</t>
        </is>
      </c>
      <c r="M378" s="25" t="inlineStr">
        <is>
          <t>Open</t>
        </is>
      </c>
      <c r="N378" s="24" t="n">
        <v>4</v>
      </c>
      <c r="O378" s="24" t="inlineStr">
        <is>
          <t>https://africanmarketingconfederation.org/members/::aioseo_no_internal_links_found</t>
        </is>
      </c>
      <c r="P378" s="24" t="inlineStr">
        <is>
          <t>Internal links help discovery, topical signals, and authority flow.</t>
        </is>
      </c>
      <c r="Q378">
        <f>IFERROR(HYPERLINK("#Main!A"&amp;MATCH(A378,Main!A:A,0),"Open"),HYPERLINK("#Main!A1","Open"))</f>
        <v/>
      </c>
      <c r="R378">
        <f>IFERROR(HYPERLINK("#Technical!A"&amp;MATCH(A378,Technical!A:A,0),"Open"),HYPERLINK("#Technical!A1","Open"))</f>
        <v/>
      </c>
    </row>
    <row r="379" ht="30" customHeight="1">
      <c r="A379" s="33" t="inlineStr">
        <is>
          <t>https://africanmarketingconfederation.org/news-articles/</t>
        </is>
      </c>
      <c r="B379" s="6" t="inlineStr">
        <is>
          <t>Basic SEO</t>
        </is>
      </c>
      <c r="C379" s="29" t="inlineStr">
        <is>
          <t>Info</t>
        </is>
      </c>
      <c r="D379" s="6" t="inlineStr">
        <is>
          <t>No internal links found</t>
        </is>
      </c>
      <c r="E379" s="6" t="n">
        <v>37</v>
      </c>
      <c r="F379" s="6" t="n">
        <v>0</v>
      </c>
      <c r="G379" s="6" t="inlineStr">
        <is>
          <t>&gt;=2 relevant internal links</t>
        </is>
      </c>
      <c r="H379" s="6" t="inlineStr">
        <is>
          <t>Add contextual internal links from and to related pages using descriptive anchor text.</t>
        </is>
      </c>
      <c r="I379" s="31" t="inlineStr">
        <is>
          <t>Links</t>
        </is>
      </c>
      <c r="J379" s="6" t="inlineStr">
        <is>
          <t>Internal Links Count</t>
        </is>
      </c>
      <c r="K379" s="6" t="inlineStr">
        <is>
          <t>No</t>
        </is>
      </c>
      <c r="L379" s="6" t="inlineStr">
        <is>
          <t>Copy Writer</t>
        </is>
      </c>
      <c r="M379" s="25" t="inlineStr">
        <is>
          <t>Open</t>
        </is>
      </c>
      <c r="N379" s="6" t="n">
        <v>4</v>
      </c>
      <c r="O379" s="6" t="inlineStr">
        <is>
          <t>https://africanmarketingconfederation.org/news-articles/::aioseo_no_internal_links_found</t>
        </is>
      </c>
      <c r="P379" s="6" t="inlineStr">
        <is>
          <t>Internal links help discovery, topical signals, and authority flow.</t>
        </is>
      </c>
      <c r="Q379">
        <f>IFERROR(HYPERLINK("#Main!A"&amp;MATCH(A379,Main!A:A,0),"Open"),HYPERLINK("#Main!A1","Open"))</f>
        <v/>
      </c>
      <c r="R379">
        <f>IFERROR(HYPERLINK("#Technical!A"&amp;MATCH(A379,Technical!A:A,0),"Open"),HYPERLINK("#Technical!A1","Open"))</f>
        <v/>
      </c>
    </row>
    <row r="380" ht="30" customHeight="1">
      <c r="A380" s="33" t="inlineStr">
        <is>
          <t>https://africanmarketingconfederation.org/privacy-policy/</t>
        </is>
      </c>
      <c r="B380" s="24" t="inlineStr">
        <is>
          <t>Basic SEO</t>
        </is>
      </c>
      <c r="C380" s="29" t="inlineStr">
        <is>
          <t>Info</t>
        </is>
      </c>
      <c r="D380" s="24" t="inlineStr">
        <is>
          <t>Meta description too long</t>
        </is>
      </c>
      <c r="E380" s="24" t="n">
        <v>37</v>
      </c>
      <c r="F380" s="24" t="n">
        <v>379</v>
      </c>
      <c r="G380" s="24" t="inlineStr">
        <is>
          <t>120-160 characters</t>
        </is>
      </c>
      <c r="H380" s="24" t="inlineStr">
        <is>
          <t>Trim meta description in AIOSEO and front-load essential context.</t>
        </is>
      </c>
      <c r="I380" s="28" t="inlineStr">
        <is>
          <t>Main</t>
        </is>
      </c>
      <c r="J380" s="24" t="inlineStr">
        <is>
          <t>Meta Description</t>
        </is>
      </c>
      <c r="K380" s="24" t="inlineStr">
        <is>
          <t>No</t>
        </is>
      </c>
      <c r="L380" s="24" t="inlineStr">
        <is>
          <t>Copy Writer</t>
        </is>
      </c>
      <c r="M380" s="25" t="inlineStr">
        <is>
          <t>Open</t>
        </is>
      </c>
      <c r="N380" s="24" t="n">
        <v>4</v>
      </c>
      <c r="O380" s="24" t="inlineStr">
        <is>
          <t>https://africanmarketingconfederation.org/privacy-policy/::aioseo_meta_description_too_long</t>
        </is>
      </c>
      <c r="P380" s="24" t="inlineStr">
        <is>
          <t>Long descriptions are often truncated and lose message clarity.</t>
        </is>
      </c>
      <c r="Q380">
        <f>IFERROR(HYPERLINK("#Main!A"&amp;MATCH(A380,Main!A:A,0),"Open"),HYPERLINK("#Main!A1","Open"))</f>
        <v/>
      </c>
      <c r="R380">
        <f>IFERROR(HYPERLINK("#Technical!A"&amp;MATCH(A380,Technical!A:A,0),"Open"),HYPERLINK("#Technical!A1","Open"))</f>
        <v/>
      </c>
    </row>
    <row r="381" ht="30" customHeight="1">
      <c r="A381" s="33" t="inlineStr">
        <is>
          <t>https://africanmarketingconfederation.org/privacy-policy/</t>
        </is>
      </c>
      <c r="B381" s="6" t="inlineStr">
        <is>
          <t>Basic SEO</t>
        </is>
      </c>
      <c r="C381" s="29" t="inlineStr">
        <is>
          <t>Info</t>
        </is>
      </c>
      <c r="D381" s="6" t="inlineStr">
        <is>
          <t>No internal links found</t>
        </is>
      </c>
      <c r="E381" s="6" t="n">
        <v>37</v>
      </c>
      <c r="F381" s="6" t="n">
        <v>0</v>
      </c>
      <c r="G381" s="6" t="inlineStr">
        <is>
          <t>&gt;=2 relevant internal links</t>
        </is>
      </c>
      <c r="H381" s="6" t="inlineStr">
        <is>
          <t>Add contextual internal links from and to related pages using descriptive anchor text.</t>
        </is>
      </c>
      <c r="I381" s="31" t="inlineStr">
        <is>
          <t>Links</t>
        </is>
      </c>
      <c r="J381" s="6" t="inlineStr">
        <is>
          <t>Internal Links Count</t>
        </is>
      </c>
      <c r="K381" s="6" t="inlineStr">
        <is>
          <t>No</t>
        </is>
      </c>
      <c r="L381" s="6" t="inlineStr">
        <is>
          <t>Copy Writer</t>
        </is>
      </c>
      <c r="M381" s="25" t="inlineStr">
        <is>
          <t>Open</t>
        </is>
      </c>
      <c r="N381" s="6" t="n">
        <v>4</v>
      </c>
      <c r="O381" s="6" t="inlineStr">
        <is>
          <t>https://africanmarketingconfederation.org/privacy-policy/::aioseo_no_internal_links_found</t>
        </is>
      </c>
      <c r="P381" s="6" t="inlineStr">
        <is>
          <t>Internal links help discovery, topical signals, and authority flow.</t>
        </is>
      </c>
      <c r="Q381">
        <f>IFERROR(HYPERLINK("#Main!A"&amp;MATCH(A381,Main!A:A,0),"Open"),HYPERLINK("#Main!A1","Open"))</f>
        <v/>
      </c>
      <c r="R381">
        <f>IFERROR(HYPERLINK("#Technical!A"&amp;MATCH(A381,Technical!A:A,0),"Open"),HYPERLINK("#Technical!A1","Open"))</f>
        <v/>
      </c>
    </row>
    <row r="382" ht="30" customHeight="1">
      <c r="A382" s="33" t="inlineStr">
        <is>
          <t>https://africanmarketingconfederation.org/publication-download-list/</t>
        </is>
      </c>
      <c r="B382" s="24" t="inlineStr">
        <is>
          <t>Basic SEO</t>
        </is>
      </c>
      <c r="C382" s="29" t="inlineStr">
        <is>
          <t>Info</t>
        </is>
      </c>
      <c r="D382" s="24" t="inlineStr">
        <is>
          <t>Meta description too long</t>
        </is>
      </c>
      <c r="E382" s="24" t="n">
        <v>37</v>
      </c>
      <c r="F382" s="24" t="n">
        <v>263</v>
      </c>
      <c r="G382" s="24" t="inlineStr">
        <is>
          <t>120-160 characters</t>
        </is>
      </c>
      <c r="H382" s="24" t="inlineStr">
        <is>
          <t>Trim meta description in AIOSEO and front-load essential context.</t>
        </is>
      </c>
      <c r="I382" s="28" t="inlineStr">
        <is>
          <t>Main</t>
        </is>
      </c>
      <c r="J382" s="24" t="inlineStr">
        <is>
          <t>Meta Description</t>
        </is>
      </c>
      <c r="K382" s="24" t="inlineStr">
        <is>
          <t>No</t>
        </is>
      </c>
      <c r="L382" s="24" t="inlineStr">
        <is>
          <t>Copy Writer</t>
        </is>
      </c>
      <c r="M382" s="25" t="inlineStr">
        <is>
          <t>Open</t>
        </is>
      </c>
      <c r="N382" s="24" t="n">
        <v>4</v>
      </c>
      <c r="O382" s="24" t="inlineStr">
        <is>
          <t>https://africanmarketingconfederation.org/publication-download-list/::aioseo_meta_description_too_long</t>
        </is>
      </c>
      <c r="P382" s="24" t="inlineStr">
        <is>
          <t>Long descriptions are often truncated and lose message clarity.</t>
        </is>
      </c>
      <c r="Q382">
        <f>IFERROR(HYPERLINK("#Main!A"&amp;MATCH(A382,Main!A:A,0),"Open"),HYPERLINK("#Main!A1","Open"))</f>
        <v/>
      </c>
      <c r="R382">
        <f>IFERROR(HYPERLINK("#Technical!A"&amp;MATCH(A382,Technical!A:A,0),"Open"),HYPERLINK("#Technical!A1","Open"))</f>
        <v/>
      </c>
    </row>
    <row r="383" ht="30" customHeight="1">
      <c r="A383" s="33" t="inlineStr">
        <is>
          <t>https://africanmarketingconfederation.org/publication-download-list/</t>
        </is>
      </c>
      <c r="B383" s="6" t="inlineStr">
        <is>
          <t>Basic SEO</t>
        </is>
      </c>
      <c r="C383" s="29" t="inlineStr">
        <is>
          <t>Info</t>
        </is>
      </c>
      <c r="D383" s="6" t="inlineStr">
        <is>
          <t>No internal links found</t>
        </is>
      </c>
      <c r="E383" s="6" t="n">
        <v>37</v>
      </c>
      <c r="F383" s="6" t="n">
        <v>0</v>
      </c>
      <c r="G383" s="6" t="inlineStr">
        <is>
          <t>&gt;=2 relevant internal links</t>
        </is>
      </c>
      <c r="H383" s="6" t="inlineStr">
        <is>
          <t>Add contextual internal links from and to related pages using descriptive anchor text.</t>
        </is>
      </c>
      <c r="I383" s="31" t="inlineStr">
        <is>
          <t>Links</t>
        </is>
      </c>
      <c r="J383" s="6" t="inlineStr">
        <is>
          <t>Internal Links Count</t>
        </is>
      </c>
      <c r="K383" s="6" t="inlineStr">
        <is>
          <t>No</t>
        </is>
      </c>
      <c r="L383" s="6" t="inlineStr">
        <is>
          <t>Copy Writer</t>
        </is>
      </c>
      <c r="M383" s="25" t="inlineStr">
        <is>
          <t>Open</t>
        </is>
      </c>
      <c r="N383" s="6" t="n">
        <v>4</v>
      </c>
      <c r="O383" s="6" t="inlineStr">
        <is>
          <t>https://africanmarketingconfederation.org/publication-download-list/::aioseo_no_internal_links_found</t>
        </is>
      </c>
      <c r="P383" s="6" t="inlineStr">
        <is>
          <t>Internal links help discovery, topical signals, and authority flow.</t>
        </is>
      </c>
      <c r="Q383">
        <f>IFERROR(HYPERLINK("#Main!A"&amp;MATCH(A383,Main!A:A,0),"Open"),HYPERLINK("#Main!A1","Open"))</f>
        <v/>
      </c>
      <c r="R383">
        <f>IFERROR(HYPERLINK("#Technical!A"&amp;MATCH(A383,Technical!A:A,0),"Open"),HYPERLINK("#Technical!A1","Open"))</f>
        <v/>
      </c>
    </row>
    <row r="384" ht="30" customHeight="1">
      <c r="A384" s="33" t="inlineStr">
        <is>
          <t>https://africanmarketingconfederation.org/publications-2/</t>
        </is>
      </c>
      <c r="B384" s="24" t="inlineStr">
        <is>
          <t>Basic SEO</t>
        </is>
      </c>
      <c r="C384" s="29" t="inlineStr">
        <is>
          <t>Info</t>
        </is>
      </c>
      <c r="D384" s="24" t="inlineStr">
        <is>
          <t>No internal links found</t>
        </is>
      </c>
      <c r="E384" s="24" t="n">
        <v>37</v>
      </c>
      <c r="F384" s="24" t="n">
        <v>0</v>
      </c>
      <c r="G384" s="24" t="inlineStr">
        <is>
          <t>&gt;=2 relevant internal links</t>
        </is>
      </c>
      <c r="H384" s="24" t="inlineStr">
        <is>
          <t>Add contextual internal links from and to related pages using descriptive anchor text.</t>
        </is>
      </c>
      <c r="I384" s="28" t="inlineStr">
        <is>
          <t>Links</t>
        </is>
      </c>
      <c r="J384" s="24" t="inlineStr">
        <is>
          <t>Internal Links Count</t>
        </is>
      </c>
      <c r="K384" s="24" t="inlineStr">
        <is>
          <t>No</t>
        </is>
      </c>
      <c r="L384" s="24" t="inlineStr">
        <is>
          <t>Copy Writer</t>
        </is>
      </c>
      <c r="M384" s="25" t="inlineStr">
        <is>
          <t>Open</t>
        </is>
      </c>
      <c r="N384" s="24" t="n">
        <v>4</v>
      </c>
      <c r="O384" s="24" t="inlineStr">
        <is>
          <t>https://africanmarketingconfederation.org/publications-2/::aioseo_no_internal_links_found</t>
        </is>
      </c>
      <c r="P384" s="24" t="inlineStr">
        <is>
          <t>Internal links help discovery, topical signals, and authority flow.</t>
        </is>
      </c>
      <c r="Q384">
        <f>IFERROR(HYPERLINK("#Main!A"&amp;MATCH(A384,Main!A:A,0),"Open"),HYPERLINK("#Main!A1","Open"))</f>
        <v/>
      </c>
      <c r="R384">
        <f>IFERROR(HYPERLINK("#Technical!A"&amp;MATCH(A384,Technical!A:A,0),"Open"),HYPERLINK("#Technical!A1","Open"))</f>
        <v/>
      </c>
    </row>
    <row r="385" ht="30" customHeight="1">
      <c r="A385" s="33" t="inlineStr">
        <is>
          <t>https://africanmarketingconfederation.org/speakers-2025/</t>
        </is>
      </c>
      <c r="B385" s="6" t="inlineStr">
        <is>
          <t>Basic SEO</t>
        </is>
      </c>
      <c r="C385" s="29" t="inlineStr">
        <is>
          <t>Info</t>
        </is>
      </c>
      <c r="D385" s="6" t="inlineStr">
        <is>
          <t>No internal links found</t>
        </is>
      </c>
      <c r="E385" s="6" t="n">
        <v>37</v>
      </c>
      <c r="F385" s="6" t="n">
        <v>0</v>
      </c>
      <c r="G385" s="6" t="inlineStr">
        <is>
          <t>&gt;=2 relevant internal links</t>
        </is>
      </c>
      <c r="H385" s="6" t="inlineStr">
        <is>
          <t>Add contextual internal links from and to related pages using descriptive anchor text.</t>
        </is>
      </c>
      <c r="I385" s="31" t="inlineStr">
        <is>
          <t>Links</t>
        </is>
      </c>
      <c r="J385" s="6" t="inlineStr">
        <is>
          <t>Internal Links Count</t>
        </is>
      </c>
      <c r="K385" s="6" t="inlineStr">
        <is>
          <t>No</t>
        </is>
      </c>
      <c r="L385" s="6" t="inlineStr">
        <is>
          <t>Copy Writer</t>
        </is>
      </c>
      <c r="M385" s="25" t="inlineStr">
        <is>
          <t>Open</t>
        </is>
      </c>
      <c r="N385" s="6" t="n">
        <v>4</v>
      </c>
      <c r="O385" s="6" t="inlineStr">
        <is>
          <t>https://africanmarketingconfederation.org/speakers-2025/::aioseo_no_internal_links_found</t>
        </is>
      </c>
      <c r="P385" s="6" t="inlineStr">
        <is>
          <t>Internal links help discovery, topical signals, and authority flow.</t>
        </is>
      </c>
      <c r="Q385">
        <f>IFERROR(HYPERLINK("#Main!A"&amp;MATCH(A385,Main!A:A,0),"Open"),HYPERLINK("#Main!A1","Open"))</f>
        <v/>
      </c>
      <c r="R385">
        <f>IFERROR(HYPERLINK("#Technical!A"&amp;MATCH(A385,Technical!A:A,0),"Open"),HYPERLINK("#Technical!A1","Open"))</f>
        <v/>
      </c>
    </row>
    <row r="386" ht="30" customHeight="1">
      <c r="A386" s="33" t="inlineStr">
        <is>
          <t>https://africanmarketingconfederation.org/speakers/</t>
        </is>
      </c>
      <c r="B386" s="24" t="inlineStr">
        <is>
          <t>Basic SEO</t>
        </is>
      </c>
      <c r="C386" s="29" t="inlineStr">
        <is>
          <t>Info</t>
        </is>
      </c>
      <c r="D386" s="24" t="inlineStr">
        <is>
          <t>Meta description too long</t>
        </is>
      </c>
      <c r="E386" s="24" t="n">
        <v>37</v>
      </c>
      <c r="F386" s="24" t="n">
        <v>417</v>
      </c>
      <c r="G386" s="24" t="inlineStr">
        <is>
          <t>120-160 characters</t>
        </is>
      </c>
      <c r="H386" s="24" t="inlineStr">
        <is>
          <t>Trim meta description in AIOSEO and front-load essential context.</t>
        </is>
      </c>
      <c r="I386" s="28" t="inlineStr">
        <is>
          <t>Main</t>
        </is>
      </c>
      <c r="J386" s="24" t="inlineStr">
        <is>
          <t>Meta Description</t>
        </is>
      </c>
      <c r="K386" s="24" t="inlineStr">
        <is>
          <t>No</t>
        </is>
      </c>
      <c r="L386" s="24" t="inlineStr">
        <is>
          <t>Copy Writer</t>
        </is>
      </c>
      <c r="M386" s="25" t="inlineStr">
        <is>
          <t>Open</t>
        </is>
      </c>
      <c r="N386" s="24" t="n">
        <v>4</v>
      </c>
      <c r="O386" s="24" t="inlineStr">
        <is>
          <t>https://africanmarketingconfederation.org/speakers/::aioseo_meta_description_too_long</t>
        </is>
      </c>
      <c r="P386" s="24" t="inlineStr">
        <is>
          <t>Long descriptions are often truncated and lose message clarity.</t>
        </is>
      </c>
      <c r="Q386">
        <f>IFERROR(HYPERLINK("#Main!A"&amp;MATCH(A386,Main!A:A,0),"Open"),HYPERLINK("#Main!A1","Open"))</f>
        <v/>
      </c>
      <c r="R386">
        <f>IFERROR(HYPERLINK("#Technical!A"&amp;MATCH(A386,Technical!A:A,0),"Open"),HYPERLINK("#Technical!A1","Open"))</f>
        <v/>
      </c>
    </row>
    <row r="387" ht="30" customHeight="1">
      <c r="A387" s="33" t="inlineStr">
        <is>
          <t>https://africanmarketingconfederation.org/speakers/</t>
        </is>
      </c>
      <c r="B387" s="6" t="inlineStr">
        <is>
          <t>Basic SEO</t>
        </is>
      </c>
      <c r="C387" s="29" t="inlineStr">
        <is>
          <t>Info</t>
        </is>
      </c>
      <c r="D387" s="6" t="inlineStr">
        <is>
          <t>No internal links found</t>
        </is>
      </c>
      <c r="E387" s="6" t="n">
        <v>37</v>
      </c>
      <c r="F387" s="6" t="n">
        <v>0</v>
      </c>
      <c r="G387" s="6" t="inlineStr">
        <is>
          <t>&gt;=2 relevant internal links</t>
        </is>
      </c>
      <c r="H387" s="6" t="inlineStr">
        <is>
          <t>Add contextual internal links from and to related pages using descriptive anchor text.</t>
        </is>
      </c>
      <c r="I387" s="31" t="inlineStr">
        <is>
          <t>Links</t>
        </is>
      </c>
      <c r="J387" s="6" t="inlineStr">
        <is>
          <t>Internal Links Count</t>
        </is>
      </c>
      <c r="K387" s="6" t="inlineStr">
        <is>
          <t>No</t>
        </is>
      </c>
      <c r="L387" s="6" t="inlineStr">
        <is>
          <t>Copy Writer</t>
        </is>
      </c>
      <c r="M387" s="25" t="inlineStr">
        <is>
          <t>Open</t>
        </is>
      </c>
      <c r="N387" s="6" t="n">
        <v>4</v>
      </c>
      <c r="O387" s="6" t="inlineStr">
        <is>
          <t>https://africanmarketingconfederation.org/speakers/::aioseo_no_internal_links_found</t>
        </is>
      </c>
      <c r="P387" s="6" t="inlineStr">
        <is>
          <t>Internal links help discovery, topical signals, and authority flow.</t>
        </is>
      </c>
      <c r="Q387">
        <f>IFERROR(HYPERLINK("#Main!A"&amp;MATCH(A387,Main!A:A,0),"Open"),HYPERLINK("#Main!A1","Open"))</f>
        <v/>
      </c>
      <c r="R387">
        <f>IFERROR(HYPERLINK("#Technical!A"&amp;MATCH(A387,Technical!A:A,0),"Open"),HYPERLINK("#Technical!A1","Open"))</f>
        <v/>
      </c>
    </row>
    <row r="388" ht="30" customHeight="1">
      <c r="A388" s="33" t="inlineStr">
        <is>
          <t>https://africanmarketingconfederation.org/sub-committees/</t>
        </is>
      </c>
      <c r="B388" s="24" t="inlineStr">
        <is>
          <t>Basic SEO</t>
        </is>
      </c>
      <c r="C388" s="29" t="inlineStr">
        <is>
          <t>Info</t>
        </is>
      </c>
      <c r="D388" s="24" t="inlineStr">
        <is>
          <t>Meta description too long</t>
        </is>
      </c>
      <c r="E388" s="24" t="n">
        <v>37</v>
      </c>
      <c r="F388" s="24" t="n">
        <v>392</v>
      </c>
      <c r="G388" s="24" t="inlineStr">
        <is>
          <t>120-160 characters</t>
        </is>
      </c>
      <c r="H388" s="24" t="inlineStr">
        <is>
          <t>Trim meta description in AIOSEO and front-load essential context.</t>
        </is>
      </c>
      <c r="I388" s="28" t="inlineStr">
        <is>
          <t>Main</t>
        </is>
      </c>
      <c r="J388" s="24" t="inlineStr">
        <is>
          <t>Meta Description</t>
        </is>
      </c>
      <c r="K388" s="24" t="inlineStr">
        <is>
          <t>No</t>
        </is>
      </c>
      <c r="L388" s="24" t="inlineStr">
        <is>
          <t>Copy Writer</t>
        </is>
      </c>
      <c r="M388" s="25" t="inlineStr">
        <is>
          <t>Open</t>
        </is>
      </c>
      <c r="N388" s="24" t="n">
        <v>4</v>
      </c>
      <c r="O388" s="24" t="inlineStr">
        <is>
          <t>https://africanmarketingconfederation.org/sub-committees/::aioseo_meta_description_too_long</t>
        </is>
      </c>
      <c r="P388" s="24" t="inlineStr">
        <is>
          <t>Long descriptions are often truncated and lose message clarity.</t>
        </is>
      </c>
      <c r="Q388">
        <f>IFERROR(HYPERLINK("#Main!A"&amp;MATCH(A388,Main!A:A,0),"Open"),HYPERLINK("#Main!A1","Open"))</f>
        <v/>
      </c>
      <c r="R388">
        <f>IFERROR(HYPERLINK("#Technical!A"&amp;MATCH(A388,Technical!A:A,0),"Open"),HYPERLINK("#Technical!A1","Open"))</f>
        <v/>
      </c>
    </row>
    <row r="389" ht="30" customHeight="1">
      <c r="A389" s="33" t="inlineStr">
        <is>
          <t>https://africanmarketingconfederation.org/sub-committees/</t>
        </is>
      </c>
      <c r="B389" s="6" t="inlineStr">
        <is>
          <t>Basic SEO</t>
        </is>
      </c>
      <c r="C389" s="29" t="inlineStr">
        <is>
          <t>Info</t>
        </is>
      </c>
      <c r="D389" s="6" t="inlineStr">
        <is>
          <t>No internal links found</t>
        </is>
      </c>
      <c r="E389" s="6" t="n">
        <v>37</v>
      </c>
      <c r="F389" s="6" t="n">
        <v>0</v>
      </c>
      <c r="G389" s="6" t="inlineStr">
        <is>
          <t>&gt;=2 relevant internal links</t>
        </is>
      </c>
      <c r="H389" s="6" t="inlineStr">
        <is>
          <t>Add contextual internal links from and to related pages using descriptive anchor text.</t>
        </is>
      </c>
      <c r="I389" s="31" t="inlineStr">
        <is>
          <t>Links</t>
        </is>
      </c>
      <c r="J389" s="6" t="inlineStr">
        <is>
          <t>Internal Links Count</t>
        </is>
      </c>
      <c r="K389" s="6" t="inlineStr">
        <is>
          <t>No</t>
        </is>
      </c>
      <c r="L389" s="6" t="inlineStr">
        <is>
          <t>Copy Writer</t>
        </is>
      </c>
      <c r="M389" s="25" t="inlineStr">
        <is>
          <t>Open</t>
        </is>
      </c>
      <c r="N389" s="6" t="n">
        <v>4</v>
      </c>
      <c r="O389" s="6" t="inlineStr">
        <is>
          <t>https://africanmarketingconfederation.org/sub-committees/::aioseo_no_internal_links_found</t>
        </is>
      </c>
      <c r="P389" s="6" t="inlineStr">
        <is>
          <t>Internal links help discovery, topical signals, and authority flow.</t>
        </is>
      </c>
      <c r="Q389">
        <f>IFERROR(HYPERLINK("#Main!A"&amp;MATCH(A389,Main!A:A,0),"Open"),HYPERLINK("#Main!A1","Open"))</f>
        <v/>
      </c>
      <c r="R389">
        <f>IFERROR(HYPERLINK("#Technical!A"&amp;MATCH(A389,Technical!A:A,0),"Open"),HYPERLINK("#Technical!A1","Open"))</f>
        <v/>
      </c>
    </row>
    <row r="390" ht="30" customHeight="1">
      <c r="A390" s="33" t="inlineStr">
        <is>
          <t>https://africanmarketingconfederation.org/subscribe/</t>
        </is>
      </c>
      <c r="B390" s="24" t="inlineStr">
        <is>
          <t>Basic SEO</t>
        </is>
      </c>
      <c r="C390" s="29" t="inlineStr">
        <is>
          <t>Info</t>
        </is>
      </c>
      <c r="D390" s="24" t="inlineStr">
        <is>
          <t>Meta description too long</t>
        </is>
      </c>
      <c r="E390" s="24" t="n">
        <v>37</v>
      </c>
      <c r="F390" s="24" t="n">
        <v>1176</v>
      </c>
      <c r="G390" s="24" t="inlineStr">
        <is>
          <t>120-160 characters</t>
        </is>
      </c>
      <c r="H390" s="24" t="inlineStr">
        <is>
          <t>Trim meta description in AIOSEO and front-load essential context.</t>
        </is>
      </c>
      <c r="I390" s="28" t="inlineStr">
        <is>
          <t>Main</t>
        </is>
      </c>
      <c r="J390" s="24" t="inlineStr">
        <is>
          <t>Meta Description</t>
        </is>
      </c>
      <c r="K390" s="24" t="inlineStr">
        <is>
          <t>No</t>
        </is>
      </c>
      <c r="L390" s="24" t="inlineStr">
        <is>
          <t>Copy Writer</t>
        </is>
      </c>
      <c r="M390" s="25" t="inlineStr">
        <is>
          <t>Open</t>
        </is>
      </c>
      <c r="N390" s="24" t="n">
        <v>4</v>
      </c>
      <c r="O390" s="24" t="inlineStr">
        <is>
          <t>https://africanmarketingconfederation.org/subscribe/::aioseo_meta_description_too_long</t>
        </is>
      </c>
      <c r="P390" s="24" t="inlineStr">
        <is>
          <t>Long descriptions are often truncated and lose message clarity.</t>
        </is>
      </c>
      <c r="Q390">
        <f>IFERROR(HYPERLINK("#Main!A"&amp;MATCH(A390,Main!A:A,0),"Open"),HYPERLINK("#Main!A1","Open"))</f>
        <v/>
      </c>
      <c r="R390">
        <f>IFERROR(HYPERLINK("#Technical!A"&amp;MATCH(A390,Technical!A:A,0),"Open"),HYPERLINK("#Technical!A1","Open"))</f>
        <v/>
      </c>
    </row>
    <row r="391" ht="30" customHeight="1">
      <c r="A391" s="33" t="inlineStr">
        <is>
          <t>https://africanmarketingconfederation.org/subscribe/</t>
        </is>
      </c>
      <c r="B391" s="6" t="inlineStr">
        <is>
          <t>Basic SEO</t>
        </is>
      </c>
      <c r="C391" s="29" t="inlineStr">
        <is>
          <t>Info</t>
        </is>
      </c>
      <c r="D391" s="6" t="inlineStr">
        <is>
          <t>No internal links found</t>
        </is>
      </c>
      <c r="E391" s="6" t="n">
        <v>37</v>
      </c>
      <c r="F391" s="6" t="n">
        <v>0</v>
      </c>
      <c r="G391" s="6" t="inlineStr">
        <is>
          <t>&gt;=2 relevant internal links</t>
        </is>
      </c>
      <c r="H391" s="6" t="inlineStr">
        <is>
          <t>Add contextual internal links from and to related pages using descriptive anchor text.</t>
        </is>
      </c>
      <c r="I391" s="31" t="inlineStr">
        <is>
          <t>Links</t>
        </is>
      </c>
      <c r="J391" s="6" t="inlineStr">
        <is>
          <t>Internal Links Count</t>
        </is>
      </c>
      <c r="K391" s="6" t="inlineStr">
        <is>
          <t>No</t>
        </is>
      </c>
      <c r="L391" s="6" t="inlineStr">
        <is>
          <t>Copy Writer</t>
        </is>
      </c>
      <c r="M391" s="25" t="inlineStr">
        <is>
          <t>Open</t>
        </is>
      </c>
      <c r="N391" s="6" t="n">
        <v>4</v>
      </c>
      <c r="O391" s="6" t="inlineStr">
        <is>
          <t>https://africanmarketingconfederation.org/subscribe/::aioseo_no_internal_links_found</t>
        </is>
      </c>
      <c r="P391" s="6" t="inlineStr">
        <is>
          <t>Internal links help discovery, topical signals, and authority flow.</t>
        </is>
      </c>
      <c r="Q391">
        <f>IFERROR(HYPERLINK("#Main!A"&amp;MATCH(A391,Main!A:A,0),"Open"),HYPERLINK("#Main!A1","Open"))</f>
        <v/>
      </c>
      <c r="R391">
        <f>IFERROR(HYPERLINK("#Technical!A"&amp;MATCH(A391,Technical!A:A,0),"Open"),HYPERLINK("#Technical!A1","Open"))</f>
        <v/>
      </c>
    </row>
    <row r="392" ht="30" customHeight="1">
      <c r="A392" s="33" t="inlineStr">
        <is>
          <t>https://africanmarketingconfederation.org/test-homeslider/</t>
        </is>
      </c>
      <c r="B392" s="24" t="inlineStr">
        <is>
          <t>Basic SEO</t>
        </is>
      </c>
      <c r="C392" s="29" t="inlineStr">
        <is>
          <t>Info</t>
        </is>
      </c>
      <c r="D392" s="24" t="inlineStr">
        <is>
          <t>Meta description too long</t>
        </is>
      </c>
      <c r="E392" s="24" t="n">
        <v>37</v>
      </c>
      <c r="F392" s="24" t="n">
        <v>371</v>
      </c>
      <c r="G392" s="24" t="inlineStr">
        <is>
          <t>120-160 characters</t>
        </is>
      </c>
      <c r="H392" s="24" t="inlineStr">
        <is>
          <t>Trim meta description in AIOSEO and front-load essential context.</t>
        </is>
      </c>
      <c r="I392" s="28" t="inlineStr">
        <is>
          <t>Main</t>
        </is>
      </c>
      <c r="J392" s="24" t="inlineStr">
        <is>
          <t>Meta Description</t>
        </is>
      </c>
      <c r="K392" s="24" t="inlineStr">
        <is>
          <t>No</t>
        </is>
      </c>
      <c r="L392" s="24" t="inlineStr">
        <is>
          <t>Copy Writer</t>
        </is>
      </c>
      <c r="M392" s="25" t="inlineStr">
        <is>
          <t>Open</t>
        </is>
      </c>
      <c r="N392" s="24" t="n">
        <v>4</v>
      </c>
      <c r="O392" s="24" t="inlineStr">
        <is>
          <t>https://africanmarketingconfederation.org/test-homeslider/::aioseo_meta_description_too_long</t>
        </is>
      </c>
      <c r="P392" s="24" t="inlineStr">
        <is>
          <t>Long descriptions are often truncated and lose message clarity.</t>
        </is>
      </c>
      <c r="Q392">
        <f>IFERROR(HYPERLINK("#Main!A"&amp;MATCH(A392,Main!A:A,0),"Open"),HYPERLINK("#Main!A1","Open"))</f>
        <v/>
      </c>
      <c r="R392">
        <f>IFERROR(HYPERLINK("#Technical!A"&amp;MATCH(A392,Technical!A:A,0),"Open"),HYPERLINK("#Technical!A1","Open"))</f>
        <v/>
      </c>
    </row>
    <row r="393" ht="30" customHeight="1">
      <c r="A393" s="33" t="inlineStr">
        <is>
          <t>https://africanmarketingconfederation.org/test-homeslider/</t>
        </is>
      </c>
      <c r="B393" s="6" t="inlineStr">
        <is>
          <t>Basic SEO</t>
        </is>
      </c>
      <c r="C393" s="29" t="inlineStr">
        <is>
          <t>Info</t>
        </is>
      </c>
      <c r="D393" s="6" t="inlineStr">
        <is>
          <t>No internal links found</t>
        </is>
      </c>
      <c r="E393" s="6" t="n">
        <v>37</v>
      </c>
      <c r="F393" s="6" t="n">
        <v>0</v>
      </c>
      <c r="G393" s="6" t="inlineStr">
        <is>
          <t>&gt;=2 relevant internal links</t>
        </is>
      </c>
      <c r="H393" s="6" t="inlineStr">
        <is>
          <t>Add contextual internal links from and to related pages using descriptive anchor text.</t>
        </is>
      </c>
      <c r="I393" s="31" t="inlineStr">
        <is>
          <t>Links</t>
        </is>
      </c>
      <c r="J393" s="6" t="inlineStr">
        <is>
          <t>Internal Links Count</t>
        </is>
      </c>
      <c r="K393" s="6" t="inlineStr">
        <is>
          <t>No</t>
        </is>
      </c>
      <c r="L393" s="6" t="inlineStr">
        <is>
          <t>Copy Writer</t>
        </is>
      </c>
      <c r="M393" s="25" t="inlineStr">
        <is>
          <t>Open</t>
        </is>
      </c>
      <c r="N393" s="6" t="n">
        <v>4</v>
      </c>
      <c r="O393" s="6" t="inlineStr">
        <is>
          <t>https://africanmarketingconfederation.org/test-homeslider/::aioseo_no_internal_links_found</t>
        </is>
      </c>
      <c r="P393" s="6" t="inlineStr">
        <is>
          <t>Internal links help discovery, topical signals, and authority flow.</t>
        </is>
      </c>
      <c r="Q393">
        <f>IFERROR(HYPERLINK("#Main!A"&amp;MATCH(A393,Main!A:A,0),"Open"),HYPERLINK("#Main!A1","Open"))</f>
        <v/>
      </c>
      <c r="R393">
        <f>IFERROR(HYPERLINK("#Technical!A"&amp;MATCH(A393,Technical!A:A,0),"Open"),HYPERLINK("#Technical!A1","Open"))</f>
        <v/>
      </c>
    </row>
    <row r="394" ht="30" customHeight="1">
      <c r="A394" s="33" t="inlineStr">
        <is>
          <t>https://africanmarketingconfederation.org/test-payment-gate/</t>
        </is>
      </c>
      <c r="B394" s="24" t="inlineStr">
        <is>
          <t>Basic SEO</t>
        </is>
      </c>
      <c r="C394" s="29" t="inlineStr">
        <is>
          <t>Info</t>
        </is>
      </c>
      <c r="D394" s="24" t="inlineStr">
        <is>
          <t>Meta description too long</t>
        </is>
      </c>
      <c r="E394" s="24" t="n">
        <v>37</v>
      </c>
      <c r="F394" s="24" t="n">
        <v>306</v>
      </c>
      <c r="G394" s="24" t="inlineStr">
        <is>
          <t>120-160 characters</t>
        </is>
      </c>
      <c r="H394" s="24" t="inlineStr">
        <is>
          <t>Trim meta description in AIOSEO and front-load essential context.</t>
        </is>
      </c>
      <c r="I394" s="28" t="inlineStr">
        <is>
          <t>Main</t>
        </is>
      </c>
      <c r="J394" s="24" t="inlineStr">
        <is>
          <t>Meta Description</t>
        </is>
      </c>
      <c r="K394" s="24" t="inlineStr">
        <is>
          <t>No</t>
        </is>
      </c>
      <c r="L394" s="24" t="inlineStr">
        <is>
          <t>Copy Writer</t>
        </is>
      </c>
      <c r="M394" s="25" t="inlineStr">
        <is>
          <t>Open</t>
        </is>
      </c>
      <c r="N394" s="24" t="n">
        <v>4</v>
      </c>
      <c r="O394" s="24" t="inlineStr">
        <is>
          <t>https://africanmarketingconfederation.org/test-payment-gate/::aioseo_meta_description_too_long</t>
        </is>
      </c>
      <c r="P394" s="24" t="inlineStr">
        <is>
          <t>Long descriptions are often truncated and lose message clarity.</t>
        </is>
      </c>
      <c r="Q394">
        <f>IFERROR(HYPERLINK("#Main!A"&amp;MATCH(A394,Main!A:A,0),"Open"),HYPERLINK("#Main!A1","Open"))</f>
        <v/>
      </c>
      <c r="R394">
        <f>IFERROR(HYPERLINK("#Technical!A"&amp;MATCH(A394,Technical!A:A,0),"Open"),HYPERLINK("#Technical!A1","Open"))</f>
        <v/>
      </c>
    </row>
    <row r="395" ht="30" customHeight="1">
      <c r="A395" s="33" t="inlineStr">
        <is>
          <t>https://africanmarketingconfederation.org/test-payment-gate/</t>
        </is>
      </c>
      <c r="B395" s="6" t="inlineStr">
        <is>
          <t>Basic SEO</t>
        </is>
      </c>
      <c r="C395" s="29" t="inlineStr">
        <is>
          <t>Info</t>
        </is>
      </c>
      <c r="D395" s="6" t="inlineStr">
        <is>
          <t>No internal links found</t>
        </is>
      </c>
      <c r="E395" s="6" t="n">
        <v>37</v>
      </c>
      <c r="F395" s="6" t="n">
        <v>0</v>
      </c>
      <c r="G395" s="6" t="inlineStr">
        <is>
          <t>&gt;=2 relevant internal links</t>
        </is>
      </c>
      <c r="H395" s="6" t="inlineStr">
        <is>
          <t>Add contextual internal links from and to related pages using descriptive anchor text.</t>
        </is>
      </c>
      <c r="I395" s="31" t="inlineStr">
        <is>
          <t>Links</t>
        </is>
      </c>
      <c r="J395" s="6" t="inlineStr">
        <is>
          <t>Internal Links Count</t>
        </is>
      </c>
      <c r="K395" s="6" t="inlineStr">
        <is>
          <t>No</t>
        </is>
      </c>
      <c r="L395" s="6" t="inlineStr">
        <is>
          <t>Copy Writer</t>
        </is>
      </c>
      <c r="M395" s="25" t="inlineStr">
        <is>
          <t>Open</t>
        </is>
      </c>
      <c r="N395" s="6" t="n">
        <v>4</v>
      </c>
      <c r="O395" s="6" t="inlineStr">
        <is>
          <t>https://africanmarketingconfederation.org/test-payment-gate/::aioseo_no_internal_links_found</t>
        </is>
      </c>
      <c r="P395" s="6" t="inlineStr">
        <is>
          <t>Internal links help discovery, topical signals, and authority flow.</t>
        </is>
      </c>
      <c r="Q395">
        <f>IFERROR(HYPERLINK("#Main!A"&amp;MATCH(A395,Main!A:A,0),"Open"),HYPERLINK("#Main!A1","Open"))</f>
        <v/>
      </c>
      <c r="R395">
        <f>IFERROR(HYPERLINK("#Technical!A"&amp;MATCH(A395,Technical!A:A,0),"Open"),HYPERLINK("#Technical!A1","Open"))</f>
        <v/>
      </c>
    </row>
    <row r="396" ht="30" customHeight="1">
      <c r="A396" s="33" t="inlineStr">
        <is>
          <t>https://africanmarketingconfederation.org/thank-you-for-registering-2024-registrations-kenya/</t>
        </is>
      </c>
      <c r="B396" s="24" t="inlineStr">
        <is>
          <t>Basic SEO</t>
        </is>
      </c>
      <c r="C396" s="29" t="inlineStr">
        <is>
          <t>Info</t>
        </is>
      </c>
      <c r="D396" s="24" t="inlineStr">
        <is>
          <t>Meta description too short</t>
        </is>
      </c>
      <c r="E396" s="24" t="n">
        <v>37</v>
      </c>
      <c r="F396" s="24" t="n">
        <v>106</v>
      </c>
      <c r="G396" s="24" t="inlineStr">
        <is>
          <t>120-160 characters</t>
        </is>
      </c>
      <c r="H396" s="24" t="inlineStr">
        <is>
          <t>Expand meta description in AIOSEO to include key value points and intent terms naturally.</t>
        </is>
      </c>
      <c r="I396" s="28" t="inlineStr">
        <is>
          <t>Main</t>
        </is>
      </c>
      <c r="J396" s="24" t="inlineStr">
        <is>
          <t>Meta Description</t>
        </is>
      </c>
      <c r="K396" s="24" t="inlineStr">
        <is>
          <t>No</t>
        </is>
      </c>
      <c r="L396" s="24" t="inlineStr">
        <is>
          <t>Copy Writer</t>
        </is>
      </c>
      <c r="M396" s="25" t="inlineStr">
        <is>
          <t>Open</t>
        </is>
      </c>
      <c r="N396" s="24" t="n">
        <v>4</v>
      </c>
      <c r="O396" s="24" t="inlineStr">
        <is>
          <t>https://africanmarketingconfederation.org/thank-you-for-registering-2024-registrations-kenya/::aioseo_meta_description_too_short</t>
        </is>
      </c>
      <c r="P396" s="24" t="inlineStr">
        <is>
          <t>Short descriptions can under-communicate relevance and value.</t>
        </is>
      </c>
      <c r="Q396">
        <f>IFERROR(HYPERLINK("#Main!A"&amp;MATCH(A396,Main!A:A,0),"Open"),HYPERLINK("#Main!A1","Open"))</f>
        <v/>
      </c>
      <c r="R396">
        <f>IFERROR(HYPERLINK("#Technical!A"&amp;MATCH(A396,Technical!A:A,0),"Open"),HYPERLINK("#Technical!A1","Open"))</f>
        <v/>
      </c>
    </row>
    <row r="397" ht="30" customHeight="1">
      <c r="A397" s="33" t="inlineStr">
        <is>
          <t>https://africanmarketingconfederation.org/thank-you-for-registering-2024-registrations-kenya/</t>
        </is>
      </c>
      <c r="B397" s="6" t="inlineStr">
        <is>
          <t>Basic SEO</t>
        </is>
      </c>
      <c r="C397" s="29" t="inlineStr">
        <is>
          <t>Info</t>
        </is>
      </c>
      <c r="D397" s="6" t="inlineStr">
        <is>
          <t>No internal links found</t>
        </is>
      </c>
      <c r="E397" s="6" t="n">
        <v>37</v>
      </c>
      <c r="F397" s="6" t="n">
        <v>0</v>
      </c>
      <c r="G397" s="6" t="inlineStr">
        <is>
          <t>&gt;=2 relevant internal links</t>
        </is>
      </c>
      <c r="H397" s="6" t="inlineStr">
        <is>
          <t>Add contextual internal links from and to related pages using descriptive anchor text.</t>
        </is>
      </c>
      <c r="I397" s="31" t="inlineStr">
        <is>
          <t>Links</t>
        </is>
      </c>
      <c r="J397" s="6" t="inlineStr">
        <is>
          <t>Internal Links Count</t>
        </is>
      </c>
      <c r="K397" s="6" t="inlineStr">
        <is>
          <t>No</t>
        </is>
      </c>
      <c r="L397" s="6" t="inlineStr">
        <is>
          <t>Copy Writer</t>
        </is>
      </c>
      <c r="M397" s="25" t="inlineStr">
        <is>
          <t>Open</t>
        </is>
      </c>
      <c r="N397" s="6" t="n">
        <v>4</v>
      </c>
      <c r="O397" s="6" t="inlineStr">
        <is>
          <t>https://africanmarketingconfederation.org/thank-you-for-registering-2024-registrations-kenya/::aioseo_no_internal_links_found</t>
        </is>
      </c>
      <c r="P397" s="6" t="inlineStr">
        <is>
          <t>Internal links help discovery, topical signals, and authority flow.</t>
        </is>
      </c>
      <c r="Q397">
        <f>IFERROR(HYPERLINK("#Main!A"&amp;MATCH(A397,Main!A:A,0),"Open"),HYPERLINK("#Main!A1","Open"))</f>
        <v/>
      </c>
      <c r="R397">
        <f>IFERROR(HYPERLINK("#Technical!A"&amp;MATCH(A397,Technical!A:A,0),"Open"),HYPERLINK("#Technical!A1","Open"))</f>
        <v/>
      </c>
    </row>
    <row r="398" ht="30" customHeight="1">
      <c r="A398" s="33" t="inlineStr">
        <is>
          <t>https://africanmarketingconfederation.org/thank-you-for-registering-2024-registrations/</t>
        </is>
      </c>
      <c r="B398" s="24" t="inlineStr">
        <is>
          <t>Basic SEO</t>
        </is>
      </c>
      <c r="C398" s="29" t="inlineStr">
        <is>
          <t>Info</t>
        </is>
      </c>
      <c r="D398" s="24" t="inlineStr">
        <is>
          <t>Meta description too long</t>
        </is>
      </c>
      <c r="E398" s="24" t="n">
        <v>37</v>
      </c>
      <c r="F398" s="24" t="n">
        <v>192</v>
      </c>
      <c r="G398" s="24" t="inlineStr">
        <is>
          <t>120-160 characters</t>
        </is>
      </c>
      <c r="H398" s="24" t="inlineStr">
        <is>
          <t>Trim meta description in AIOSEO and front-load essential context.</t>
        </is>
      </c>
      <c r="I398" s="28" t="inlineStr">
        <is>
          <t>Main</t>
        </is>
      </c>
      <c r="J398" s="24" t="inlineStr">
        <is>
          <t>Meta Description</t>
        </is>
      </c>
      <c r="K398" s="24" t="inlineStr">
        <is>
          <t>No</t>
        </is>
      </c>
      <c r="L398" s="24" t="inlineStr">
        <is>
          <t>Copy Writer</t>
        </is>
      </c>
      <c r="M398" s="25" t="inlineStr">
        <is>
          <t>Open</t>
        </is>
      </c>
      <c r="N398" s="24" t="n">
        <v>4</v>
      </c>
      <c r="O398" s="24" t="inlineStr">
        <is>
          <t>https://africanmarketingconfederation.org/thank-you-for-registering-2024-registrations/::aioseo_meta_description_too_long</t>
        </is>
      </c>
      <c r="P398" s="24" t="inlineStr">
        <is>
          <t>Long descriptions are often truncated and lose message clarity.</t>
        </is>
      </c>
      <c r="Q398">
        <f>IFERROR(HYPERLINK("#Main!A"&amp;MATCH(A398,Main!A:A,0),"Open"),HYPERLINK("#Main!A1","Open"))</f>
        <v/>
      </c>
      <c r="R398">
        <f>IFERROR(HYPERLINK("#Technical!A"&amp;MATCH(A398,Technical!A:A,0),"Open"),HYPERLINK("#Technical!A1","Open"))</f>
        <v/>
      </c>
    </row>
    <row r="399" ht="30" customHeight="1">
      <c r="A399" s="33" t="inlineStr">
        <is>
          <t>https://africanmarketingconfederation.org/thank-you-for-registering-2024-registrations/</t>
        </is>
      </c>
      <c r="B399" s="6" t="inlineStr">
        <is>
          <t>Basic SEO</t>
        </is>
      </c>
      <c r="C399" s="29" t="inlineStr">
        <is>
          <t>Info</t>
        </is>
      </c>
      <c r="D399" s="6" t="inlineStr">
        <is>
          <t>No internal links found</t>
        </is>
      </c>
      <c r="E399" s="6" t="n">
        <v>37</v>
      </c>
      <c r="F399" s="6" t="n">
        <v>0</v>
      </c>
      <c r="G399" s="6" t="inlineStr">
        <is>
          <t>&gt;=2 relevant internal links</t>
        </is>
      </c>
      <c r="H399" s="6" t="inlineStr">
        <is>
          <t>Add contextual internal links from and to related pages using descriptive anchor text.</t>
        </is>
      </c>
      <c r="I399" s="31" t="inlineStr">
        <is>
          <t>Links</t>
        </is>
      </c>
      <c r="J399" s="6" t="inlineStr">
        <is>
          <t>Internal Links Count</t>
        </is>
      </c>
      <c r="K399" s="6" t="inlineStr">
        <is>
          <t>No</t>
        </is>
      </c>
      <c r="L399" s="6" t="inlineStr">
        <is>
          <t>Copy Writer</t>
        </is>
      </c>
      <c r="M399" s="25" t="inlineStr">
        <is>
          <t>Open</t>
        </is>
      </c>
      <c r="N399" s="6" t="n">
        <v>4</v>
      </c>
      <c r="O399" s="6" t="inlineStr">
        <is>
          <t>https://africanmarketingconfederation.org/thank-you-for-registering-2024-registrations/::aioseo_no_internal_links_found</t>
        </is>
      </c>
      <c r="P399" s="6" t="inlineStr">
        <is>
          <t>Internal links help discovery, topical signals, and authority flow.</t>
        </is>
      </c>
      <c r="Q399">
        <f>IFERROR(HYPERLINK("#Main!A"&amp;MATCH(A399,Main!A:A,0),"Open"),HYPERLINK("#Main!A1","Open"))</f>
        <v/>
      </c>
      <c r="R399">
        <f>IFERROR(HYPERLINK("#Technical!A"&amp;MATCH(A399,Technical!A:A,0),"Open"),HYPERLINK("#Technical!A1","Open"))</f>
        <v/>
      </c>
    </row>
    <row r="400" ht="30" customHeight="1">
      <c r="A400" s="33" t="inlineStr">
        <is>
          <t>https://africanmarketingconfederation.org/thank-you-for-subscribing/</t>
        </is>
      </c>
      <c r="B400" s="24" t="inlineStr">
        <is>
          <t>Basic SEO</t>
        </is>
      </c>
      <c r="C400" s="29" t="inlineStr">
        <is>
          <t>Info</t>
        </is>
      </c>
      <c r="D400" s="24" t="inlineStr">
        <is>
          <t>Meta description too long</t>
        </is>
      </c>
      <c r="E400" s="24" t="n">
        <v>37</v>
      </c>
      <c r="F400" s="24" t="n">
        <v>345</v>
      </c>
      <c r="G400" s="24" t="inlineStr">
        <is>
          <t>120-160 characters</t>
        </is>
      </c>
      <c r="H400" s="24" t="inlineStr">
        <is>
          <t>Trim meta description in AIOSEO and front-load essential context.</t>
        </is>
      </c>
      <c r="I400" s="28" t="inlineStr">
        <is>
          <t>Main</t>
        </is>
      </c>
      <c r="J400" s="24" t="inlineStr">
        <is>
          <t>Meta Description</t>
        </is>
      </c>
      <c r="K400" s="24" t="inlineStr">
        <is>
          <t>No</t>
        </is>
      </c>
      <c r="L400" s="24" t="inlineStr">
        <is>
          <t>Copy Writer</t>
        </is>
      </c>
      <c r="M400" s="25" t="inlineStr">
        <is>
          <t>Open</t>
        </is>
      </c>
      <c r="N400" s="24" t="n">
        <v>4</v>
      </c>
      <c r="O400" s="24" t="inlineStr">
        <is>
          <t>https://africanmarketingconfederation.org/thank-you-for-subscribing/::aioseo_meta_description_too_long</t>
        </is>
      </c>
      <c r="P400" s="24" t="inlineStr">
        <is>
          <t>Long descriptions are often truncated and lose message clarity.</t>
        </is>
      </c>
      <c r="Q400">
        <f>IFERROR(HYPERLINK("#Main!A"&amp;MATCH(A400,Main!A:A,0),"Open"),HYPERLINK("#Main!A1","Open"))</f>
        <v/>
      </c>
      <c r="R400">
        <f>IFERROR(HYPERLINK("#Technical!A"&amp;MATCH(A400,Technical!A:A,0),"Open"),HYPERLINK("#Technical!A1","Open"))</f>
        <v/>
      </c>
    </row>
    <row r="401" ht="30" customHeight="1">
      <c r="A401" s="33" t="inlineStr">
        <is>
          <t>https://africanmarketingconfederation.org/thank-you-for-subscribing/</t>
        </is>
      </c>
      <c r="B401" s="6" t="inlineStr">
        <is>
          <t>Basic SEO</t>
        </is>
      </c>
      <c r="C401" s="29" t="inlineStr">
        <is>
          <t>Info</t>
        </is>
      </c>
      <c r="D401" s="6" t="inlineStr">
        <is>
          <t>No internal links found</t>
        </is>
      </c>
      <c r="E401" s="6" t="n">
        <v>37</v>
      </c>
      <c r="F401" s="6" t="n">
        <v>0</v>
      </c>
      <c r="G401" s="6" t="inlineStr">
        <is>
          <t>&gt;=2 relevant internal links</t>
        </is>
      </c>
      <c r="H401" s="6" t="inlineStr">
        <is>
          <t>Add contextual internal links from and to related pages using descriptive anchor text.</t>
        </is>
      </c>
      <c r="I401" s="31" t="inlineStr">
        <is>
          <t>Links</t>
        </is>
      </c>
      <c r="J401" s="6" t="inlineStr">
        <is>
          <t>Internal Links Count</t>
        </is>
      </c>
      <c r="K401" s="6" t="inlineStr">
        <is>
          <t>No</t>
        </is>
      </c>
      <c r="L401" s="6" t="inlineStr">
        <is>
          <t>Copy Writer</t>
        </is>
      </c>
      <c r="M401" s="25" t="inlineStr">
        <is>
          <t>Open</t>
        </is>
      </c>
      <c r="N401" s="6" t="n">
        <v>4</v>
      </c>
      <c r="O401" s="6" t="inlineStr">
        <is>
          <t>https://africanmarketingconfederation.org/thank-you-for-subscribing/::aioseo_no_internal_links_found</t>
        </is>
      </c>
      <c r="P401" s="6" t="inlineStr">
        <is>
          <t>Internal links help discovery, topical signals, and authority flow.</t>
        </is>
      </c>
      <c r="Q401">
        <f>IFERROR(HYPERLINK("#Main!A"&amp;MATCH(A401,Main!A:A,0),"Open"),HYPERLINK("#Main!A1","Open"))</f>
        <v/>
      </c>
      <c r="R401">
        <f>IFERROR(HYPERLINK("#Technical!A"&amp;MATCH(A401,Technical!A:A,0),"Open"),HYPERLINK("#Technical!A1","Open"))</f>
        <v/>
      </c>
    </row>
    <row r="402" ht="30" customHeight="1">
      <c r="A402" s="33" t="inlineStr">
        <is>
          <t>https://africanmarketingconfederation.org/thank-you-for-the-nomination-2024/</t>
        </is>
      </c>
      <c r="B402" s="24" t="inlineStr">
        <is>
          <t>Basic SEO</t>
        </is>
      </c>
      <c r="C402" s="29" t="inlineStr">
        <is>
          <t>Info</t>
        </is>
      </c>
      <c r="D402" s="24" t="inlineStr">
        <is>
          <t>Meta description too short</t>
        </is>
      </c>
      <c r="E402" s="24" t="n">
        <v>37</v>
      </c>
      <c r="F402" s="24" t="n">
        <v>56</v>
      </c>
      <c r="G402" s="24" t="inlineStr">
        <is>
          <t>120-160 characters</t>
        </is>
      </c>
      <c r="H402" s="24" t="inlineStr">
        <is>
          <t>Expand meta description in AIOSEO to include key value points and intent terms naturally.</t>
        </is>
      </c>
      <c r="I402" s="28" t="inlineStr">
        <is>
          <t>Main</t>
        </is>
      </c>
      <c r="J402" s="24" t="inlineStr">
        <is>
          <t>Meta Description</t>
        </is>
      </c>
      <c r="K402" s="24" t="inlineStr">
        <is>
          <t>No</t>
        </is>
      </c>
      <c r="L402" s="24" t="inlineStr">
        <is>
          <t>Copy Writer</t>
        </is>
      </c>
      <c r="M402" s="25" t="inlineStr">
        <is>
          <t>Open</t>
        </is>
      </c>
      <c r="N402" s="24" t="n">
        <v>4</v>
      </c>
      <c r="O402" s="24" t="inlineStr">
        <is>
          <t>https://africanmarketingconfederation.org/thank-you-for-the-nomination-2024/::aioseo_meta_description_too_short</t>
        </is>
      </c>
      <c r="P402" s="24" t="inlineStr">
        <is>
          <t>Short descriptions can under-communicate relevance and value.</t>
        </is>
      </c>
      <c r="Q402">
        <f>IFERROR(HYPERLINK("#Main!A"&amp;MATCH(A402,Main!A:A,0),"Open"),HYPERLINK("#Main!A1","Open"))</f>
        <v/>
      </c>
      <c r="R402">
        <f>IFERROR(HYPERLINK("#Technical!A"&amp;MATCH(A402,Technical!A:A,0),"Open"),HYPERLINK("#Technical!A1","Open"))</f>
        <v/>
      </c>
    </row>
    <row r="403" ht="30" customHeight="1">
      <c r="A403" s="33" t="inlineStr">
        <is>
          <t>https://africanmarketingconfederation.org/thank-you-for-the-nomination-2024/</t>
        </is>
      </c>
      <c r="B403" s="6" t="inlineStr">
        <is>
          <t>Basic SEO</t>
        </is>
      </c>
      <c r="C403" s="29" t="inlineStr">
        <is>
          <t>Info</t>
        </is>
      </c>
      <c r="D403" s="6" t="inlineStr">
        <is>
          <t>No internal links found</t>
        </is>
      </c>
      <c r="E403" s="6" t="n">
        <v>37</v>
      </c>
      <c r="F403" s="6" t="n">
        <v>0</v>
      </c>
      <c r="G403" s="6" t="inlineStr">
        <is>
          <t>&gt;=2 relevant internal links</t>
        </is>
      </c>
      <c r="H403" s="6" t="inlineStr">
        <is>
          <t>Add contextual internal links from and to related pages using descriptive anchor text.</t>
        </is>
      </c>
      <c r="I403" s="31" t="inlineStr">
        <is>
          <t>Links</t>
        </is>
      </c>
      <c r="J403" s="6" t="inlineStr">
        <is>
          <t>Internal Links Count</t>
        </is>
      </c>
      <c r="K403" s="6" t="inlineStr">
        <is>
          <t>No</t>
        </is>
      </c>
      <c r="L403" s="6" t="inlineStr">
        <is>
          <t>Copy Writer</t>
        </is>
      </c>
      <c r="M403" s="25" t="inlineStr">
        <is>
          <t>Open</t>
        </is>
      </c>
      <c r="N403" s="6" t="n">
        <v>4</v>
      </c>
      <c r="O403" s="6" t="inlineStr">
        <is>
          <t>https://africanmarketingconfederation.org/thank-you-for-the-nomination-2024/::aioseo_no_internal_links_found</t>
        </is>
      </c>
      <c r="P403" s="6" t="inlineStr">
        <is>
          <t>Internal links help discovery, topical signals, and authority flow.</t>
        </is>
      </c>
      <c r="Q403">
        <f>IFERROR(HYPERLINK("#Main!A"&amp;MATCH(A403,Main!A:A,0),"Open"),HYPERLINK("#Main!A1","Open"))</f>
        <v/>
      </c>
      <c r="R403">
        <f>IFERROR(HYPERLINK("#Technical!A"&amp;MATCH(A403,Technical!A:A,0),"Open"),HYPERLINK("#Technical!A1","Open"))</f>
        <v/>
      </c>
    </row>
    <row r="404" ht="30" customHeight="1">
      <c r="A404" s="33" t="inlineStr">
        <is>
          <t>https://africanmarketingconfederation.org/thank-you-for-the-submission-2024/</t>
        </is>
      </c>
      <c r="B404" s="24" t="inlineStr">
        <is>
          <t>Basic SEO</t>
        </is>
      </c>
      <c r="C404" s="29" t="inlineStr">
        <is>
          <t>Info</t>
        </is>
      </c>
      <c r="D404" s="24" t="inlineStr">
        <is>
          <t>Meta description too short</t>
        </is>
      </c>
      <c r="E404" s="24" t="n">
        <v>37</v>
      </c>
      <c r="F404" s="24" t="n">
        <v>56</v>
      </c>
      <c r="G404" s="24" t="inlineStr">
        <is>
          <t>120-160 characters</t>
        </is>
      </c>
      <c r="H404" s="24" t="inlineStr">
        <is>
          <t>Expand meta description in AIOSEO to include key value points and intent terms naturally.</t>
        </is>
      </c>
      <c r="I404" s="28" t="inlineStr">
        <is>
          <t>Main</t>
        </is>
      </c>
      <c r="J404" s="24" t="inlineStr">
        <is>
          <t>Meta Description</t>
        </is>
      </c>
      <c r="K404" s="24" t="inlineStr">
        <is>
          <t>No</t>
        </is>
      </c>
      <c r="L404" s="24" t="inlineStr">
        <is>
          <t>Copy Writer</t>
        </is>
      </c>
      <c r="M404" s="25" t="inlineStr">
        <is>
          <t>Open</t>
        </is>
      </c>
      <c r="N404" s="24" t="n">
        <v>4</v>
      </c>
      <c r="O404" s="24" t="inlineStr">
        <is>
          <t>https://africanmarketingconfederation.org/thank-you-for-the-submission-2024/::aioseo_meta_description_too_short</t>
        </is>
      </c>
      <c r="P404" s="24" t="inlineStr">
        <is>
          <t>Short descriptions can under-communicate relevance and value.</t>
        </is>
      </c>
      <c r="Q404">
        <f>IFERROR(HYPERLINK("#Main!A"&amp;MATCH(A404,Main!A:A,0),"Open"),HYPERLINK("#Main!A1","Open"))</f>
        <v/>
      </c>
      <c r="R404">
        <f>IFERROR(HYPERLINK("#Technical!A"&amp;MATCH(A404,Technical!A:A,0),"Open"),HYPERLINK("#Technical!A1","Open"))</f>
        <v/>
      </c>
    </row>
    <row r="405" ht="30" customHeight="1">
      <c r="A405" s="33" t="inlineStr">
        <is>
          <t>https://africanmarketingconfederation.org/thank-you-for-the-submission-2024/</t>
        </is>
      </c>
      <c r="B405" s="6" t="inlineStr">
        <is>
          <t>Basic SEO</t>
        </is>
      </c>
      <c r="C405" s="29" t="inlineStr">
        <is>
          <t>Info</t>
        </is>
      </c>
      <c r="D405" s="6" t="inlineStr">
        <is>
          <t>No internal links found</t>
        </is>
      </c>
      <c r="E405" s="6" t="n">
        <v>37</v>
      </c>
      <c r="F405" s="6" t="n">
        <v>0</v>
      </c>
      <c r="G405" s="6" t="inlineStr">
        <is>
          <t>&gt;=2 relevant internal links</t>
        </is>
      </c>
      <c r="H405" s="6" t="inlineStr">
        <is>
          <t>Add contextual internal links from and to related pages using descriptive anchor text.</t>
        </is>
      </c>
      <c r="I405" s="31" t="inlineStr">
        <is>
          <t>Links</t>
        </is>
      </c>
      <c r="J405" s="6" t="inlineStr">
        <is>
          <t>Internal Links Count</t>
        </is>
      </c>
      <c r="K405" s="6" t="inlineStr">
        <is>
          <t>No</t>
        </is>
      </c>
      <c r="L405" s="6" t="inlineStr">
        <is>
          <t>Copy Writer</t>
        </is>
      </c>
      <c r="M405" s="25" t="inlineStr">
        <is>
          <t>Open</t>
        </is>
      </c>
      <c r="N405" s="6" t="n">
        <v>4</v>
      </c>
      <c r="O405" s="6" t="inlineStr">
        <is>
          <t>https://africanmarketingconfederation.org/thank-you-for-the-submission-2024/::aioseo_no_internal_links_found</t>
        </is>
      </c>
      <c r="P405" s="6" t="inlineStr">
        <is>
          <t>Internal links help discovery, topical signals, and authority flow.</t>
        </is>
      </c>
      <c r="Q405">
        <f>IFERROR(HYPERLINK("#Main!A"&amp;MATCH(A405,Main!A:A,0),"Open"),HYPERLINK("#Main!A1","Open"))</f>
        <v/>
      </c>
      <c r="R405">
        <f>IFERROR(HYPERLINK("#Technical!A"&amp;MATCH(A405,Technical!A:A,0),"Open"),HYPERLINK("#Technical!A1","Open"))</f>
        <v/>
      </c>
    </row>
    <row r="406" ht="30" customHeight="1">
      <c r="A406" s="33" t="inlineStr">
        <is>
          <t>https://africanmarketingconfederation.org/upcoming-events/</t>
        </is>
      </c>
      <c r="B406" s="24" t="inlineStr">
        <is>
          <t>Basic SEO</t>
        </is>
      </c>
      <c r="C406" s="29" t="inlineStr">
        <is>
          <t>Info</t>
        </is>
      </c>
      <c r="D406" s="24" t="inlineStr">
        <is>
          <t>Meta description too long</t>
        </is>
      </c>
      <c r="E406" s="24" t="n">
        <v>37</v>
      </c>
      <c r="F406" s="24" t="n">
        <v>352</v>
      </c>
      <c r="G406" s="24" t="inlineStr">
        <is>
          <t>120-160 characters</t>
        </is>
      </c>
      <c r="H406" s="24" t="inlineStr">
        <is>
          <t>Trim meta description in AIOSEO and front-load essential context.</t>
        </is>
      </c>
      <c r="I406" s="28" t="inlineStr">
        <is>
          <t>Main</t>
        </is>
      </c>
      <c r="J406" s="24" t="inlineStr">
        <is>
          <t>Meta Description</t>
        </is>
      </c>
      <c r="K406" s="24" t="inlineStr">
        <is>
          <t>No</t>
        </is>
      </c>
      <c r="L406" s="24" t="inlineStr">
        <is>
          <t>Copy Writer</t>
        </is>
      </c>
      <c r="M406" s="25" t="inlineStr">
        <is>
          <t>Open</t>
        </is>
      </c>
      <c r="N406" s="24" t="n">
        <v>4</v>
      </c>
      <c r="O406" s="24" t="inlineStr">
        <is>
          <t>https://africanmarketingconfederation.org/upcoming-events/::aioseo_meta_description_too_long</t>
        </is>
      </c>
      <c r="P406" s="24" t="inlineStr">
        <is>
          <t>Long descriptions are often truncated and lose message clarity.</t>
        </is>
      </c>
      <c r="Q406">
        <f>IFERROR(HYPERLINK("#Main!A"&amp;MATCH(A406,Main!A:A,0),"Open"),HYPERLINK("#Main!A1","Open"))</f>
        <v/>
      </c>
      <c r="R406">
        <f>IFERROR(HYPERLINK("#Technical!A"&amp;MATCH(A406,Technical!A:A,0),"Open"),HYPERLINK("#Technical!A1","Open"))</f>
        <v/>
      </c>
    </row>
    <row r="407" ht="30" customHeight="1">
      <c r="A407" s="33" t="inlineStr">
        <is>
          <t>https://africanmarketingconfederation.org/upcoming-events/</t>
        </is>
      </c>
      <c r="B407" s="6" t="inlineStr">
        <is>
          <t>Basic SEO</t>
        </is>
      </c>
      <c r="C407" s="29" t="inlineStr">
        <is>
          <t>Info</t>
        </is>
      </c>
      <c r="D407" s="6" t="inlineStr">
        <is>
          <t>No internal links found</t>
        </is>
      </c>
      <c r="E407" s="6" t="n">
        <v>37</v>
      </c>
      <c r="F407" s="6" t="n">
        <v>0</v>
      </c>
      <c r="G407" s="6" t="inlineStr">
        <is>
          <t>&gt;=2 relevant internal links</t>
        </is>
      </c>
      <c r="H407" s="6" t="inlineStr">
        <is>
          <t>Add contextual internal links from and to related pages using descriptive anchor text.</t>
        </is>
      </c>
      <c r="I407" s="31" t="inlineStr">
        <is>
          <t>Links</t>
        </is>
      </c>
      <c r="J407" s="6" t="inlineStr">
        <is>
          <t>Internal Links Count</t>
        </is>
      </c>
      <c r="K407" s="6" t="inlineStr">
        <is>
          <t>No</t>
        </is>
      </c>
      <c r="L407" s="6" t="inlineStr">
        <is>
          <t>Copy Writer</t>
        </is>
      </c>
      <c r="M407" s="25" t="inlineStr">
        <is>
          <t>Open</t>
        </is>
      </c>
      <c r="N407" s="6" t="n">
        <v>4</v>
      </c>
      <c r="O407" s="6" t="inlineStr">
        <is>
          <t>https://africanmarketingconfederation.org/upcoming-events/::aioseo_no_internal_links_found</t>
        </is>
      </c>
      <c r="P407" s="6" t="inlineStr">
        <is>
          <t>Internal links help discovery, topical signals, and authority flow.</t>
        </is>
      </c>
      <c r="Q407">
        <f>IFERROR(HYPERLINK("#Main!A"&amp;MATCH(A407,Main!A:A,0),"Open"),HYPERLINK("#Main!A1","Open"))</f>
        <v/>
      </c>
      <c r="R407">
        <f>IFERROR(HYPERLINK("#Technical!A"&amp;MATCH(A407,Technical!A:A,0),"Open"),HYPERLINK("#Technical!A1","Open"))</f>
        <v/>
      </c>
    </row>
    <row r="408" ht="30" customHeight="1">
      <c r="A408" s="33" t="inlineStr">
        <is>
          <t>https://africanmarketingconfederation.org/virtual-programme/</t>
        </is>
      </c>
      <c r="B408" s="24" t="inlineStr">
        <is>
          <t>Basic SEO</t>
        </is>
      </c>
      <c r="C408" s="29" t="inlineStr">
        <is>
          <t>Info</t>
        </is>
      </c>
      <c r="D408" s="24" t="inlineStr">
        <is>
          <t>Meta description too long</t>
        </is>
      </c>
      <c r="E408" s="24" t="n">
        <v>37</v>
      </c>
      <c r="F408" s="24" t="n">
        <v>347</v>
      </c>
      <c r="G408" s="24" t="inlineStr">
        <is>
          <t>120-160 characters</t>
        </is>
      </c>
      <c r="H408" s="24" t="inlineStr">
        <is>
          <t>Trim meta description in AIOSEO and front-load essential context.</t>
        </is>
      </c>
      <c r="I408" s="28" t="inlineStr">
        <is>
          <t>Main</t>
        </is>
      </c>
      <c r="J408" s="24" t="inlineStr">
        <is>
          <t>Meta Description</t>
        </is>
      </c>
      <c r="K408" s="24" t="inlineStr">
        <is>
          <t>No</t>
        </is>
      </c>
      <c r="L408" s="24" t="inlineStr">
        <is>
          <t>Copy Writer</t>
        </is>
      </c>
      <c r="M408" s="25" t="inlineStr">
        <is>
          <t>Open</t>
        </is>
      </c>
      <c r="N408" s="24" t="n">
        <v>4</v>
      </c>
      <c r="O408" s="24" t="inlineStr">
        <is>
          <t>https://africanmarketingconfederation.org/virtual-programme/::aioseo_meta_description_too_long</t>
        </is>
      </c>
      <c r="P408" s="24" t="inlineStr">
        <is>
          <t>Long descriptions are often truncated and lose message clarity.</t>
        </is>
      </c>
      <c r="Q408">
        <f>IFERROR(HYPERLINK("#Main!A"&amp;MATCH(A408,Main!A:A,0),"Open"),HYPERLINK("#Main!A1","Open"))</f>
        <v/>
      </c>
      <c r="R408">
        <f>IFERROR(HYPERLINK("#Technical!A"&amp;MATCH(A408,Technical!A:A,0),"Open"),HYPERLINK("#Technical!A1","Open"))</f>
        <v/>
      </c>
    </row>
    <row r="409" ht="30" customHeight="1">
      <c r="A409" s="33" t="inlineStr">
        <is>
          <t>https://africanmarketingconfederation.org/virtual-programme/</t>
        </is>
      </c>
      <c r="B409" s="6" t="inlineStr">
        <is>
          <t>Basic SEO</t>
        </is>
      </c>
      <c r="C409" s="29" t="inlineStr">
        <is>
          <t>Info</t>
        </is>
      </c>
      <c r="D409" s="6" t="inlineStr">
        <is>
          <t>No internal links found</t>
        </is>
      </c>
      <c r="E409" s="6" t="n">
        <v>37</v>
      </c>
      <c r="F409" s="6" t="n">
        <v>0</v>
      </c>
      <c r="G409" s="6" t="inlineStr">
        <is>
          <t>&gt;=2 relevant internal links</t>
        </is>
      </c>
      <c r="H409" s="6" t="inlineStr">
        <is>
          <t>Add contextual internal links from and to related pages using descriptive anchor text.</t>
        </is>
      </c>
      <c r="I409" s="31" t="inlineStr">
        <is>
          <t>Links</t>
        </is>
      </c>
      <c r="J409" s="6" t="inlineStr">
        <is>
          <t>Internal Links Count</t>
        </is>
      </c>
      <c r="K409" s="6" t="inlineStr">
        <is>
          <t>No</t>
        </is>
      </c>
      <c r="L409" s="6" t="inlineStr">
        <is>
          <t>Copy Writer</t>
        </is>
      </c>
      <c r="M409" s="25" t="inlineStr">
        <is>
          <t>Open</t>
        </is>
      </c>
      <c r="N409" s="6" t="n">
        <v>4</v>
      </c>
      <c r="O409" s="6" t="inlineStr">
        <is>
          <t>https://africanmarketingconfederation.org/virtual-programme/::aioseo_no_internal_links_found</t>
        </is>
      </c>
      <c r="P409" s="6" t="inlineStr">
        <is>
          <t>Internal links help discovery, topical signals, and authority flow.</t>
        </is>
      </c>
      <c r="Q409">
        <f>IFERROR(HYPERLINK("#Main!A"&amp;MATCH(A409,Main!A:A,0),"Open"),HYPERLINK("#Main!A1","Open"))</f>
        <v/>
      </c>
      <c r="R409">
        <f>IFERROR(HYPERLINK("#Technical!A"&amp;MATCH(A409,Technical!A:A,0),"Open"),HYPERLINK("#Technical!A1","Open"))</f>
        <v/>
      </c>
    </row>
    <row r="410" ht="30" customHeight="1">
      <c r="A410" s="33" t="inlineStr">
        <is>
          <t>https://africanmarketingconfederation.org/</t>
        </is>
      </c>
      <c r="B410" s="24" t="inlineStr">
        <is>
          <t>Content</t>
        </is>
      </c>
      <c r="C410" s="29" t="inlineStr">
        <is>
          <t>Info</t>
        </is>
      </c>
      <c r="D410" s="24" t="inlineStr">
        <is>
          <t>No concise answer paragraph (40-60 words)</t>
        </is>
      </c>
      <c r="E410" s="24" t="n">
        <v>37</v>
      </c>
      <c r="F410" s="24" t="n">
        <v>0</v>
      </c>
      <c r="G410" s="24" t="inlineStr">
        <is>
          <t>&gt;=1 concise answer block</t>
        </is>
      </c>
      <c r="H410" s="24" t="inlineStr">
        <is>
          <t>Add a direct 40-60 word answer immediately below key question headings.</t>
        </is>
      </c>
      <c r="I410" s="28" t="inlineStr">
        <is>
          <t>AEO</t>
        </is>
      </c>
      <c r="J410" s="24" t="inlineStr">
        <is>
          <t>Paragraphs 40-60 Words Count</t>
        </is>
      </c>
      <c r="K410" s="24" t="inlineStr">
        <is>
          <t>No</t>
        </is>
      </c>
      <c r="L410" s="24" t="inlineStr">
        <is>
          <t>Copy Writer</t>
        </is>
      </c>
      <c r="M410" s="25" t="inlineStr">
        <is>
          <t>Open</t>
        </is>
      </c>
      <c r="N410" s="24" t="n">
        <v>4</v>
      </c>
      <c r="O410" s="24" t="inlineStr">
        <is>
          <t>https://africanmarketingconfederation.org/::aioseo_no_concise_answer_paragraph_40-60_words_</t>
        </is>
      </c>
      <c r="P410" s="24" t="inlineStr">
        <is>
          <t>Compact answer blocks improve direct-answer extraction chances.</t>
        </is>
      </c>
      <c r="Q410">
        <f>IFERROR(HYPERLINK("#Main!A"&amp;MATCH(A410,Main!A:A,0),"Open"),HYPERLINK("#Main!A1","Open"))</f>
        <v/>
      </c>
      <c r="R410">
        <f>IFERROR(HYPERLINK("#Technical!A"&amp;MATCH(A410,Technical!A:A,0),"Open"),HYPERLINK("#Technical!A1","Open"))</f>
        <v/>
      </c>
    </row>
    <row r="411" ht="30" customHeight="1">
      <c r="A411" s="33" t="inlineStr">
        <is>
          <t>https://africanmarketingconfederation.org/about-us/</t>
        </is>
      </c>
      <c r="B411" s="6" t="inlineStr">
        <is>
          <t>Content</t>
        </is>
      </c>
      <c r="C411" s="29" t="inlineStr">
        <is>
          <t>Info</t>
        </is>
      </c>
      <c r="D411" s="6" t="inlineStr">
        <is>
          <t>No concise answer paragraph (40-60 words)</t>
        </is>
      </c>
      <c r="E411" s="6" t="n">
        <v>37</v>
      </c>
      <c r="F411" s="6" t="n">
        <v>0</v>
      </c>
      <c r="G411" s="6" t="inlineStr">
        <is>
          <t>&gt;=1 concise answer block</t>
        </is>
      </c>
      <c r="H411" s="6" t="inlineStr">
        <is>
          <t>Add a direct 40-60 word answer immediately below key question headings.</t>
        </is>
      </c>
      <c r="I411" s="31" t="inlineStr">
        <is>
          <t>AEO</t>
        </is>
      </c>
      <c r="J411" s="6" t="inlineStr">
        <is>
          <t>Paragraphs 40-60 Words Count</t>
        </is>
      </c>
      <c r="K411" s="6" t="inlineStr">
        <is>
          <t>No</t>
        </is>
      </c>
      <c r="L411" s="6" t="inlineStr">
        <is>
          <t>Copy Writer</t>
        </is>
      </c>
      <c r="M411" s="25" t="inlineStr">
        <is>
          <t>Open</t>
        </is>
      </c>
      <c r="N411" s="6" t="n">
        <v>4</v>
      </c>
      <c r="O411" s="6" t="inlineStr">
        <is>
          <t>https://africanmarketingconfederation.org/about-us/::aioseo_no_concise_answer_paragraph_40-60_words_</t>
        </is>
      </c>
      <c r="P411" s="6" t="inlineStr">
        <is>
          <t>Compact answer blocks improve direct-answer extraction chances.</t>
        </is>
      </c>
      <c r="Q411">
        <f>IFERROR(HYPERLINK("#Main!A"&amp;MATCH(A411,Main!A:A,0),"Open"),HYPERLINK("#Main!A1","Open"))</f>
        <v/>
      </c>
      <c r="R411">
        <f>IFERROR(HYPERLINK("#Technical!A"&amp;MATCH(A411,Technical!A:A,0),"Open"),HYPERLINK("#Technical!A1","Open"))</f>
        <v/>
      </c>
    </row>
    <row r="412" ht="30" customHeight="1">
      <c r="A412" s="33" t="inlineStr">
        <is>
          <t>https://africanmarketingconfederation.org/african-marketing-confederation-tourism-chapter/</t>
        </is>
      </c>
      <c r="B412" s="24" t="inlineStr">
        <is>
          <t>Content</t>
        </is>
      </c>
      <c r="C412" s="29" t="inlineStr">
        <is>
          <t>Info</t>
        </is>
      </c>
      <c r="D412" s="24" t="inlineStr">
        <is>
          <t>No concise answer paragraph (40-60 words)</t>
        </is>
      </c>
      <c r="E412" s="24" t="n">
        <v>37</v>
      </c>
      <c r="F412" s="24" t="n">
        <v>0</v>
      </c>
      <c r="G412" s="24" t="inlineStr">
        <is>
          <t>&gt;=1 concise answer block</t>
        </is>
      </c>
      <c r="H412" s="24" t="inlineStr">
        <is>
          <t>Add a direct 40-60 word answer immediately below key question headings.</t>
        </is>
      </c>
      <c r="I412" s="28" t="inlineStr">
        <is>
          <t>AEO</t>
        </is>
      </c>
      <c r="J412" s="24" t="inlineStr">
        <is>
          <t>Paragraphs 40-60 Words Count</t>
        </is>
      </c>
      <c r="K412" s="24" t="inlineStr">
        <is>
          <t>No</t>
        </is>
      </c>
      <c r="L412" s="24" t="inlineStr">
        <is>
          <t>Copy Writer</t>
        </is>
      </c>
      <c r="M412" s="25" t="inlineStr">
        <is>
          <t>Open</t>
        </is>
      </c>
      <c r="N412" s="24" t="n">
        <v>4</v>
      </c>
      <c r="O412" s="24" t="inlineStr">
        <is>
          <t>https://africanmarketingconfederation.org/african-marketing-confederation-tourism-chapter/::aioseo_no_concise_answer_paragraph_40-60_words_</t>
        </is>
      </c>
      <c r="P412" s="24" t="inlineStr">
        <is>
          <t>Compact answer blocks improve direct-answer extraction chances.</t>
        </is>
      </c>
      <c r="Q412">
        <f>IFERROR(HYPERLINK("#Main!A"&amp;MATCH(A412,Main!A:A,0),"Open"),HYPERLINK("#Main!A1","Open"))</f>
        <v/>
      </c>
      <c r="R412">
        <f>IFERROR(HYPERLINK("#Technical!A"&amp;MATCH(A412,Technical!A:A,0),"Open"),HYPERLINK("#Technical!A1","Open"))</f>
        <v/>
      </c>
    </row>
    <row r="413" ht="30" customHeight="1">
      <c r="A413" s="33" t="inlineStr">
        <is>
          <t>https://africanmarketingconfederation.org/amc-awards-2024/</t>
        </is>
      </c>
      <c r="B413" s="6" t="inlineStr">
        <is>
          <t>Content</t>
        </is>
      </c>
      <c r="C413" s="29" t="inlineStr">
        <is>
          <t>Info</t>
        </is>
      </c>
      <c r="D413" s="6" t="inlineStr">
        <is>
          <t>No concise answer paragraph (40-60 words)</t>
        </is>
      </c>
      <c r="E413" s="6" t="n">
        <v>37</v>
      </c>
      <c r="F413" s="6" t="n">
        <v>0</v>
      </c>
      <c r="G413" s="6" t="inlineStr">
        <is>
          <t>&gt;=1 concise answer block</t>
        </is>
      </c>
      <c r="H413" s="6" t="inlineStr">
        <is>
          <t>Add a direct 40-60 word answer immediately below key question headings.</t>
        </is>
      </c>
      <c r="I413" s="31" t="inlineStr">
        <is>
          <t>AEO</t>
        </is>
      </c>
      <c r="J413" s="6" t="inlineStr">
        <is>
          <t>Paragraphs 40-60 Words Count</t>
        </is>
      </c>
      <c r="K413" s="6" t="inlineStr">
        <is>
          <t>No</t>
        </is>
      </c>
      <c r="L413" s="6" t="inlineStr">
        <is>
          <t>Copy Writer</t>
        </is>
      </c>
      <c r="M413" s="25" t="inlineStr">
        <is>
          <t>Open</t>
        </is>
      </c>
      <c r="N413" s="6" t="n">
        <v>4</v>
      </c>
      <c r="O413" s="6" t="inlineStr">
        <is>
          <t>https://africanmarketingconfederation.org/amc-awards-2024/::aioseo_no_concise_answer_paragraph_40-60_words_</t>
        </is>
      </c>
      <c r="P413" s="6" t="inlineStr">
        <is>
          <t>Compact answer blocks improve direct-answer extraction chances.</t>
        </is>
      </c>
      <c r="Q413">
        <f>IFERROR(HYPERLINK("#Main!A"&amp;MATCH(A413,Main!A:A,0),"Open"),HYPERLINK("#Main!A1","Open"))</f>
        <v/>
      </c>
      <c r="R413">
        <f>IFERROR(HYPERLINK("#Technical!A"&amp;MATCH(A413,Technical!A:A,0),"Open"),HYPERLINK("#Technical!A1","Open"))</f>
        <v/>
      </c>
    </row>
    <row r="414" ht="30" customHeight="1">
      <c r="A414" s="33" t="inlineStr">
        <is>
          <t>https://africanmarketingconfederation.org/amc-conference-2022-prospectus/</t>
        </is>
      </c>
      <c r="B414" s="24" t="inlineStr">
        <is>
          <t>Content</t>
        </is>
      </c>
      <c r="C414" s="29" t="inlineStr">
        <is>
          <t>Info</t>
        </is>
      </c>
      <c r="D414" s="24" t="inlineStr">
        <is>
          <t>No concise answer paragraph (40-60 words)</t>
        </is>
      </c>
      <c r="E414" s="24" t="n">
        <v>37</v>
      </c>
      <c r="F414" s="24" t="n">
        <v>0</v>
      </c>
      <c r="G414" s="24" t="inlineStr">
        <is>
          <t>&gt;=1 concise answer block</t>
        </is>
      </c>
      <c r="H414" s="24" t="inlineStr">
        <is>
          <t>Add a direct 40-60 word answer immediately below key question headings.</t>
        </is>
      </c>
      <c r="I414" s="28" t="inlineStr">
        <is>
          <t>AEO</t>
        </is>
      </c>
      <c r="J414" s="24" t="inlineStr">
        <is>
          <t>Paragraphs 40-60 Words Count</t>
        </is>
      </c>
      <c r="K414" s="24" t="inlineStr">
        <is>
          <t>No</t>
        </is>
      </c>
      <c r="L414" s="24" t="inlineStr">
        <is>
          <t>Copy Writer</t>
        </is>
      </c>
      <c r="M414" s="25" t="inlineStr">
        <is>
          <t>Open</t>
        </is>
      </c>
      <c r="N414" s="24" t="n">
        <v>4</v>
      </c>
      <c r="O414" s="24" t="inlineStr">
        <is>
          <t>https://africanmarketingconfederation.org/amc-conference-2022-prospectus/::aioseo_no_concise_answer_paragraph_40-60_words_</t>
        </is>
      </c>
      <c r="P414" s="24" t="inlineStr">
        <is>
          <t>Compact answer blocks improve direct-answer extraction chances.</t>
        </is>
      </c>
      <c r="Q414">
        <f>IFERROR(HYPERLINK("#Main!A"&amp;MATCH(A414,Main!A:A,0),"Open"),HYPERLINK("#Main!A1","Open"))</f>
        <v/>
      </c>
      <c r="R414">
        <f>IFERROR(HYPERLINK("#Technical!A"&amp;MATCH(A414,Technical!A:A,0),"Open"),HYPERLINK("#Technical!A1","Open"))</f>
        <v/>
      </c>
    </row>
    <row r="415" ht="30" customHeight="1">
      <c r="A415" s="33" t="inlineStr">
        <is>
          <t>https://africanmarketingconfederation.org/amc-conference-2022-thank-you/</t>
        </is>
      </c>
      <c r="B415" s="6" t="inlineStr">
        <is>
          <t>Content</t>
        </is>
      </c>
      <c r="C415" s="29" t="inlineStr">
        <is>
          <t>Info</t>
        </is>
      </c>
      <c r="D415" s="6" t="inlineStr">
        <is>
          <t>No concise answer paragraph (40-60 words)</t>
        </is>
      </c>
      <c r="E415" s="6" t="n">
        <v>37</v>
      </c>
      <c r="F415" s="6" t="n">
        <v>0</v>
      </c>
      <c r="G415" s="6" t="inlineStr">
        <is>
          <t>&gt;=1 concise answer block</t>
        </is>
      </c>
      <c r="H415" s="6" t="inlineStr">
        <is>
          <t>Add a direct 40-60 word answer immediately below key question headings.</t>
        </is>
      </c>
      <c r="I415" s="31" t="inlineStr">
        <is>
          <t>AEO</t>
        </is>
      </c>
      <c r="J415" s="6" t="inlineStr">
        <is>
          <t>Paragraphs 40-60 Words Count</t>
        </is>
      </c>
      <c r="K415" s="6" t="inlineStr">
        <is>
          <t>No</t>
        </is>
      </c>
      <c r="L415" s="6" t="inlineStr">
        <is>
          <t>Copy Writer</t>
        </is>
      </c>
      <c r="M415" s="25" t="inlineStr">
        <is>
          <t>Open</t>
        </is>
      </c>
      <c r="N415" s="6" t="n">
        <v>4</v>
      </c>
      <c r="O415" s="6" t="inlineStr">
        <is>
          <t>https://africanmarketingconfederation.org/amc-conference-2022-thank-you/::aioseo_no_concise_answer_paragraph_40-60_words_</t>
        </is>
      </c>
      <c r="P415" s="6" t="inlineStr">
        <is>
          <t>Compact answer blocks improve direct-answer extraction chances.</t>
        </is>
      </c>
      <c r="Q415">
        <f>IFERROR(HYPERLINK("#Main!A"&amp;MATCH(A415,Main!A:A,0),"Open"),HYPERLINK("#Main!A1","Open"))</f>
        <v/>
      </c>
      <c r="R415">
        <f>IFERROR(HYPERLINK("#Technical!A"&amp;MATCH(A415,Technical!A:A,0),"Open"),HYPERLINK("#Technical!A1","Open"))</f>
        <v/>
      </c>
    </row>
    <row r="416" ht="30" customHeight="1">
      <c r="A416" s="33" t="inlineStr">
        <is>
          <t>https://africanmarketingconfederation.org/amc-conference-2022/</t>
        </is>
      </c>
      <c r="B416" s="24" t="inlineStr">
        <is>
          <t>Content</t>
        </is>
      </c>
      <c r="C416" s="29" t="inlineStr">
        <is>
          <t>Info</t>
        </is>
      </c>
      <c r="D416" s="24" t="inlineStr">
        <is>
          <t>No concise answer paragraph (40-60 words)</t>
        </is>
      </c>
      <c r="E416" s="24" t="n">
        <v>37</v>
      </c>
      <c r="F416" s="24" t="n">
        <v>0</v>
      </c>
      <c r="G416" s="24" t="inlineStr">
        <is>
          <t>&gt;=1 concise answer block</t>
        </is>
      </c>
      <c r="H416" s="24" t="inlineStr">
        <is>
          <t>Add a direct 40-60 word answer immediately below key question headings.</t>
        </is>
      </c>
      <c r="I416" s="28" t="inlineStr">
        <is>
          <t>AEO</t>
        </is>
      </c>
      <c r="J416" s="24" t="inlineStr">
        <is>
          <t>Paragraphs 40-60 Words Count</t>
        </is>
      </c>
      <c r="K416" s="24" t="inlineStr">
        <is>
          <t>No</t>
        </is>
      </c>
      <c r="L416" s="24" t="inlineStr">
        <is>
          <t>Copy Writer</t>
        </is>
      </c>
      <c r="M416" s="25" t="inlineStr">
        <is>
          <t>Open</t>
        </is>
      </c>
      <c r="N416" s="24" t="n">
        <v>4</v>
      </c>
      <c r="O416" s="24" t="inlineStr">
        <is>
          <t>https://africanmarketingconfederation.org/amc-conference-2022/::aioseo_no_concise_answer_paragraph_40-60_words_</t>
        </is>
      </c>
      <c r="P416" s="24" t="inlineStr">
        <is>
          <t>Compact answer blocks improve direct-answer extraction chances.</t>
        </is>
      </c>
      <c r="Q416">
        <f>IFERROR(HYPERLINK("#Main!A"&amp;MATCH(A416,Main!A:A,0),"Open"),HYPERLINK("#Main!A1","Open"))</f>
        <v/>
      </c>
      <c r="R416">
        <f>IFERROR(HYPERLINK("#Technical!A"&amp;MATCH(A416,Technical!A:A,0),"Open"),HYPERLINK("#Technical!A1","Open"))</f>
        <v/>
      </c>
    </row>
    <row r="417" ht="30" customHeight="1">
      <c r="A417" s="33" t="inlineStr">
        <is>
          <t>https://africanmarketingconfederation.org/amc-conference-2023/</t>
        </is>
      </c>
      <c r="B417" s="6" t="inlineStr">
        <is>
          <t>Content</t>
        </is>
      </c>
      <c r="C417" s="29" t="inlineStr">
        <is>
          <t>Info</t>
        </is>
      </c>
      <c r="D417" s="6" t="inlineStr">
        <is>
          <t>No concise answer paragraph (40-60 words)</t>
        </is>
      </c>
      <c r="E417" s="6" t="n">
        <v>37</v>
      </c>
      <c r="F417" s="6" t="n">
        <v>0</v>
      </c>
      <c r="G417" s="6" t="inlineStr">
        <is>
          <t>&gt;=1 concise answer block</t>
        </is>
      </c>
      <c r="H417" s="6" t="inlineStr">
        <is>
          <t>Add a direct 40-60 word answer immediately below key question headings.</t>
        </is>
      </c>
      <c r="I417" s="31" t="inlineStr">
        <is>
          <t>AEO</t>
        </is>
      </c>
      <c r="J417" s="6" t="inlineStr">
        <is>
          <t>Paragraphs 40-60 Words Count</t>
        </is>
      </c>
      <c r="K417" s="6" t="inlineStr">
        <is>
          <t>No</t>
        </is>
      </c>
      <c r="L417" s="6" t="inlineStr">
        <is>
          <t>Copy Writer</t>
        </is>
      </c>
      <c r="M417" s="25" t="inlineStr">
        <is>
          <t>Open</t>
        </is>
      </c>
      <c r="N417" s="6" t="n">
        <v>4</v>
      </c>
      <c r="O417" s="6" t="inlineStr">
        <is>
          <t>https://africanmarketingconfederation.org/amc-conference-2023/::aioseo_no_concise_answer_paragraph_40-60_words_</t>
        </is>
      </c>
      <c r="P417" s="6" t="inlineStr">
        <is>
          <t>Compact answer blocks improve direct-answer extraction chances.</t>
        </is>
      </c>
      <c r="Q417">
        <f>IFERROR(HYPERLINK("#Main!A"&amp;MATCH(A417,Main!A:A,0),"Open"),HYPERLINK("#Main!A1","Open"))</f>
        <v/>
      </c>
      <c r="R417">
        <f>IFERROR(HYPERLINK("#Technical!A"&amp;MATCH(A417,Technical!A:A,0),"Open"),HYPERLINK("#Technical!A1","Open"))</f>
        <v/>
      </c>
    </row>
    <row r="418" ht="30" customHeight="1">
      <c r="A418" s="33" t="inlineStr">
        <is>
          <t>https://africanmarketingconfederation.org/amc-conference-2023/amc-awards-book-now/</t>
        </is>
      </c>
      <c r="B418" s="24" t="inlineStr">
        <is>
          <t>Content</t>
        </is>
      </c>
      <c r="C418" s="29" t="inlineStr">
        <is>
          <t>Info</t>
        </is>
      </c>
      <c r="D418" s="24" t="inlineStr">
        <is>
          <t>No concise answer paragraph (40-60 words)</t>
        </is>
      </c>
      <c r="E418" s="24" t="n">
        <v>37</v>
      </c>
      <c r="F418" s="24" t="n">
        <v>0</v>
      </c>
      <c r="G418" s="24" t="inlineStr">
        <is>
          <t>&gt;=1 concise answer block</t>
        </is>
      </c>
      <c r="H418" s="24" t="inlineStr">
        <is>
          <t>Add a direct 40-60 word answer immediately below key question headings.</t>
        </is>
      </c>
      <c r="I418" s="28" t="inlineStr">
        <is>
          <t>AEO</t>
        </is>
      </c>
      <c r="J418" s="24" t="inlineStr">
        <is>
          <t>Paragraphs 40-60 Words Count</t>
        </is>
      </c>
      <c r="K418" s="24" t="inlineStr">
        <is>
          <t>No</t>
        </is>
      </c>
      <c r="L418" s="24" t="inlineStr">
        <is>
          <t>Copy Writer</t>
        </is>
      </c>
      <c r="M418" s="25" t="inlineStr">
        <is>
          <t>Open</t>
        </is>
      </c>
      <c r="N418" s="24" t="n">
        <v>4</v>
      </c>
      <c r="O418" s="24" t="inlineStr">
        <is>
          <t>https://africanmarketingconfederation.org/amc-conference-2023/amc-awards-book-now/::aioseo_no_concise_answer_paragraph_40-60_words_</t>
        </is>
      </c>
      <c r="P418" s="24" t="inlineStr">
        <is>
          <t>Compact answer blocks improve direct-answer extraction chances.</t>
        </is>
      </c>
      <c r="Q418">
        <f>IFERROR(HYPERLINK("#Main!A"&amp;MATCH(A418,Main!A:A,0),"Open"),HYPERLINK("#Main!A1","Open"))</f>
        <v/>
      </c>
      <c r="R418">
        <f>IFERROR(HYPERLINK("#Technical!A"&amp;MATCH(A418,Technical!A:A,0),"Open"),HYPERLINK("#Technical!A1","Open"))</f>
        <v/>
      </c>
    </row>
    <row r="419" ht="30" customHeight="1">
      <c r="A419" s="33" t="inlineStr">
        <is>
          <t>https://africanmarketingconfederation.org/amc-conference-2023/amc-awards/</t>
        </is>
      </c>
      <c r="B419" s="6" t="inlineStr">
        <is>
          <t>Content</t>
        </is>
      </c>
      <c r="C419" s="29" t="inlineStr">
        <is>
          <t>Info</t>
        </is>
      </c>
      <c r="D419" s="6" t="inlineStr">
        <is>
          <t>No concise answer paragraph (40-60 words)</t>
        </is>
      </c>
      <c r="E419" s="6" t="n">
        <v>37</v>
      </c>
      <c r="F419" s="6" t="n">
        <v>0</v>
      </c>
      <c r="G419" s="6" t="inlineStr">
        <is>
          <t>&gt;=1 concise answer block</t>
        </is>
      </c>
      <c r="H419" s="6" t="inlineStr">
        <is>
          <t>Add a direct 40-60 word answer immediately below key question headings.</t>
        </is>
      </c>
      <c r="I419" s="31" t="inlineStr">
        <is>
          <t>AEO</t>
        </is>
      </c>
      <c r="J419" s="6" t="inlineStr">
        <is>
          <t>Paragraphs 40-60 Words Count</t>
        </is>
      </c>
      <c r="K419" s="6" t="inlineStr">
        <is>
          <t>No</t>
        </is>
      </c>
      <c r="L419" s="6" t="inlineStr">
        <is>
          <t>Copy Writer</t>
        </is>
      </c>
      <c r="M419" s="25" t="inlineStr">
        <is>
          <t>Open</t>
        </is>
      </c>
      <c r="N419" s="6" t="n">
        <v>4</v>
      </c>
      <c r="O419" s="6" t="inlineStr">
        <is>
          <t>https://africanmarketingconfederation.org/amc-conference-2023/amc-awards/::aioseo_no_concise_answer_paragraph_40-60_words_</t>
        </is>
      </c>
      <c r="P419" s="6" t="inlineStr">
        <is>
          <t>Compact answer blocks improve direct-answer extraction chances.</t>
        </is>
      </c>
      <c r="Q419">
        <f>IFERROR(HYPERLINK("#Main!A"&amp;MATCH(A419,Main!A:A,0),"Open"),HYPERLINK("#Main!A1","Open"))</f>
        <v/>
      </c>
      <c r="R419">
        <f>IFERROR(HYPERLINK("#Technical!A"&amp;MATCH(A419,Technical!A:A,0),"Open"),HYPERLINK("#Technical!A1","Open"))</f>
        <v/>
      </c>
    </row>
    <row r="420" ht="30" customHeight="1">
      <c r="A420" s="33" t="inlineStr">
        <is>
          <t>https://africanmarketingconfederation.org/amc-conference-2023/book-now-thank-you/</t>
        </is>
      </c>
      <c r="B420" s="24" t="inlineStr">
        <is>
          <t>Content</t>
        </is>
      </c>
      <c r="C420" s="29" t="inlineStr">
        <is>
          <t>Info</t>
        </is>
      </c>
      <c r="D420" s="24" t="inlineStr">
        <is>
          <t>No concise answer paragraph (40-60 words)</t>
        </is>
      </c>
      <c r="E420" s="24" t="n">
        <v>37</v>
      </c>
      <c r="F420" s="24" t="n">
        <v>0</v>
      </c>
      <c r="G420" s="24" t="inlineStr">
        <is>
          <t>&gt;=1 concise answer block</t>
        </is>
      </c>
      <c r="H420" s="24" t="inlineStr">
        <is>
          <t>Add a direct 40-60 word answer immediately below key question headings.</t>
        </is>
      </c>
      <c r="I420" s="28" t="inlineStr">
        <is>
          <t>AEO</t>
        </is>
      </c>
      <c r="J420" s="24" t="inlineStr">
        <is>
          <t>Paragraphs 40-60 Words Count</t>
        </is>
      </c>
      <c r="K420" s="24" t="inlineStr">
        <is>
          <t>No</t>
        </is>
      </c>
      <c r="L420" s="24" t="inlineStr">
        <is>
          <t>Copy Writer</t>
        </is>
      </c>
      <c r="M420" s="25" t="inlineStr">
        <is>
          <t>Open</t>
        </is>
      </c>
      <c r="N420" s="24" t="n">
        <v>4</v>
      </c>
      <c r="O420" s="24" t="inlineStr">
        <is>
          <t>https://africanmarketingconfederation.org/amc-conference-2023/book-now-thank-you/::aioseo_no_concise_answer_paragraph_40-60_words_</t>
        </is>
      </c>
      <c r="P420" s="24" t="inlineStr">
        <is>
          <t>Compact answer blocks improve direct-answer extraction chances.</t>
        </is>
      </c>
      <c r="Q420">
        <f>IFERROR(HYPERLINK("#Main!A"&amp;MATCH(A420,Main!A:A,0),"Open"),HYPERLINK("#Main!A1","Open"))</f>
        <v/>
      </c>
      <c r="R420">
        <f>IFERROR(HYPERLINK("#Technical!A"&amp;MATCH(A420,Technical!A:A,0),"Open"),HYPERLINK("#Technical!A1","Open"))</f>
        <v/>
      </c>
    </row>
    <row r="421" ht="30" customHeight="1">
      <c r="A421" s="33" t="inlineStr">
        <is>
          <t>https://africanmarketingconfederation.org/amc-conference-2023/book-now/</t>
        </is>
      </c>
      <c r="B421" s="6" t="inlineStr">
        <is>
          <t>Content</t>
        </is>
      </c>
      <c r="C421" s="29" t="inlineStr">
        <is>
          <t>Info</t>
        </is>
      </c>
      <c r="D421" s="6" t="inlineStr">
        <is>
          <t>No concise answer paragraph (40-60 words)</t>
        </is>
      </c>
      <c r="E421" s="6" t="n">
        <v>37</v>
      </c>
      <c r="F421" s="6" t="n">
        <v>0</v>
      </c>
      <c r="G421" s="6" t="inlineStr">
        <is>
          <t>&gt;=1 concise answer block</t>
        </is>
      </c>
      <c r="H421" s="6" t="inlineStr">
        <is>
          <t>Add a direct 40-60 word answer immediately below key question headings.</t>
        </is>
      </c>
      <c r="I421" s="31" t="inlineStr">
        <is>
          <t>AEO</t>
        </is>
      </c>
      <c r="J421" s="6" t="inlineStr">
        <is>
          <t>Paragraphs 40-60 Words Count</t>
        </is>
      </c>
      <c r="K421" s="6" t="inlineStr">
        <is>
          <t>No</t>
        </is>
      </c>
      <c r="L421" s="6" t="inlineStr">
        <is>
          <t>Copy Writer</t>
        </is>
      </c>
      <c r="M421" s="25" t="inlineStr">
        <is>
          <t>Open</t>
        </is>
      </c>
      <c r="N421" s="6" t="n">
        <v>4</v>
      </c>
      <c r="O421" s="6" t="inlineStr">
        <is>
          <t>https://africanmarketingconfederation.org/amc-conference-2023/book-now/::aioseo_no_concise_answer_paragraph_40-60_words_</t>
        </is>
      </c>
      <c r="P421" s="6" t="inlineStr">
        <is>
          <t>Compact answer blocks improve direct-answer extraction chances.</t>
        </is>
      </c>
      <c r="Q421">
        <f>IFERROR(HYPERLINK("#Main!A"&amp;MATCH(A421,Main!A:A,0),"Open"),HYPERLINK("#Main!A1","Open"))</f>
        <v/>
      </c>
      <c r="R421">
        <f>IFERROR(HYPERLINK("#Technical!A"&amp;MATCH(A421,Technical!A:A,0),"Open"),HYPERLINK("#Technical!A1","Open"))</f>
        <v/>
      </c>
    </row>
    <row r="422" ht="30" customHeight="1">
      <c r="A422" s="33" t="inlineStr">
        <is>
          <t>https://africanmarketingconfederation.org/amc-conference-2023/download-prospectus/</t>
        </is>
      </c>
      <c r="B422" s="24" t="inlineStr">
        <is>
          <t>Content</t>
        </is>
      </c>
      <c r="C422" s="29" t="inlineStr">
        <is>
          <t>Info</t>
        </is>
      </c>
      <c r="D422" s="24" t="inlineStr">
        <is>
          <t>No concise answer paragraph (40-60 words)</t>
        </is>
      </c>
      <c r="E422" s="24" t="n">
        <v>37</v>
      </c>
      <c r="F422" s="24" t="n">
        <v>0</v>
      </c>
      <c r="G422" s="24" t="inlineStr">
        <is>
          <t>&gt;=1 concise answer block</t>
        </is>
      </c>
      <c r="H422" s="24" t="inlineStr">
        <is>
          <t>Add a direct 40-60 word answer immediately below key question headings.</t>
        </is>
      </c>
      <c r="I422" s="28" t="inlineStr">
        <is>
          <t>AEO</t>
        </is>
      </c>
      <c r="J422" s="24" t="inlineStr">
        <is>
          <t>Paragraphs 40-60 Words Count</t>
        </is>
      </c>
      <c r="K422" s="24" t="inlineStr">
        <is>
          <t>No</t>
        </is>
      </c>
      <c r="L422" s="24" t="inlineStr">
        <is>
          <t>Copy Writer</t>
        </is>
      </c>
      <c r="M422" s="25" t="inlineStr">
        <is>
          <t>Open</t>
        </is>
      </c>
      <c r="N422" s="24" t="n">
        <v>4</v>
      </c>
      <c r="O422" s="24" t="inlineStr">
        <is>
          <t>https://africanmarketingconfederation.org/amc-conference-2023/download-prospectus/::aioseo_no_concise_answer_paragraph_40-60_words_</t>
        </is>
      </c>
      <c r="P422" s="24" t="inlineStr">
        <is>
          <t>Compact answer blocks improve direct-answer extraction chances.</t>
        </is>
      </c>
      <c r="Q422">
        <f>IFERROR(HYPERLINK("#Main!A"&amp;MATCH(A422,Main!A:A,0),"Open"),HYPERLINK("#Main!A1","Open"))</f>
        <v/>
      </c>
      <c r="R422">
        <f>IFERROR(HYPERLINK("#Technical!A"&amp;MATCH(A422,Technical!A:A,0),"Open"),HYPERLINK("#Technical!A1","Open"))</f>
        <v/>
      </c>
    </row>
    <row r="423" ht="30" customHeight="1">
      <c r="A423" s="33" t="inlineStr">
        <is>
          <t>https://africanmarketingconfederation.org/amc-conference-2023/gallery/</t>
        </is>
      </c>
      <c r="B423" s="6" t="inlineStr">
        <is>
          <t>Content</t>
        </is>
      </c>
      <c r="C423" s="29" t="inlineStr">
        <is>
          <t>Info</t>
        </is>
      </c>
      <c r="D423" s="6" t="inlineStr">
        <is>
          <t>No concise answer paragraph (40-60 words)</t>
        </is>
      </c>
      <c r="E423" s="6" t="n">
        <v>37</v>
      </c>
      <c r="F423" s="6" t="n">
        <v>0</v>
      </c>
      <c r="G423" s="6" t="inlineStr">
        <is>
          <t>&gt;=1 concise answer block</t>
        </is>
      </c>
      <c r="H423" s="6" t="inlineStr">
        <is>
          <t>Add a direct 40-60 word answer immediately below key question headings.</t>
        </is>
      </c>
      <c r="I423" s="31" t="inlineStr">
        <is>
          <t>AEO</t>
        </is>
      </c>
      <c r="J423" s="6" t="inlineStr">
        <is>
          <t>Paragraphs 40-60 Words Count</t>
        </is>
      </c>
      <c r="K423" s="6" t="inlineStr">
        <is>
          <t>No</t>
        </is>
      </c>
      <c r="L423" s="6" t="inlineStr">
        <is>
          <t>Copy Writer</t>
        </is>
      </c>
      <c r="M423" s="25" t="inlineStr">
        <is>
          <t>Open</t>
        </is>
      </c>
      <c r="N423" s="6" t="n">
        <v>4</v>
      </c>
      <c r="O423" s="6" t="inlineStr">
        <is>
          <t>https://africanmarketingconfederation.org/amc-conference-2023/gallery/::aioseo_no_concise_answer_paragraph_40-60_words_</t>
        </is>
      </c>
      <c r="P423" s="6" t="inlineStr">
        <is>
          <t>Compact answer blocks improve direct-answer extraction chances.</t>
        </is>
      </c>
      <c r="Q423">
        <f>IFERROR(HYPERLINK("#Main!A"&amp;MATCH(A423,Main!A:A,0),"Open"),HYPERLINK("#Main!A1","Open"))</f>
        <v/>
      </c>
      <c r="R423">
        <f>IFERROR(HYPERLINK("#Technical!A"&amp;MATCH(A423,Technical!A:A,0),"Open"),HYPERLINK("#Technical!A1","Open"))</f>
        <v/>
      </c>
    </row>
    <row r="424" ht="30" customHeight="1">
      <c r="A424" s="33" t="inlineStr">
        <is>
          <t>https://africanmarketingconfederation.org/amc-conference-2023/partners/</t>
        </is>
      </c>
      <c r="B424" s="24" t="inlineStr">
        <is>
          <t>Content</t>
        </is>
      </c>
      <c r="C424" s="29" t="inlineStr">
        <is>
          <t>Info</t>
        </is>
      </c>
      <c r="D424" s="24" t="inlineStr">
        <is>
          <t>No concise answer paragraph (40-60 words)</t>
        </is>
      </c>
      <c r="E424" s="24" t="n">
        <v>37</v>
      </c>
      <c r="F424" s="24" t="n">
        <v>0</v>
      </c>
      <c r="G424" s="24" t="inlineStr">
        <is>
          <t>&gt;=1 concise answer block</t>
        </is>
      </c>
      <c r="H424" s="24" t="inlineStr">
        <is>
          <t>Add a direct 40-60 word answer immediately below key question headings.</t>
        </is>
      </c>
      <c r="I424" s="28" t="inlineStr">
        <is>
          <t>AEO</t>
        </is>
      </c>
      <c r="J424" s="24" t="inlineStr">
        <is>
          <t>Paragraphs 40-60 Words Count</t>
        </is>
      </c>
      <c r="K424" s="24" t="inlineStr">
        <is>
          <t>No</t>
        </is>
      </c>
      <c r="L424" s="24" t="inlineStr">
        <is>
          <t>Copy Writer</t>
        </is>
      </c>
      <c r="M424" s="25" t="inlineStr">
        <is>
          <t>Open</t>
        </is>
      </c>
      <c r="N424" s="24" t="n">
        <v>4</v>
      </c>
      <c r="O424" s="24" t="inlineStr">
        <is>
          <t>https://africanmarketingconfederation.org/amc-conference-2023/partners/::aioseo_no_concise_answer_paragraph_40-60_words_</t>
        </is>
      </c>
      <c r="P424" s="24" t="inlineStr">
        <is>
          <t>Compact answer blocks improve direct-answer extraction chances.</t>
        </is>
      </c>
      <c r="Q424">
        <f>IFERROR(HYPERLINK("#Main!A"&amp;MATCH(A424,Main!A:A,0),"Open"),HYPERLINK("#Main!A1","Open"))</f>
        <v/>
      </c>
      <c r="R424">
        <f>IFERROR(HYPERLINK("#Technical!A"&amp;MATCH(A424,Technical!A:A,0),"Open"),HYPERLINK("#Technical!A1","Open"))</f>
        <v/>
      </c>
    </row>
    <row r="425" ht="30" customHeight="1">
      <c r="A425" s="33" t="inlineStr">
        <is>
          <t>https://africanmarketingconfederation.org/amc-conference-2023/programme/</t>
        </is>
      </c>
      <c r="B425" s="6" t="inlineStr">
        <is>
          <t>Content</t>
        </is>
      </c>
      <c r="C425" s="29" t="inlineStr">
        <is>
          <t>Info</t>
        </is>
      </c>
      <c r="D425" s="6" t="inlineStr">
        <is>
          <t>No concise answer paragraph (40-60 words)</t>
        </is>
      </c>
      <c r="E425" s="6" t="n">
        <v>37</v>
      </c>
      <c r="F425" s="6" t="n">
        <v>0</v>
      </c>
      <c r="G425" s="6" t="inlineStr">
        <is>
          <t>&gt;=1 concise answer block</t>
        </is>
      </c>
      <c r="H425" s="6" t="inlineStr">
        <is>
          <t>Add a direct 40-60 word answer immediately below key question headings.</t>
        </is>
      </c>
      <c r="I425" s="31" t="inlineStr">
        <is>
          <t>AEO</t>
        </is>
      </c>
      <c r="J425" s="6" t="inlineStr">
        <is>
          <t>Paragraphs 40-60 Words Count</t>
        </is>
      </c>
      <c r="K425" s="6" t="inlineStr">
        <is>
          <t>No</t>
        </is>
      </c>
      <c r="L425" s="6" t="inlineStr">
        <is>
          <t>Copy Writer</t>
        </is>
      </c>
      <c r="M425" s="25" t="inlineStr">
        <is>
          <t>Open</t>
        </is>
      </c>
      <c r="N425" s="6" t="n">
        <v>4</v>
      </c>
      <c r="O425" s="6" t="inlineStr">
        <is>
          <t>https://africanmarketingconfederation.org/amc-conference-2023/programme/::aioseo_no_concise_answer_paragraph_40-60_words_</t>
        </is>
      </c>
      <c r="P425" s="6" t="inlineStr">
        <is>
          <t>Compact answer blocks improve direct-answer extraction chances.</t>
        </is>
      </c>
      <c r="Q425">
        <f>IFERROR(HYPERLINK("#Main!A"&amp;MATCH(A425,Main!A:A,0),"Open"),HYPERLINK("#Main!A1","Open"))</f>
        <v/>
      </c>
      <c r="R425">
        <f>IFERROR(HYPERLINK("#Technical!A"&amp;MATCH(A425,Technical!A:A,0),"Open"),HYPERLINK("#Technical!A1","Open"))</f>
        <v/>
      </c>
    </row>
    <row r="426" ht="30" customHeight="1">
      <c r="A426" s="33" t="inlineStr">
        <is>
          <t>https://africanmarketingconfederation.org/amc-conference-2023/speakers/</t>
        </is>
      </c>
      <c r="B426" s="24" t="inlineStr">
        <is>
          <t>Content</t>
        </is>
      </c>
      <c r="C426" s="29" t="inlineStr">
        <is>
          <t>Info</t>
        </is>
      </c>
      <c r="D426" s="24" t="inlineStr">
        <is>
          <t>No concise answer paragraph (40-60 words)</t>
        </is>
      </c>
      <c r="E426" s="24" t="n">
        <v>37</v>
      </c>
      <c r="F426" s="24" t="n">
        <v>0</v>
      </c>
      <c r="G426" s="24" t="inlineStr">
        <is>
          <t>&gt;=1 concise answer block</t>
        </is>
      </c>
      <c r="H426" s="24" t="inlineStr">
        <is>
          <t>Add a direct 40-60 word answer immediately below key question headings.</t>
        </is>
      </c>
      <c r="I426" s="28" t="inlineStr">
        <is>
          <t>AEO</t>
        </is>
      </c>
      <c r="J426" s="24" t="inlineStr">
        <is>
          <t>Paragraphs 40-60 Words Count</t>
        </is>
      </c>
      <c r="K426" s="24" t="inlineStr">
        <is>
          <t>No</t>
        </is>
      </c>
      <c r="L426" s="24" t="inlineStr">
        <is>
          <t>Copy Writer</t>
        </is>
      </c>
      <c r="M426" s="25" t="inlineStr">
        <is>
          <t>Open</t>
        </is>
      </c>
      <c r="N426" s="24" t="n">
        <v>4</v>
      </c>
      <c r="O426" s="24" t="inlineStr">
        <is>
          <t>https://africanmarketingconfederation.org/amc-conference-2023/speakers/::aioseo_no_concise_answer_paragraph_40-60_words_</t>
        </is>
      </c>
      <c r="P426" s="24" t="inlineStr">
        <is>
          <t>Compact answer blocks improve direct-answer extraction chances.</t>
        </is>
      </c>
      <c r="Q426">
        <f>IFERROR(HYPERLINK("#Main!A"&amp;MATCH(A426,Main!A:A,0),"Open"),HYPERLINK("#Main!A1","Open"))</f>
        <v/>
      </c>
      <c r="R426">
        <f>IFERROR(HYPERLINK("#Technical!A"&amp;MATCH(A426,Technical!A:A,0),"Open"),HYPERLINK("#Technical!A1","Open"))</f>
        <v/>
      </c>
    </row>
    <row r="427" ht="30" customHeight="1">
      <c r="A427" s="33" t="inlineStr">
        <is>
          <t>https://africanmarketingconfederation.org/amc-conference-2024-recap/</t>
        </is>
      </c>
      <c r="B427" s="6" t="inlineStr">
        <is>
          <t>Content</t>
        </is>
      </c>
      <c r="C427" s="29" t="inlineStr">
        <is>
          <t>Info</t>
        </is>
      </c>
      <c r="D427" s="6" t="inlineStr">
        <is>
          <t>No concise answer paragraph (40-60 words)</t>
        </is>
      </c>
      <c r="E427" s="6" t="n">
        <v>37</v>
      </c>
      <c r="F427" s="6" t="n">
        <v>0</v>
      </c>
      <c r="G427" s="6" t="inlineStr">
        <is>
          <t>&gt;=1 concise answer block</t>
        </is>
      </c>
      <c r="H427" s="6" t="inlineStr">
        <is>
          <t>Add a direct 40-60 word answer immediately below key question headings.</t>
        </is>
      </c>
      <c r="I427" s="31" t="inlineStr">
        <is>
          <t>AEO</t>
        </is>
      </c>
      <c r="J427" s="6" t="inlineStr">
        <is>
          <t>Paragraphs 40-60 Words Count</t>
        </is>
      </c>
      <c r="K427" s="6" t="inlineStr">
        <is>
          <t>No</t>
        </is>
      </c>
      <c r="L427" s="6" t="inlineStr">
        <is>
          <t>Copy Writer</t>
        </is>
      </c>
      <c r="M427" s="25" t="inlineStr">
        <is>
          <t>Open</t>
        </is>
      </c>
      <c r="N427" s="6" t="n">
        <v>4</v>
      </c>
      <c r="O427" s="6" t="inlineStr">
        <is>
          <t>https://africanmarketingconfederation.org/amc-conference-2024-recap/::aioseo_no_concise_answer_paragraph_40-60_words_</t>
        </is>
      </c>
      <c r="P427" s="6" t="inlineStr">
        <is>
          <t>Compact answer blocks improve direct-answer extraction chances.</t>
        </is>
      </c>
      <c r="Q427">
        <f>IFERROR(HYPERLINK("#Main!A"&amp;MATCH(A427,Main!A:A,0),"Open"),HYPERLINK("#Main!A1","Open"))</f>
        <v/>
      </c>
      <c r="R427">
        <f>IFERROR(HYPERLINK("#Technical!A"&amp;MATCH(A427,Technical!A:A,0),"Open"),HYPERLINK("#Technical!A1","Open"))</f>
        <v/>
      </c>
    </row>
    <row r="428" ht="30" customHeight="1">
      <c r="A428" s="33" t="inlineStr">
        <is>
          <t>https://africanmarketingconfederation.org/amc-conference-2024-sponsors-packages/</t>
        </is>
      </c>
      <c r="B428" s="24" t="inlineStr">
        <is>
          <t>Content</t>
        </is>
      </c>
      <c r="C428" s="29" t="inlineStr">
        <is>
          <t>Info</t>
        </is>
      </c>
      <c r="D428" s="24" t="inlineStr">
        <is>
          <t>No concise answer paragraph (40-60 words)</t>
        </is>
      </c>
      <c r="E428" s="24" t="n">
        <v>37</v>
      </c>
      <c r="F428" s="24" t="n">
        <v>0</v>
      </c>
      <c r="G428" s="24" t="inlineStr">
        <is>
          <t>&gt;=1 concise answer block</t>
        </is>
      </c>
      <c r="H428" s="24" t="inlineStr">
        <is>
          <t>Add a direct 40-60 word answer immediately below key question headings.</t>
        </is>
      </c>
      <c r="I428" s="28" t="inlineStr">
        <is>
          <t>AEO</t>
        </is>
      </c>
      <c r="J428" s="24" t="inlineStr">
        <is>
          <t>Paragraphs 40-60 Words Count</t>
        </is>
      </c>
      <c r="K428" s="24" t="inlineStr">
        <is>
          <t>No</t>
        </is>
      </c>
      <c r="L428" s="24" t="inlineStr">
        <is>
          <t>Copy Writer</t>
        </is>
      </c>
      <c r="M428" s="25" t="inlineStr">
        <is>
          <t>Open</t>
        </is>
      </c>
      <c r="N428" s="24" t="n">
        <v>4</v>
      </c>
      <c r="O428" s="24" t="inlineStr">
        <is>
          <t>https://africanmarketingconfederation.org/amc-conference-2024-sponsors-packages/::aioseo_no_concise_answer_paragraph_40-60_words_</t>
        </is>
      </c>
      <c r="P428" s="24" t="inlineStr">
        <is>
          <t>Compact answer blocks improve direct-answer extraction chances.</t>
        </is>
      </c>
      <c r="Q428">
        <f>IFERROR(HYPERLINK("#Main!A"&amp;MATCH(A428,Main!A:A,0),"Open"),HYPERLINK("#Main!A1","Open"))</f>
        <v/>
      </c>
      <c r="R428">
        <f>IFERROR(HYPERLINK("#Technical!A"&amp;MATCH(A428,Technical!A:A,0),"Open"),HYPERLINK("#Technical!A1","Open"))</f>
        <v/>
      </c>
    </row>
    <row r="429" ht="30" customHeight="1">
      <c r="A429" s="33" t="inlineStr">
        <is>
          <t>https://africanmarketingconfederation.org/amc-conference-2025-highlights/</t>
        </is>
      </c>
      <c r="B429" s="6" t="inlineStr">
        <is>
          <t>Content</t>
        </is>
      </c>
      <c r="C429" s="29" t="inlineStr">
        <is>
          <t>Info</t>
        </is>
      </c>
      <c r="D429" s="6" t="inlineStr">
        <is>
          <t>No concise answer paragraph (40-60 words)</t>
        </is>
      </c>
      <c r="E429" s="6" t="n">
        <v>37</v>
      </c>
      <c r="F429" s="6" t="n">
        <v>0</v>
      </c>
      <c r="G429" s="6" t="inlineStr">
        <is>
          <t>&gt;=1 concise answer block</t>
        </is>
      </c>
      <c r="H429" s="6" t="inlineStr">
        <is>
          <t>Add a direct 40-60 word answer immediately below key question headings.</t>
        </is>
      </c>
      <c r="I429" s="31" t="inlineStr">
        <is>
          <t>AEO</t>
        </is>
      </c>
      <c r="J429" s="6" t="inlineStr">
        <is>
          <t>Paragraphs 40-60 Words Count</t>
        </is>
      </c>
      <c r="K429" s="6" t="inlineStr">
        <is>
          <t>No</t>
        </is>
      </c>
      <c r="L429" s="6" t="inlineStr">
        <is>
          <t>Copy Writer</t>
        </is>
      </c>
      <c r="M429" s="25" t="inlineStr">
        <is>
          <t>Open</t>
        </is>
      </c>
      <c r="N429" s="6" t="n">
        <v>4</v>
      </c>
      <c r="O429" s="6" t="inlineStr">
        <is>
          <t>https://africanmarketingconfederation.org/amc-conference-2025-highlights/::aioseo_no_concise_answer_paragraph_40-60_words_</t>
        </is>
      </c>
      <c r="P429" s="6" t="inlineStr">
        <is>
          <t>Compact answer blocks improve direct-answer extraction chances.</t>
        </is>
      </c>
      <c r="Q429">
        <f>IFERROR(HYPERLINK("#Main!A"&amp;MATCH(A429,Main!A:A,0),"Open"),HYPERLINK("#Main!A1","Open"))</f>
        <v/>
      </c>
      <c r="R429">
        <f>IFERROR(HYPERLINK("#Technical!A"&amp;MATCH(A429,Technical!A:A,0),"Open"),HYPERLINK("#Technical!A1","Open"))</f>
        <v/>
      </c>
    </row>
    <row r="430" ht="30" customHeight="1">
      <c r="A430" s="33" t="inlineStr">
        <is>
          <t>https://africanmarketingconfederation.org/amc-conference-2025/</t>
        </is>
      </c>
      <c r="B430" s="24" t="inlineStr">
        <is>
          <t>Content</t>
        </is>
      </c>
      <c r="C430" s="29" t="inlineStr">
        <is>
          <t>Info</t>
        </is>
      </c>
      <c r="D430" s="24" t="inlineStr">
        <is>
          <t>No concise answer paragraph (40-60 words)</t>
        </is>
      </c>
      <c r="E430" s="24" t="n">
        <v>37</v>
      </c>
      <c r="F430" s="24" t="n">
        <v>0</v>
      </c>
      <c r="G430" s="24" t="inlineStr">
        <is>
          <t>&gt;=1 concise answer block</t>
        </is>
      </c>
      <c r="H430" s="24" t="inlineStr">
        <is>
          <t>Add a direct 40-60 word answer immediately below key question headings.</t>
        </is>
      </c>
      <c r="I430" s="28" t="inlineStr">
        <is>
          <t>AEO</t>
        </is>
      </c>
      <c r="J430" s="24" t="inlineStr">
        <is>
          <t>Paragraphs 40-60 Words Count</t>
        </is>
      </c>
      <c r="K430" s="24" t="inlineStr">
        <is>
          <t>No</t>
        </is>
      </c>
      <c r="L430" s="24" t="inlineStr">
        <is>
          <t>Copy Writer</t>
        </is>
      </c>
      <c r="M430" s="25" t="inlineStr">
        <is>
          <t>Open</t>
        </is>
      </c>
      <c r="N430" s="24" t="n">
        <v>4</v>
      </c>
      <c r="O430" s="24" t="inlineStr">
        <is>
          <t>https://africanmarketingconfederation.org/amc-conference-2025/::aioseo_no_concise_answer_paragraph_40-60_words_</t>
        </is>
      </c>
      <c r="P430" s="24" t="inlineStr">
        <is>
          <t>Compact answer blocks improve direct-answer extraction chances.</t>
        </is>
      </c>
      <c r="Q430">
        <f>IFERROR(HYPERLINK("#Main!A"&amp;MATCH(A430,Main!A:A,0),"Open"),HYPERLINK("#Main!A1","Open"))</f>
        <v/>
      </c>
      <c r="R430">
        <f>IFERROR(HYPERLINK("#Technical!A"&amp;MATCH(A430,Technical!A:A,0),"Open"),HYPERLINK("#Technical!A1","Open"))</f>
        <v/>
      </c>
    </row>
    <row r="431" ht="30" customHeight="1">
      <c r="A431" s="33" t="inlineStr">
        <is>
          <t>https://africanmarketingconfederation.org/amc-conference-2026-awards-nominations-thank-you/</t>
        </is>
      </c>
      <c r="B431" s="6" t="inlineStr">
        <is>
          <t>Content</t>
        </is>
      </c>
      <c r="C431" s="29" t="inlineStr">
        <is>
          <t>Info</t>
        </is>
      </c>
      <c r="D431" s="6" t="inlineStr">
        <is>
          <t>No concise answer paragraph (40-60 words)</t>
        </is>
      </c>
      <c r="E431" s="6" t="n">
        <v>37</v>
      </c>
      <c r="F431" s="6" t="n">
        <v>0</v>
      </c>
      <c r="G431" s="6" t="inlineStr">
        <is>
          <t>&gt;=1 concise answer block</t>
        </is>
      </c>
      <c r="H431" s="6" t="inlineStr">
        <is>
          <t>Add a direct 40-60 word answer immediately below key question headings.</t>
        </is>
      </c>
      <c r="I431" s="31" t="inlineStr">
        <is>
          <t>AEO</t>
        </is>
      </c>
      <c r="J431" s="6" t="inlineStr">
        <is>
          <t>Paragraphs 40-60 Words Count</t>
        </is>
      </c>
      <c r="K431" s="6" t="inlineStr">
        <is>
          <t>No</t>
        </is>
      </c>
      <c r="L431" s="6" t="inlineStr">
        <is>
          <t>Copy Writer</t>
        </is>
      </c>
      <c r="M431" s="25" t="inlineStr">
        <is>
          <t>Open</t>
        </is>
      </c>
      <c r="N431" s="6" t="n">
        <v>4</v>
      </c>
      <c r="O431" s="6" t="inlineStr">
        <is>
          <t>https://africanmarketingconfederation.org/amc-conference-2026-awards-nominations-thank-you/::aioseo_no_concise_answer_paragraph_40-60_words_</t>
        </is>
      </c>
      <c r="P431" s="6" t="inlineStr">
        <is>
          <t>Compact answer blocks improve direct-answer extraction chances.</t>
        </is>
      </c>
      <c r="Q431">
        <f>IFERROR(HYPERLINK("#Main!A"&amp;MATCH(A431,Main!A:A,0),"Open"),HYPERLINK("#Main!A1","Open"))</f>
        <v/>
      </c>
      <c r="R431">
        <f>IFERROR(HYPERLINK("#Technical!A"&amp;MATCH(A431,Technical!A:A,0),"Open"),HYPERLINK("#Technical!A1","Open"))</f>
        <v/>
      </c>
    </row>
    <row r="432" ht="30" customHeight="1">
      <c r="A432" s="33" t="inlineStr">
        <is>
          <t>https://africanmarketingconfederation.org/amc-conference-2026-zambia-thank-you/</t>
        </is>
      </c>
      <c r="B432" s="24" t="inlineStr">
        <is>
          <t>Content</t>
        </is>
      </c>
      <c r="C432" s="29" t="inlineStr">
        <is>
          <t>Info</t>
        </is>
      </c>
      <c r="D432" s="24" t="inlineStr">
        <is>
          <t>No concise answer paragraph (40-60 words)</t>
        </is>
      </c>
      <c r="E432" s="24" t="n">
        <v>37</v>
      </c>
      <c r="F432" s="24" t="n">
        <v>0</v>
      </c>
      <c r="G432" s="24" t="inlineStr">
        <is>
          <t>&gt;=1 concise answer block</t>
        </is>
      </c>
      <c r="H432" s="24" t="inlineStr">
        <is>
          <t>Add a direct 40-60 word answer immediately below key question headings.</t>
        </is>
      </c>
      <c r="I432" s="28" t="inlineStr">
        <is>
          <t>AEO</t>
        </is>
      </c>
      <c r="J432" s="24" t="inlineStr">
        <is>
          <t>Paragraphs 40-60 Words Count</t>
        </is>
      </c>
      <c r="K432" s="24" t="inlineStr">
        <is>
          <t>No</t>
        </is>
      </c>
      <c r="L432" s="24" t="inlineStr">
        <is>
          <t>Copy Writer</t>
        </is>
      </c>
      <c r="M432" s="25" t="inlineStr">
        <is>
          <t>Open</t>
        </is>
      </c>
      <c r="N432" s="24" t="n">
        <v>4</v>
      </c>
      <c r="O432" s="24" t="inlineStr">
        <is>
          <t>https://africanmarketingconfederation.org/amc-conference-2026-zambia-thank-you/::aioseo_no_concise_answer_paragraph_40-60_words_</t>
        </is>
      </c>
      <c r="P432" s="24" t="inlineStr">
        <is>
          <t>Compact answer blocks improve direct-answer extraction chances.</t>
        </is>
      </c>
      <c r="Q432">
        <f>IFERROR(HYPERLINK("#Main!A"&amp;MATCH(A432,Main!A:A,0),"Open"),HYPERLINK("#Main!A1","Open"))</f>
        <v/>
      </c>
      <c r="R432">
        <f>IFERROR(HYPERLINK("#Technical!A"&amp;MATCH(A432,Technical!A:A,0),"Open"),HYPERLINK("#Technical!A1","Open"))</f>
        <v/>
      </c>
    </row>
    <row r="433" ht="30" customHeight="1">
      <c r="A433" s="33" t="inlineStr">
        <is>
          <t>https://africanmarketingconfederation.org/amc-conference-2026/</t>
        </is>
      </c>
      <c r="B433" s="6" t="inlineStr">
        <is>
          <t>Content</t>
        </is>
      </c>
      <c r="C433" s="29" t="inlineStr">
        <is>
          <t>Info</t>
        </is>
      </c>
      <c r="D433" s="6" t="inlineStr">
        <is>
          <t>No concise answer paragraph (40-60 words)</t>
        </is>
      </c>
      <c r="E433" s="6" t="n">
        <v>37</v>
      </c>
      <c r="F433" s="6" t="n">
        <v>0</v>
      </c>
      <c r="G433" s="6" t="inlineStr">
        <is>
          <t>&gt;=1 concise answer block</t>
        </is>
      </c>
      <c r="H433" s="6" t="inlineStr">
        <is>
          <t>Add a direct 40-60 word answer immediately below key question headings.</t>
        </is>
      </c>
      <c r="I433" s="31" t="inlineStr">
        <is>
          <t>AEO</t>
        </is>
      </c>
      <c r="J433" s="6" t="inlineStr">
        <is>
          <t>Paragraphs 40-60 Words Count</t>
        </is>
      </c>
      <c r="K433" s="6" t="inlineStr">
        <is>
          <t>No</t>
        </is>
      </c>
      <c r="L433" s="6" t="inlineStr">
        <is>
          <t>Copy Writer</t>
        </is>
      </c>
      <c r="M433" s="25" t="inlineStr">
        <is>
          <t>Open</t>
        </is>
      </c>
      <c r="N433" s="6" t="n">
        <v>4</v>
      </c>
      <c r="O433" s="6" t="inlineStr">
        <is>
          <t>https://africanmarketingconfederation.org/amc-conference-2026/::aioseo_no_concise_answer_paragraph_40-60_words_</t>
        </is>
      </c>
      <c r="P433" s="6" t="inlineStr">
        <is>
          <t>Compact answer blocks improve direct-answer extraction chances.</t>
        </is>
      </c>
      <c r="Q433">
        <f>IFERROR(HYPERLINK("#Main!A"&amp;MATCH(A433,Main!A:A,0),"Open"),HYPERLINK("#Main!A1","Open"))</f>
        <v/>
      </c>
      <c r="R433">
        <f>IFERROR(HYPERLINK("#Technical!A"&amp;MATCH(A433,Technical!A:A,0),"Open"),HYPERLINK("#Technical!A1","Open"))</f>
        <v/>
      </c>
    </row>
    <row r="434" ht="30" customHeight="1">
      <c r="A434" s="33" t="inlineStr">
        <is>
          <t>https://africanmarketingconfederation.org/amc-conference-programme/</t>
        </is>
      </c>
      <c r="B434" s="24" t="inlineStr">
        <is>
          <t>Content</t>
        </is>
      </c>
      <c r="C434" s="29" t="inlineStr">
        <is>
          <t>Info</t>
        </is>
      </c>
      <c r="D434" s="24" t="inlineStr">
        <is>
          <t>No concise answer paragraph (40-60 words)</t>
        </is>
      </c>
      <c r="E434" s="24" t="n">
        <v>37</v>
      </c>
      <c r="F434" s="24" t="n">
        <v>0</v>
      </c>
      <c r="G434" s="24" t="inlineStr">
        <is>
          <t>&gt;=1 concise answer block</t>
        </is>
      </c>
      <c r="H434" s="24" t="inlineStr">
        <is>
          <t>Add a direct 40-60 word answer immediately below key question headings.</t>
        </is>
      </c>
      <c r="I434" s="28" t="inlineStr">
        <is>
          <t>AEO</t>
        </is>
      </c>
      <c r="J434" s="24" t="inlineStr">
        <is>
          <t>Paragraphs 40-60 Words Count</t>
        </is>
      </c>
      <c r="K434" s="24" t="inlineStr">
        <is>
          <t>No</t>
        </is>
      </c>
      <c r="L434" s="24" t="inlineStr">
        <is>
          <t>Copy Writer</t>
        </is>
      </c>
      <c r="M434" s="25" t="inlineStr">
        <is>
          <t>Open</t>
        </is>
      </c>
      <c r="N434" s="24" t="n">
        <v>4</v>
      </c>
      <c r="O434" s="24" t="inlineStr">
        <is>
          <t>https://africanmarketingconfederation.org/amc-conference-programme/::aioseo_no_concise_answer_paragraph_40-60_words_</t>
        </is>
      </c>
      <c r="P434" s="24" t="inlineStr">
        <is>
          <t>Compact answer blocks improve direct-answer extraction chances.</t>
        </is>
      </c>
      <c r="Q434">
        <f>IFERROR(HYPERLINK("#Main!A"&amp;MATCH(A434,Main!A:A,0),"Open"),HYPERLINK("#Main!A1","Open"))</f>
        <v/>
      </c>
      <c r="R434">
        <f>IFERROR(HYPERLINK("#Technical!A"&amp;MATCH(A434,Technical!A:A,0),"Open"),HYPERLINK("#Technical!A1","Open"))</f>
        <v/>
      </c>
    </row>
    <row r="435" ht="30" customHeight="1">
      <c r="A435" s="33" t="inlineStr">
        <is>
          <t>https://africanmarketingconfederation.org/amc-conference-sponsors/</t>
        </is>
      </c>
      <c r="B435" s="6" t="inlineStr">
        <is>
          <t>Content</t>
        </is>
      </c>
      <c r="C435" s="29" t="inlineStr">
        <is>
          <t>Info</t>
        </is>
      </c>
      <c r="D435" s="6" t="inlineStr">
        <is>
          <t>No concise answer paragraph (40-60 words)</t>
        </is>
      </c>
      <c r="E435" s="6" t="n">
        <v>37</v>
      </c>
      <c r="F435" s="6" t="n">
        <v>0</v>
      </c>
      <c r="G435" s="6" t="inlineStr">
        <is>
          <t>&gt;=1 concise answer block</t>
        </is>
      </c>
      <c r="H435" s="6" t="inlineStr">
        <is>
          <t>Add a direct 40-60 word answer immediately below key question headings.</t>
        </is>
      </c>
      <c r="I435" s="31" t="inlineStr">
        <is>
          <t>AEO</t>
        </is>
      </c>
      <c r="J435" s="6" t="inlineStr">
        <is>
          <t>Paragraphs 40-60 Words Count</t>
        </is>
      </c>
      <c r="K435" s="6" t="inlineStr">
        <is>
          <t>No</t>
        </is>
      </c>
      <c r="L435" s="6" t="inlineStr">
        <is>
          <t>Copy Writer</t>
        </is>
      </c>
      <c r="M435" s="25" t="inlineStr">
        <is>
          <t>Open</t>
        </is>
      </c>
      <c r="N435" s="6" t="n">
        <v>4</v>
      </c>
      <c r="O435" s="6" t="inlineStr">
        <is>
          <t>https://africanmarketingconfederation.org/amc-conference-sponsors/::aioseo_no_concise_answer_paragraph_40-60_words_</t>
        </is>
      </c>
      <c r="P435" s="6" t="inlineStr">
        <is>
          <t>Compact answer blocks improve direct-answer extraction chances.</t>
        </is>
      </c>
      <c r="Q435">
        <f>IFERROR(HYPERLINK("#Main!A"&amp;MATCH(A435,Main!A:A,0),"Open"),HYPERLINK("#Main!A1","Open"))</f>
        <v/>
      </c>
      <c r="R435">
        <f>IFERROR(HYPERLINK("#Technical!A"&amp;MATCH(A435,Technical!A:A,0),"Open"),HYPERLINK("#Technical!A1","Open"))</f>
        <v/>
      </c>
    </row>
    <row r="436" ht="30" customHeight="1">
      <c r="A436" s="33" t="inlineStr">
        <is>
          <t>https://africanmarketingconfederation.org/amc-conference-thank-you/</t>
        </is>
      </c>
      <c r="B436" s="24" t="inlineStr">
        <is>
          <t>Content</t>
        </is>
      </c>
      <c r="C436" s="29" t="inlineStr">
        <is>
          <t>Info</t>
        </is>
      </c>
      <c r="D436" s="24" t="inlineStr">
        <is>
          <t>No concise answer paragraph (40-60 words)</t>
        </is>
      </c>
      <c r="E436" s="24" t="n">
        <v>37</v>
      </c>
      <c r="F436" s="24" t="n">
        <v>0</v>
      </c>
      <c r="G436" s="24" t="inlineStr">
        <is>
          <t>&gt;=1 concise answer block</t>
        </is>
      </c>
      <c r="H436" s="24" t="inlineStr">
        <is>
          <t>Add a direct 40-60 word answer immediately below key question headings.</t>
        </is>
      </c>
      <c r="I436" s="28" t="inlineStr">
        <is>
          <t>AEO</t>
        </is>
      </c>
      <c r="J436" s="24" t="inlineStr">
        <is>
          <t>Paragraphs 40-60 Words Count</t>
        </is>
      </c>
      <c r="K436" s="24" t="inlineStr">
        <is>
          <t>No</t>
        </is>
      </c>
      <c r="L436" s="24" t="inlineStr">
        <is>
          <t>Copy Writer</t>
        </is>
      </c>
      <c r="M436" s="25" t="inlineStr">
        <is>
          <t>Open</t>
        </is>
      </c>
      <c r="N436" s="24" t="n">
        <v>4</v>
      </c>
      <c r="O436" s="24" t="inlineStr">
        <is>
          <t>https://africanmarketingconfederation.org/amc-conference-thank-you/::aioseo_no_concise_answer_paragraph_40-60_words_</t>
        </is>
      </c>
      <c r="P436" s="24" t="inlineStr">
        <is>
          <t>Compact answer blocks improve direct-answer extraction chances.</t>
        </is>
      </c>
      <c r="Q436">
        <f>IFERROR(HYPERLINK("#Main!A"&amp;MATCH(A436,Main!A:A,0),"Open"),HYPERLINK("#Main!A1","Open"))</f>
        <v/>
      </c>
      <c r="R436">
        <f>IFERROR(HYPERLINK("#Technical!A"&amp;MATCH(A436,Technical!A:A,0),"Open"),HYPERLINK("#Technical!A1","Open"))</f>
        <v/>
      </c>
    </row>
    <row r="437" ht="30" customHeight="1">
      <c r="A437" s="33" t="inlineStr">
        <is>
          <t>https://africanmarketingconfederation.org/amc-forum-mombasa/</t>
        </is>
      </c>
      <c r="B437" s="6" t="inlineStr">
        <is>
          <t>Content</t>
        </is>
      </c>
      <c r="C437" s="29" t="inlineStr">
        <is>
          <t>Info</t>
        </is>
      </c>
      <c r="D437" s="6" t="inlineStr">
        <is>
          <t>No concise answer paragraph (40-60 words)</t>
        </is>
      </c>
      <c r="E437" s="6" t="n">
        <v>37</v>
      </c>
      <c r="F437" s="6" t="n">
        <v>0</v>
      </c>
      <c r="G437" s="6" t="inlineStr">
        <is>
          <t>&gt;=1 concise answer block</t>
        </is>
      </c>
      <c r="H437" s="6" t="inlineStr">
        <is>
          <t>Add a direct 40-60 word answer immediately below key question headings.</t>
        </is>
      </c>
      <c r="I437" s="31" t="inlineStr">
        <is>
          <t>AEO</t>
        </is>
      </c>
      <c r="J437" s="6" t="inlineStr">
        <is>
          <t>Paragraphs 40-60 Words Count</t>
        </is>
      </c>
      <c r="K437" s="6" t="inlineStr">
        <is>
          <t>No</t>
        </is>
      </c>
      <c r="L437" s="6" t="inlineStr">
        <is>
          <t>Copy Writer</t>
        </is>
      </c>
      <c r="M437" s="25" t="inlineStr">
        <is>
          <t>Open</t>
        </is>
      </c>
      <c r="N437" s="6" t="n">
        <v>4</v>
      </c>
      <c r="O437" s="6" t="inlineStr">
        <is>
          <t>https://africanmarketingconfederation.org/amc-forum-mombasa/::aioseo_no_concise_answer_paragraph_40-60_words_</t>
        </is>
      </c>
      <c r="P437" s="6" t="inlineStr">
        <is>
          <t>Compact answer blocks improve direct-answer extraction chances.</t>
        </is>
      </c>
      <c r="Q437">
        <f>IFERROR(HYPERLINK("#Main!A"&amp;MATCH(A437,Main!A:A,0),"Open"),HYPERLINK("#Main!A1","Open"))</f>
        <v/>
      </c>
      <c r="R437">
        <f>IFERROR(HYPERLINK("#Technical!A"&amp;MATCH(A437,Technical!A:A,0),"Open"),HYPERLINK("#Technical!A1","Open"))</f>
        <v/>
      </c>
    </row>
    <row r="438" ht="30" customHeight="1">
      <c r="A438" s="33" t="inlineStr">
        <is>
          <t>https://africanmarketingconfederation.org/amc-forum-payments/</t>
        </is>
      </c>
      <c r="B438" s="24" t="inlineStr">
        <is>
          <t>Content</t>
        </is>
      </c>
      <c r="C438" s="29" t="inlineStr">
        <is>
          <t>Info</t>
        </is>
      </c>
      <c r="D438" s="24" t="inlineStr">
        <is>
          <t>No concise answer paragraph (40-60 words)</t>
        </is>
      </c>
      <c r="E438" s="24" t="n">
        <v>37</v>
      </c>
      <c r="F438" s="24" t="n">
        <v>0</v>
      </c>
      <c r="G438" s="24" t="inlineStr">
        <is>
          <t>&gt;=1 concise answer block</t>
        </is>
      </c>
      <c r="H438" s="24" t="inlineStr">
        <is>
          <t>Add a direct 40-60 word answer immediately below key question headings.</t>
        </is>
      </c>
      <c r="I438" s="28" t="inlineStr">
        <is>
          <t>AEO</t>
        </is>
      </c>
      <c r="J438" s="24" t="inlineStr">
        <is>
          <t>Paragraphs 40-60 Words Count</t>
        </is>
      </c>
      <c r="K438" s="24" t="inlineStr">
        <is>
          <t>No</t>
        </is>
      </c>
      <c r="L438" s="24" t="inlineStr">
        <is>
          <t>Copy Writer</t>
        </is>
      </c>
      <c r="M438" s="25" t="inlineStr">
        <is>
          <t>Open</t>
        </is>
      </c>
      <c r="N438" s="24" t="n">
        <v>4</v>
      </c>
      <c r="O438" s="24" t="inlineStr">
        <is>
          <t>https://africanmarketingconfederation.org/amc-forum-payments/::aioseo_no_concise_answer_paragraph_40-60_words_</t>
        </is>
      </c>
      <c r="P438" s="24" t="inlineStr">
        <is>
          <t>Compact answer blocks improve direct-answer extraction chances.</t>
        </is>
      </c>
      <c r="Q438">
        <f>IFERROR(HYPERLINK("#Main!A"&amp;MATCH(A438,Main!A:A,0),"Open"),HYPERLINK("#Main!A1","Open"))</f>
        <v/>
      </c>
      <c r="R438">
        <f>IFERROR(HYPERLINK("#Technical!A"&amp;MATCH(A438,Technical!A:A,0),"Open"),HYPERLINK("#Technical!A1","Open"))</f>
        <v/>
      </c>
    </row>
    <row r="439" ht="30" customHeight="1">
      <c r="A439" s="33" t="inlineStr">
        <is>
          <t>https://africanmarketingconfederation.org/amc-launch-event-zambia-thank-you-2026/</t>
        </is>
      </c>
      <c r="B439" s="6" t="inlineStr">
        <is>
          <t>Content</t>
        </is>
      </c>
      <c r="C439" s="29" t="inlineStr">
        <is>
          <t>Info</t>
        </is>
      </c>
      <c r="D439" s="6" t="inlineStr">
        <is>
          <t>No concise answer paragraph (40-60 words)</t>
        </is>
      </c>
      <c r="E439" s="6" t="n">
        <v>37</v>
      </c>
      <c r="F439" s="6" t="n">
        <v>0</v>
      </c>
      <c r="G439" s="6" t="inlineStr">
        <is>
          <t>&gt;=1 concise answer block</t>
        </is>
      </c>
      <c r="H439" s="6" t="inlineStr">
        <is>
          <t>Add a direct 40-60 word answer immediately below key question headings.</t>
        </is>
      </c>
      <c r="I439" s="31" t="inlineStr">
        <is>
          <t>AEO</t>
        </is>
      </c>
      <c r="J439" s="6" t="inlineStr">
        <is>
          <t>Paragraphs 40-60 Words Count</t>
        </is>
      </c>
      <c r="K439" s="6" t="inlineStr">
        <is>
          <t>No</t>
        </is>
      </c>
      <c r="L439" s="6" t="inlineStr">
        <is>
          <t>Copy Writer</t>
        </is>
      </c>
      <c r="M439" s="25" t="inlineStr">
        <is>
          <t>Open</t>
        </is>
      </c>
      <c r="N439" s="6" t="n">
        <v>4</v>
      </c>
      <c r="O439" s="6" t="inlineStr">
        <is>
          <t>https://africanmarketingconfederation.org/amc-launch-event-zambia-thank-you-2026/::aioseo_no_concise_answer_paragraph_40-60_words_</t>
        </is>
      </c>
      <c r="P439" s="6" t="inlineStr">
        <is>
          <t>Compact answer blocks improve direct-answer extraction chances.</t>
        </is>
      </c>
      <c r="Q439">
        <f>IFERROR(HYPERLINK("#Main!A"&amp;MATCH(A439,Main!A:A,0),"Open"),HYPERLINK("#Main!A1","Open"))</f>
        <v/>
      </c>
      <c r="R439">
        <f>IFERROR(HYPERLINK("#Technical!A"&amp;MATCH(A439,Technical!A:A,0),"Open"),HYPERLINK("#Technical!A1","Open"))</f>
        <v/>
      </c>
    </row>
    <row r="440" ht="30" customHeight="1">
      <c r="A440" s="33" t="inlineStr">
        <is>
          <t>https://africanmarketingconfederation.org/amc-marketing-conference-2024/</t>
        </is>
      </c>
      <c r="B440" s="24" t="inlineStr">
        <is>
          <t>Content</t>
        </is>
      </c>
      <c r="C440" s="29" t="inlineStr">
        <is>
          <t>Info</t>
        </is>
      </c>
      <c r="D440" s="24" t="inlineStr">
        <is>
          <t>No concise answer paragraph (40-60 words)</t>
        </is>
      </c>
      <c r="E440" s="24" t="n">
        <v>37</v>
      </c>
      <c r="F440" s="24" t="n">
        <v>0</v>
      </c>
      <c r="G440" s="24" t="inlineStr">
        <is>
          <t>&gt;=1 concise answer block</t>
        </is>
      </c>
      <c r="H440" s="24" t="inlineStr">
        <is>
          <t>Add a direct 40-60 word answer immediately below key question headings.</t>
        </is>
      </c>
      <c r="I440" s="28" t="inlineStr">
        <is>
          <t>AEO</t>
        </is>
      </c>
      <c r="J440" s="24" t="inlineStr">
        <is>
          <t>Paragraphs 40-60 Words Count</t>
        </is>
      </c>
      <c r="K440" s="24" t="inlineStr">
        <is>
          <t>No</t>
        </is>
      </c>
      <c r="L440" s="24" t="inlineStr">
        <is>
          <t>Copy Writer</t>
        </is>
      </c>
      <c r="M440" s="25" t="inlineStr">
        <is>
          <t>Open</t>
        </is>
      </c>
      <c r="N440" s="24" t="n">
        <v>4</v>
      </c>
      <c r="O440" s="24" t="inlineStr">
        <is>
          <t>https://africanmarketingconfederation.org/amc-marketing-conference-2024/::aioseo_no_concise_answer_paragraph_40-60_words_</t>
        </is>
      </c>
      <c r="P440" s="24" t="inlineStr">
        <is>
          <t>Compact answer blocks improve direct-answer extraction chances.</t>
        </is>
      </c>
      <c r="Q440">
        <f>IFERROR(HYPERLINK("#Main!A"&amp;MATCH(A440,Main!A:A,0),"Open"),HYPERLINK("#Main!A1","Open"))</f>
        <v/>
      </c>
      <c r="R440">
        <f>IFERROR(HYPERLINK("#Technical!A"&amp;MATCH(A440,Technical!A:A,0),"Open"),HYPERLINK("#Technical!A1","Open"))</f>
        <v/>
      </c>
    </row>
    <row r="441" ht="45" customHeight="1">
      <c r="A441" s="33" t="inlineStr">
        <is>
          <t>https://africanmarketingconfederation.org/amc-marketing-conference-2024/amc-conference-2025-ghana-sponsors/</t>
        </is>
      </c>
      <c r="B441" s="6" t="inlineStr">
        <is>
          <t>Content</t>
        </is>
      </c>
      <c r="C441" s="29" t="inlineStr">
        <is>
          <t>Info</t>
        </is>
      </c>
      <c r="D441" s="6" t="inlineStr">
        <is>
          <t>No concise answer paragraph (40-60 words)</t>
        </is>
      </c>
      <c r="E441" s="6" t="n">
        <v>37</v>
      </c>
      <c r="F441" s="6" t="n">
        <v>0</v>
      </c>
      <c r="G441" s="6" t="inlineStr">
        <is>
          <t>&gt;=1 concise answer block</t>
        </is>
      </c>
      <c r="H441" s="6" t="inlineStr">
        <is>
          <t>Add a direct 40-60 word answer immediately below key question headings.</t>
        </is>
      </c>
      <c r="I441" s="31" t="inlineStr">
        <is>
          <t>AEO</t>
        </is>
      </c>
      <c r="J441" s="6" t="inlineStr">
        <is>
          <t>Paragraphs 40-60 Words Count</t>
        </is>
      </c>
      <c r="K441" s="6" t="inlineStr">
        <is>
          <t>No</t>
        </is>
      </c>
      <c r="L441" s="6" t="inlineStr">
        <is>
          <t>Copy Writer</t>
        </is>
      </c>
      <c r="M441" s="25" t="inlineStr">
        <is>
          <t>Open</t>
        </is>
      </c>
      <c r="N441" s="6" t="n">
        <v>4</v>
      </c>
      <c r="O441" s="6" t="inlineStr">
        <is>
          <t>https://africanmarketingconfederation.org/amc-marketing-conference-2024/amc-conference-2025-ghana-sponsors/::aioseo_no_concise_answer_paragraph_40-60_words_</t>
        </is>
      </c>
      <c r="P441" s="6" t="inlineStr">
        <is>
          <t>Compact answer blocks improve direct-answer extraction chances.</t>
        </is>
      </c>
      <c r="Q441">
        <f>IFERROR(HYPERLINK("#Main!A"&amp;MATCH(A441,Main!A:A,0),"Open"),HYPERLINK("#Main!A1","Open"))</f>
        <v/>
      </c>
      <c r="R441">
        <f>IFERROR(HYPERLINK("#Technical!A"&amp;MATCH(A441,Technical!A:A,0),"Open"),HYPERLINK("#Technical!A1","Open"))</f>
        <v/>
      </c>
    </row>
    <row r="442" ht="30" customHeight="1">
      <c r="A442" s="33" t="inlineStr">
        <is>
          <t>https://africanmarketingconfederation.org/amc-marketing-conference-2024/amc-launch-event-2025/</t>
        </is>
      </c>
      <c r="B442" s="24" t="inlineStr">
        <is>
          <t>Content</t>
        </is>
      </c>
      <c r="C442" s="29" t="inlineStr">
        <is>
          <t>Info</t>
        </is>
      </c>
      <c r="D442" s="24" t="inlineStr">
        <is>
          <t>No concise answer paragraph (40-60 words)</t>
        </is>
      </c>
      <c r="E442" s="24" t="n">
        <v>37</v>
      </c>
      <c r="F442" s="24" t="n">
        <v>0</v>
      </c>
      <c r="G442" s="24" t="inlineStr">
        <is>
          <t>&gt;=1 concise answer block</t>
        </is>
      </c>
      <c r="H442" s="24" t="inlineStr">
        <is>
          <t>Add a direct 40-60 word answer immediately below key question headings.</t>
        </is>
      </c>
      <c r="I442" s="28" t="inlineStr">
        <is>
          <t>AEO</t>
        </is>
      </c>
      <c r="J442" s="24" t="inlineStr">
        <is>
          <t>Paragraphs 40-60 Words Count</t>
        </is>
      </c>
      <c r="K442" s="24" t="inlineStr">
        <is>
          <t>No</t>
        </is>
      </c>
      <c r="L442" s="24" t="inlineStr">
        <is>
          <t>Copy Writer</t>
        </is>
      </c>
      <c r="M442" s="25" t="inlineStr">
        <is>
          <t>Open</t>
        </is>
      </c>
      <c r="N442" s="24" t="n">
        <v>4</v>
      </c>
      <c r="O442" s="24" t="inlineStr">
        <is>
          <t>https://africanmarketingconfederation.org/amc-marketing-conference-2024/amc-launch-event-2025/::aioseo_no_concise_answer_paragraph_40-60_words_</t>
        </is>
      </c>
      <c r="P442" s="24" t="inlineStr">
        <is>
          <t>Compact answer blocks improve direct-answer extraction chances.</t>
        </is>
      </c>
      <c r="Q442">
        <f>IFERROR(HYPERLINK("#Main!A"&amp;MATCH(A442,Main!A:A,0),"Open"),HYPERLINK("#Main!A1","Open"))</f>
        <v/>
      </c>
      <c r="R442">
        <f>IFERROR(HYPERLINK("#Technical!A"&amp;MATCH(A442,Technical!A:A,0),"Open"),HYPERLINK("#Technical!A1","Open"))</f>
        <v/>
      </c>
    </row>
    <row r="443" ht="30" customHeight="1">
      <c r="A443" s="33" t="inlineStr">
        <is>
          <t>https://africanmarketingconfederation.org/amc-marketing-conference-2024/amc-preregister-2025/</t>
        </is>
      </c>
      <c r="B443" s="6" t="inlineStr">
        <is>
          <t>Content</t>
        </is>
      </c>
      <c r="C443" s="29" t="inlineStr">
        <is>
          <t>Info</t>
        </is>
      </c>
      <c r="D443" s="6" t="inlineStr">
        <is>
          <t>No concise answer paragraph (40-60 words)</t>
        </is>
      </c>
      <c r="E443" s="6" t="n">
        <v>37</v>
      </c>
      <c r="F443" s="6" t="n">
        <v>0</v>
      </c>
      <c r="G443" s="6" t="inlineStr">
        <is>
          <t>&gt;=1 concise answer block</t>
        </is>
      </c>
      <c r="H443" s="6" t="inlineStr">
        <is>
          <t>Add a direct 40-60 word answer immediately below key question headings.</t>
        </is>
      </c>
      <c r="I443" s="31" t="inlineStr">
        <is>
          <t>AEO</t>
        </is>
      </c>
      <c r="J443" s="6" t="inlineStr">
        <is>
          <t>Paragraphs 40-60 Words Count</t>
        </is>
      </c>
      <c r="K443" s="6" t="inlineStr">
        <is>
          <t>No</t>
        </is>
      </c>
      <c r="L443" s="6" t="inlineStr">
        <is>
          <t>Copy Writer</t>
        </is>
      </c>
      <c r="M443" s="25" t="inlineStr">
        <is>
          <t>Open</t>
        </is>
      </c>
      <c r="N443" s="6" t="n">
        <v>4</v>
      </c>
      <c r="O443" s="6" t="inlineStr">
        <is>
          <t>https://africanmarketingconfederation.org/amc-marketing-conference-2024/amc-preregister-2025/::aioseo_no_concise_answer_paragraph_40-60_words_</t>
        </is>
      </c>
      <c r="P443" s="6" t="inlineStr">
        <is>
          <t>Compact answer blocks improve direct-answer extraction chances.</t>
        </is>
      </c>
      <c r="Q443">
        <f>IFERROR(HYPERLINK("#Main!A"&amp;MATCH(A443,Main!A:A,0),"Open"),HYPERLINK("#Main!A1","Open"))</f>
        <v/>
      </c>
      <c r="R443">
        <f>IFERROR(HYPERLINK("#Technical!A"&amp;MATCH(A443,Technical!A:A,0),"Open"),HYPERLINK("#Technical!A1","Open"))</f>
        <v/>
      </c>
    </row>
    <row r="444" ht="30" customHeight="1">
      <c r="A444" s="33" t="inlineStr">
        <is>
          <t>https://africanmarketingconfederation.org/amc-marketing-conference-2024/amc-programme-2025/</t>
        </is>
      </c>
      <c r="B444" s="24" t="inlineStr">
        <is>
          <t>Content</t>
        </is>
      </c>
      <c r="C444" s="29" t="inlineStr">
        <is>
          <t>Info</t>
        </is>
      </c>
      <c r="D444" s="24" t="inlineStr">
        <is>
          <t>No concise answer paragraph (40-60 words)</t>
        </is>
      </c>
      <c r="E444" s="24" t="n">
        <v>37</v>
      </c>
      <c r="F444" s="24" t="n">
        <v>0</v>
      </c>
      <c r="G444" s="24" t="inlineStr">
        <is>
          <t>&gt;=1 concise answer block</t>
        </is>
      </c>
      <c r="H444" s="24" t="inlineStr">
        <is>
          <t>Add a direct 40-60 word answer immediately below key question headings.</t>
        </is>
      </c>
      <c r="I444" s="28" t="inlineStr">
        <is>
          <t>AEO</t>
        </is>
      </c>
      <c r="J444" s="24" t="inlineStr">
        <is>
          <t>Paragraphs 40-60 Words Count</t>
        </is>
      </c>
      <c r="K444" s="24" t="inlineStr">
        <is>
          <t>No</t>
        </is>
      </c>
      <c r="L444" s="24" t="inlineStr">
        <is>
          <t>Copy Writer</t>
        </is>
      </c>
      <c r="M444" s="25" t="inlineStr">
        <is>
          <t>Open</t>
        </is>
      </c>
      <c r="N444" s="24" t="n">
        <v>4</v>
      </c>
      <c r="O444" s="24" t="inlineStr">
        <is>
          <t>https://africanmarketingconfederation.org/amc-marketing-conference-2024/amc-programme-2025/::aioseo_no_concise_answer_paragraph_40-60_words_</t>
        </is>
      </c>
      <c r="P444" s="24" t="inlineStr">
        <is>
          <t>Compact answer blocks improve direct-answer extraction chances.</t>
        </is>
      </c>
      <c r="Q444">
        <f>IFERROR(HYPERLINK("#Main!A"&amp;MATCH(A444,Main!A:A,0),"Open"),HYPERLINK("#Main!A1","Open"))</f>
        <v/>
      </c>
      <c r="R444">
        <f>IFERROR(HYPERLINK("#Technical!A"&amp;MATCH(A444,Technical!A:A,0),"Open"),HYPERLINK("#Technical!A1","Open"))</f>
        <v/>
      </c>
    </row>
    <row r="445" ht="45" customHeight="1">
      <c r="A445" s="33" t="inlineStr">
        <is>
          <t>https://africanmarketingconfederation.org/amc-marketing-conference-2024/amc-speakers-presentations-2024/</t>
        </is>
      </c>
      <c r="B445" s="6" t="inlineStr">
        <is>
          <t>Content</t>
        </is>
      </c>
      <c r="C445" s="29" t="inlineStr">
        <is>
          <t>Info</t>
        </is>
      </c>
      <c r="D445" s="6" t="inlineStr">
        <is>
          <t>No concise answer paragraph (40-60 words)</t>
        </is>
      </c>
      <c r="E445" s="6" t="n">
        <v>37</v>
      </c>
      <c r="F445" s="6" t="n">
        <v>0</v>
      </c>
      <c r="G445" s="6" t="inlineStr">
        <is>
          <t>&gt;=1 concise answer block</t>
        </is>
      </c>
      <c r="H445" s="6" t="inlineStr">
        <is>
          <t>Add a direct 40-60 word answer immediately below key question headings.</t>
        </is>
      </c>
      <c r="I445" s="31" t="inlineStr">
        <is>
          <t>AEO</t>
        </is>
      </c>
      <c r="J445" s="6" t="inlineStr">
        <is>
          <t>Paragraphs 40-60 Words Count</t>
        </is>
      </c>
      <c r="K445" s="6" t="inlineStr">
        <is>
          <t>No</t>
        </is>
      </c>
      <c r="L445" s="6" t="inlineStr">
        <is>
          <t>Copy Writer</t>
        </is>
      </c>
      <c r="M445" s="25" t="inlineStr">
        <is>
          <t>Open</t>
        </is>
      </c>
      <c r="N445" s="6" t="n">
        <v>4</v>
      </c>
      <c r="O445" s="6" t="inlineStr">
        <is>
          <t>https://africanmarketingconfederation.org/amc-marketing-conference-2024/amc-speakers-presentations-2024/::aioseo_no_concise_answer_paragraph_40-60_words_</t>
        </is>
      </c>
      <c r="P445" s="6" t="inlineStr">
        <is>
          <t>Compact answer blocks improve direct-answer extraction chances.</t>
        </is>
      </c>
      <c r="Q445">
        <f>IFERROR(HYPERLINK("#Main!A"&amp;MATCH(A445,Main!A:A,0),"Open"),HYPERLINK("#Main!A1","Open"))</f>
        <v/>
      </c>
      <c r="R445">
        <f>IFERROR(HYPERLINK("#Technical!A"&amp;MATCH(A445,Technical!A:A,0),"Open"),HYPERLINK("#Technical!A1","Open"))</f>
        <v/>
      </c>
    </row>
    <row r="446" ht="30" customHeight="1">
      <c r="A446" s="33" t="inlineStr">
        <is>
          <t>https://africanmarketingconfederation.org/amc-marketing-conference-2024/awards-2025/</t>
        </is>
      </c>
      <c r="B446" s="24" t="inlineStr">
        <is>
          <t>Content</t>
        </is>
      </c>
      <c r="C446" s="29" t="inlineStr">
        <is>
          <t>Info</t>
        </is>
      </c>
      <c r="D446" s="24" t="inlineStr">
        <is>
          <t>No concise answer paragraph (40-60 words)</t>
        </is>
      </c>
      <c r="E446" s="24" t="n">
        <v>37</v>
      </c>
      <c r="F446" s="24" t="n">
        <v>0</v>
      </c>
      <c r="G446" s="24" t="inlineStr">
        <is>
          <t>&gt;=1 concise answer block</t>
        </is>
      </c>
      <c r="H446" s="24" t="inlineStr">
        <is>
          <t>Add a direct 40-60 word answer immediately below key question headings.</t>
        </is>
      </c>
      <c r="I446" s="28" t="inlineStr">
        <is>
          <t>AEO</t>
        </is>
      </c>
      <c r="J446" s="24" t="inlineStr">
        <is>
          <t>Paragraphs 40-60 Words Count</t>
        </is>
      </c>
      <c r="K446" s="24" t="inlineStr">
        <is>
          <t>No</t>
        </is>
      </c>
      <c r="L446" s="24" t="inlineStr">
        <is>
          <t>Copy Writer</t>
        </is>
      </c>
      <c r="M446" s="25" t="inlineStr">
        <is>
          <t>Open</t>
        </is>
      </c>
      <c r="N446" s="24" t="n">
        <v>4</v>
      </c>
      <c r="O446" s="24" t="inlineStr">
        <is>
          <t>https://africanmarketingconfederation.org/amc-marketing-conference-2024/awards-2025/::aioseo_no_concise_answer_paragraph_40-60_words_</t>
        </is>
      </c>
      <c r="P446" s="24" t="inlineStr">
        <is>
          <t>Compact answer blocks improve direct-answer extraction chances.</t>
        </is>
      </c>
      <c r="Q446">
        <f>IFERROR(HYPERLINK("#Main!A"&amp;MATCH(A446,Main!A:A,0),"Open"),HYPERLINK("#Main!A1","Open"))</f>
        <v/>
      </c>
      <c r="R446">
        <f>IFERROR(HYPERLINK("#Technical!A"&amp;MATCH(A446,Technical!A:A,0),"Open"),HYPERLINK("#Technical!A1","Open"))</f>
        <v/>
      </c>
    </row>
    <row r="447" ht="30" customHeight="1">
      <c r="A447" s="33" t="inlineStr">
        <is>
          <t>https://africanmarketingconfederation.org/amc-marketing-conference-2024/programme-2024/</t>
        </is>
      </c>
      <c r="B447" s="6" t="inlineStr">
        <is>
          <t>Content</t>
        </is>
      </c>
      <c r="C447" s="29" t="inlineStr">
        <is>
          <t>Info</t>
        </is>
      </c>
      <c r="D447" s="6" t="inlineStr">
        <is>
          <t>No concise answer paragraph (40-60 words)</t>
        </is>
      </c>
      <c r="E447" s="6" t="n">
        <v>37</v>
      </c>
      <c r="F447" s="6" t="n">
        <v>0</v>
      </c>
      <c r="G447" s="6" t="inlineStr">
        <is>
          <t>&gt;=1 concise answer block</t>
        </is>
      </c>
      <c r="H447" s="6" t="inlineStr">
        <is>
          <t>Add a direct 40-60 word answer immediately below key question headings.</t>
        </is>
      </c>
      <c r="I447" s="31" t="inlineStr">
        <is>
          <t>AEO</t>
        </is>
      </c>
      <c r="J447" s="6" t="inlineStr">
        <is>
          <t>Paragraphs 40-60 Words Count</t>
        </is>
      </c>
      <c r="K447" s="6" t="inlineStr">
        <is>
          <t>No</t>
        </is>
      </c>
      <c r="L447" s="6" t="inlineStr">
        <is>
          <t>Copy Writer</t>
        </is>
      </c>
      <c r="M447" s="25" t="inlineStr">
        <is>
          <t>Open</t>
        </is>
      </c>
      <c r="N447" s="6" t="n">
        <v>4</v>
      </c>
      <c r="O447" s="6" t="inlineStr">
        <is>
          <t>https://africanmarketingconfederation.org/amc-marketing-conference-2024/programme-2024/::aioseo_no_concise_answer_paragraph_40-60_words_</t>
        </is>
      </c>
      <c r="P447" s="6" t="inlineStr">
        <is>
          <t>Compact answer blocks improve direct-answer extraction chances.</t>
        </is>
      </c>
      <c r="Q447">
        <f>IFERROR(HYPERLINK("#Main!A"&amp;MATCH(A447,Main!A:A,0),"Open"),HYPERLINK("#Main!A1","Open"))</f>
        <v/>
      </c>
      <c r="R447">
        <f>IFERROR(HYPERLINK("#Technical!A"&amp;MATCH(A447,Technical!A:A,0),"Open"),HYPERLINK("#Technical!A1","Open"))</f>
        <v/>
      </c>
    </row>
    <row r="448" ht="30" customHeight="1">
      <c r="A448" s="33" t="inlineStr">
        <is>
          <t>https://africanmarketingconfederation.org/amc-marketing-conference-2024/speakers-2024/</t>
        </is>
      </c>
      <c r="B448" s="24" t="inlineStr">
        <is>
          <t>Content</t>
        </is>
      </c>
      <c r="C448" s="29" t="inlineStr">
        <is>
          <t>Info</t>
        </is>
      </c>
      <c r="D448" s="24" t="inlineStr">
        <is>
          <t>No concise answer paragraph (40-60 words)</t>
        </is>
      </c>
      <c r="E448" s="24" t="n">
        <v>37</v>
      </c>
      <c r="F448" s="24" t="n">
        <v>0</v>
      </c>
      <c r="G448" s="24" t="inlineStr">
        <is>
          <t>&gt;=1 concise answer block</t>
        </is>
      </c>
      <c r="H448" s="24" t="inlineStr">
        <is>
          <t>Add a direct 40-60 word answer immediately below key question headings.</t>
        </is>
      </c>
      <c r="I448" s="28" t="inlineStr">
        <is>
          <t>AEO</t>
        </is>
      </c>
      <c r="J448" s="24" t="inlineStr">
        <is>
          <t>Paragraphs 40-60 Words Count</t>
        </is>
      </c>
      <c r="K448" s="24" t="inlineStr">
        <is>
          <t>No</t>
        </is>
      </c>
      <c r="L448" s="24" t="inlineStr">
        <is>
          <t>Copy Writer</t>
        </is>
      </c>
      <c r="M448" s="25" t="inlineStr">
        <is>
          <t>Open</t>
        </is>
      </c>
      <c r="N448" s="24" t="n">
        <v>4</v>
      </c>
      <c r="O448" s="24" t="inlineStr">
        <is>
          <t>https://africanmarketingconfederation.org/amc-marketing-conference-2024/speakers-2024/::aioseo_no_concise_answer_paragraph_40-60_words_</t>
        </is>
      </c>
      <c r="P448" s="24" t="inlineStr">
        <is>
          <t>Compact answer blocks improve direct-answer extraction chances.</t>
        </is>
      </c>
      <c r="Q448">
        <f>IFERROR(HYPERLINK("#Main!A"&amp;MATCH(A448,Main!A:A,0),"Open"),HYPERLINK("#Main!A1","Open"))</f>
        <v/>
      </c>
      <c r="R448">
        <f>IFERROR(HYPERLINK("#Technical!A"&amp;MATCH(A448,Technical!A:A,0),"Open"),HYPERLINK("#Technical!A1","Open"))</f>
        <v/>
      </c>
    </row>
    <row r="449" ht="30" customHeight="1">
      <c r="A449" s="33" t="inlineStr">
        <is>
          <t>https://africanmarketingconfederation.org/amc-marketing-conference-2024/testimony-thank-you-page/</t>
        </is>
      </c>
      <c r="B449" s="6" t="inlineStr">
        <is>
          <t>Content</t>
        </is>
      </c>
      <c r="C449" s="29" t="inlineStr">
        <is>
          <t>Info</t>
        </is>
      </c>
      <c r="D449" s="6" t="inlineStr">
        <is>
          <t>No concise answer paragraph (40-60 words)</t>
        </is>
      </c>
      <c r="E449" s="6" t="n">
        <v>37</v>
      </c>
      <c r="F449" s="6" t="n">
        <v>0</v>
      </c>
      <c r="G449" s="6" t="inlineStr">
        <is>
          <t>&gt;=1 concise answer block</t>
        </is>
      </c>
      <c r="H449" s="6" t="inlineStr">
        <is>
          <t>Add a direct 40-60 word answer immediately below key question headings.</t>
        </is>
      </c>
      <c r="I449" s="31" t="inlineStr">
        <is>
          <t>AEO</t>
        </is>
      </c>
      <c r="J449" s="6" t="inlineStr">
        <is>
          <t>Paragraphs 40-60 Words Count</t>
        </is>
      </c>
      <c r="K449" s="6" t="inlineStr">
        <is>
          <t>No</t>
        </is>
      </c>
      <c r="L449" s="6" t="inlineStr">
        <is>
          <t>Copy Writer</t>
        </is>
      </c>
      <c r="M449" s="25" t="inlineStr">
        <is>
          <t>Open</t>
        </is>
      </c>
      <c r="N449" s="6" t="n">
        <v>4</v>
      </c>
      <c r="O449" s="6" t="inlineStr">
        <is>
          <t>https://africanmarketingconfederation.org/amc-marketing-conference-2024/testimony-thank-you-page/::aioseo_no_concise_answer_paragraph_40-60_words_</t>
        </is>
      </c>
      <c r="P449" s="6" t="inlineStr">
        <is>
          <t>Compact answer blocks improve direct-answer extraction chances.</t>
        </is>
      </c>
      <c r="Q449">
        <f>IFERROR(HYPERLINK("#Main!A"&amp;MATCH(A449,Main!A:A,0),"Open"),HYPERLINK("#Main!A1","Open"))</f>
        <v/>
      </c>
      <c r="R449">
        <f>IFERROR(HYPERLINK("#Technical!A"&amp;MATCH(A449,Technical!A:A,0),"Open"),HYPERLINK("#Technical!A1","Open"))</f>
        <v/>
      </c>
    </row>
    <row r="450" ht="30" customHeight="1">
      <c r="A450" s="33" t="inlineStr">
        <is>
          <t>https://africanmarketingconfederation.org/amc-masterclass-bookings/</t>
        </is>
      </c>
      <c r="B450" s="24" t="inlineStr">
        <is>
          <t>Content</t>
        </is>
      </c>
      <c r="C450" s="29" t="inlineStr">
        <is>
          <t>Info</t>
        </is>
      </c>
      <c r="D450" s="24" t="inlineStr">
        <is>
          <t>No concise answer paragraph (40-60 words)</t>
        </is>
      </c>
      <c r="E450" s="24" t="n">
        <v>37</v>
      </c>
      <c r="F450" s="24" t="n">
        <v>0</v>
      </c>
      <c r="G450" s="24" t="inlineStr">
        <is>
          <t>&gt;=1 concise answer block</t>
        </is>
      </c>
      <c r="H450" s="24" t="inlineStr">
        <is>
          <t>Add a direct 40-60 word answer immediately below key question headings.</t>
        </is>
      </c>
      <c r="I450" s="28" t="inlineStr">
        <is>
          <t>AEO</t>
        </is>
      </c>
      <c r="J450" s="24" t="inlineStr">
        <is>
          <t>Paragraphs 40-60 Words Count</t>
        </is>
      </c>
      <c r="K450" s="24" t="inlineStr">
        <is>
          <t>No</t>
        </is>
      </c>
      <c r="L450" s="24" t="inlineStr">
        <is>
          <t>Copy Writer</t>
        </is>
      </c>
      <c r="M450" s="25" t="inlineStr">
        <is>
          <t>Open</t>
        </is>
      </c>
      <c r="N450" s="24" t="n">
        <v>4</v>
      </c>
      <c r="O450" s="24" t="inlineStr">
        <is>
          <t>https://africanmarketingconfederation.org/amc-masterclass-bookings/::aioseo_no_concise_answer_paragraph_40-60_words_</t>
        </is>
      </c>
      <c r="P450" s="24" t="inlineStr">
        <is>
          <t>Compact answer blocks improve direct-answer extraction chances.</t>
        </is>
      </c>
      <c r="Q450">
        <f>IFERROR(HYPERLINK("#Main!A"&amp;MATCH(A450,Main!A:A,0),"Open"),HYPERLINK("#Main!A1","Open"))</f>
        <v/>
      </c>
      <c r="R450">
        <f>IFERROR(HYPERLINK("#Technical!A"&amp;MATCH(A450,Technical!A:A,0),"Open"),HYPERLINK("#Technical!A1","Open"))</f>
        <v/>
      </c>
    </row>
    <row r="451" ht="30" customHeight="1">
      <c r="A451" s="33" t="inlineStr">
        <is>
          <t>https://africanmarketingconfederation.org/amc-masterclass-thank-you/</t>
        </is>
      </c>
      <c r="B451" s="6" t="inlineStr">
        <is>
          <t>Content</t>
        </is>
      </c>
      <c r="C451" s="29" t="inlineStr">
        <is>
          <t>Info</t>
        </is>
      </c>
      <c r="D451" s="6" t="inlineStr">
        <is>
          <t>No concise answer paragraph (40-60 words)</t>
        </is>
      </c>
      <c r="E451" s="6" t="n">
        <v>37</v>
      </c>
      <c r="F451" s="6" t="n">
        <v>0</v>
      </c>
      <c r="G451" s="6" t="inlineStr">
        <is>
          <t>&gt;=1 concise answer block</t>
        </is>
      </c>
      <c r="H451" s="6" t="inlineStr">
        <is>
          <t>Add a direct 40-60 word answer immediately below key question headings.</t>
        </is>
      </c>
      <c r="I451" s="31" t="inlineStr">
        <is>
          <t>AEO</t>
        </is>
      </c>
      <c r="J451" s="6" t="inlineStr">
        <is>
          <t>Paragraphs 40-60 Words Count</t>
        </is>
      </c>
      <c r="K451" s="6" t="inlineStr">
        <is>
          <t>No</t>
        </is>
      </c>
      <c r="L451" s="6" t="inlineStr">
        <is>
          <t>Copy Writer</t>
        </is>
      </c>
      <c r="M451" s="25" t="inlineStr">
        <is>
          <t>Open</t>
        </is>
      </c>
      <c r="N451" s="6" t="n">
        <v>4</v>
      </c>
      <c r="O451" s="6" t="inlineStr">
        <is>
          <t>https://africanmarketingconfederation.org/amc-masterclass-thank-you/::aioseo_no_concise_answer_paragraph_40-60_words_</t>
        </is>
      </c>
      <c r="P451" s="6" t="inlineStr">
        <is>
          <t>Compact answer blocks improve direct-answer extraction chances.</t>
        </is>
      </c>
      <c r="Q451">
        <f>IFERROR(HYPERLINK("#Main!A"&amp;MATCH(A451,Main!A:A,0),"Open"),HYPERLINK("#Main!A1","Open"))</f>
        <v/>
      </c>
      <c r="R451">
        <f>IFERROR(HYPERLINK("#Technical!A"&amp;MATCH(A451,Technical!A:A,0),"Open"),HYPERLINK("#Technical!A1","Open"))</f>
        <v/>
      </c>
    </row>
    <row r="452" ht="30" customHeight="1">
      <c r="A452" s="33" t="inlineStr">
        <is>
          <t>https://africanmarketingconfederation.org/amc-masterclass/</t>
        </is>
      </c>
      <c r="B452" s="24" t="inlineStr">
        <is>
          <t>Content</t>
        </is>
      </c>
      <c r="C452" s="29" t="inlineStr">
        <is>
          <t>Info</t>
        </is>
      </c>
      <c r="D452" s="24" t="inlineStr">
        <is>
          <t>No concise answer paragraph (40-60 words)</t>
        </is>
      </c>
      <c r="E452" s="24" t="n">
        <v>37</v>
      </c>
      <c r="F452" s="24" t="n">
        <v>0</v>
      </c>
      <c r="G452" s="24" t="inlineStr">
        <is>
          <t>&gt;=1 concise answer block</t>
        </is>
      </c>
      <c r="H452" s="24" t="inlineStr">
        <is>
          <t>Add a direct 40-60 word answer immediately below key question headings.</t>
        </is>
      </c>
      <c r="I452" s="28" t="inlineStr">
        <is>
          <t>AEO</t>
        </is>
      </c>
      <c r="J452" s="24" t="inlineStr">
        <is>
          <t>Paragraphs 40-60 Words Count</t>
        </is>
      </c>
      <c r="K452" s="24" t="inlineStr">
        <is>
          <t>No</t>
        </is>
      </c>
      <c r="L452" s="24" t="inlineStr">
        <is>
          <t>Copy Writer</t>
        </is>
      </c>
      <c r="M452" s="25" t="inlineStr">
        <is>
          <t>Open</t>
        </is>
      </c>
      <c r="N452" s="24" t="n">
        <v>4</v>
      </c>
      <c r="O452" s="24" t="inlineStr">
        <is>
          <t>https://africanmarketingconfederation.org/amc-masterclass/::aioseo_no_concise_answer_paragraph_40-60_words_</t>
        </is>
      </c>
      <c r="P452" s="24" t="inlineStr">
        <is>
          <t>Compact answer blocks improve direct-answer extraction chances.</t>
        </is>
      </c>
      <c r="Q452">
        <f>IFERROR(HYPERLINK("#Main!A"&amp;MATCH(A452,Main!A:A,0),"Open"),HYPERLINK("#Main!A1","Open"))</f>
        <v/>
      </c>
      <c r="R452">
        <f>IFERROR(HYPERLINK("#Technical!A"&amp;MATCH(A452,Technical!A:A,0),"Open"),HYPERLINK("#Technical!A1","Open"))</f>
        <v/>
      </c>
    </row>
    <row r="453" ht="30" customHeight="1">
      <c r="A453" s="33" t="inlineStr">
        <is>
          <t>https://africanmarketingconfederation.org/amc-relaunch-programme/</t>
        </is>
      </c>
      <c r="B453" s="6" t="inlineStr">
        <is>
          <t>Content</t>
        </is>
      </c>
      <c r="C453" s="29" t="inlineStr">
        <is>
          <t>Info</t>
        </is>
      </c>
      <c r="D453" s="6" t="inlineStr">
        <is>
          <t>No concise answer paragraph (40-60 words)</t>
        </is>
      </c>
      <c r="E453" s="6" t="n">
        <v>37</v>
      </c>
      <c r="F453" s="6" t="n">
        <v>0</v>
      </c>
      <c r="G453" s="6" t="inlineStr">
        <is>
          <t>&gt;=1 concise answer block</t>
        </is>
      </c>
      <c r="H453" s="6" t="inlineStr">
        <is>
          <t>Add a direct 40-60 word answer immediately below key question headings.</t>
        </is>
      </c>
      <c r="I453" s="31" t="inlineStr">
        <is>
          <t>AEO</t>
        </is>
      </c>
      <c r="J453" s="6" t="inlineStr">
        <is>
          <t>Paragraphs 40-60 Words Count</t>
        </is>
      </c>
      <c r="K453" s="6" t="inlineStr">
        <is>
          <t>No</t>
        </is>
      </c>
      <c r="L453" s="6" t="inlineStr">
        <is>
          <t>Copy Writer</t>
        </is>
      </c>
      <c r="M453" s="25" t="inlineStr">
        <is>
          <t>Open</t>
        </is>
      </c>
      <c r="N453" s="6" t="n">
        <v>4</v>
      </c>
      <c r="O453" s="6" t="inlineStr">
        <is>
          <t>https://africanmarketingconfederation.org/amc-relaunch-programme/::aioseo_no_concise_answer_paragraph_40-60_words_</t>
        </is>
      </c>
      <c r="P453" s="6" t="inlineStr">
        <is>
          <t>Compact answer blocks improve direct-answer extraction chances.</t>
        </is>
      </c>
      <c r="Q453">
        <f>IFERROR(HYPERLINK("#Main!A"&amp;MATCH(A453,Main!A:A,0),"Open"),HYPERLINK("#Main!A1","Open"))</f>
        <v/>
      </c>
      <c r="R453">
        <f>IFERROR(HYPERLINK("#Technical!A"&amp;MATCH(A453,Technical!A:A,0),"Open"),HYPERLINK("#Technical!A1","Open"))</f>
        <v/>
      </c>
    </row>
    <row r="454" ht="30" customHeight="1">
      <c r="A454" s="33" t="inlineStr">
        <is>
          <t>https://africanmarketingconfederation.org/amc-sign-up-now-form-2025/</t>
        </is>
      </c>
      <c r="B454" s="24" t="inlineStr">
        <is>
          <t>Content</t>
        </is>
      </c>
      <c r="C454" s="29" t="inlineStr">
        <is>
          <t>Info</t>
        </is>
      </c>
      <c r="D454" s="24" t="inlineStr">
        <is>
          <t>No concise answer paragraph (40-60 words)</t>
        </is>
      </c>
      <c r="E454" s="24" t="n">
        <v>37</v>
      </c>
      <c r="F454" s="24" t="n">
        <v>0</v>
      </c>
      <c r="G454" s="24" t="inlineStr">
        <is>
          <t>&gt;=1 concise answer block</t>
        </is>
      </c>
      <c r="H454" s="24" t="inlineStr">
        <is>
          <t>Add a direct 40-60 word answer immediately below key question headings.</t>
        </is>
      </c>
      <c r="I454" s="28" t="inlineStr">
        <is>
          <t>AEO</t>
        </is>
      </c>
      <c r="J454" s="24" t="inlineStr">
        <is>
          <t>Paragraphs 40-60 Words Count</t>
        </is>
      </c>
      <c r="K454" s="24" t="inlineStr">
        <is>
          <t>No</t>
        </is>
      </c>
      <c r="L454" s="24" t="inlineStr">
        <is>
          <t>Copy Writer</t>
        </is>
      </c>
      <c r="M454" s="25" t="inlineStr">
        <is>
          <t>Open</t>
        </is>
      </c>
      <c r="N454" s="24" t="n">
        <v>4</v>
      </c>
      <c r="O454" s="24" t="inlineStr">
        <is>
          <t>https://africanmarketingconfederation.org/amc-sign-up-now-form-2025/::aioseo_no_concise_answer_paragraph_40-60_words_</t>
        </is>
      </c>
      <c r="P454" s="24" t="inlineStr">
        <is>
          <t>Compact answer blocks improve direct-answer extraction chances.</t>
        </is>
      </c>
      <c r="Q454">
        <f>IFERROR(HYPERLINK("#Main!A"&amp;MATCH(A454,Main!A:A,0),"Open"),HYPERLINK("#Main!A1","Open"))</f>
        <v/>
      </c>
      <c r="R454">
        <f>IFERROR(HYPERLINK("#Technical!A"&amp;MATCH(A454,Technical!A:A,0),"Open"),HYPERLINK("#Technical!A1","Open"))</f>
        <v/>
      </c>
    </row>
    <row r="455" ht="30" customHeight="1">
      <c r="A455" s="33" t="inlineStr">
        <is>
          <t>https://africanmarketingconfederation.org/amc-sponsors-2025/</t>
        </is>
      </c>
      <c r="B455" s="6" t="inlineStr">
        <is>
          <t>Content</t>
        </is>
      </c>
      <c r="C455" s="29" t="inlineStr">
        <is>
          <t>Info</t>
        </is>
      </c>
      <c r="D455" s="6" t="inlineStr">
        <is>
          <t>No concise answer paragraph (40-60 words)</t>
        </is>
      </c>
      <c r="E455" s="6" t="n">
        <v>37</v>
      </c>
      <c r="F455" s="6" t="n">
        <v>0</v>
      </c>
      <c r="G455" s="6" t="inlineStr">
        <is>
          <t>&gt;=1 concise answer block</t>
        </is>
      </c>
      <c r="H455" s="6" t="inlineStr">
        <is>
          <t>Add a direct 40-60 word answer immediately below key question headings.</t>
        </is>
      </c>
      <c r="I455" s="31" t="inlineStr">
        <is>
          <t>AEO</t>
        </is>
      </c>
      <c r="J455" s="6" t="inlineStr">
        <is>
          <t>Paragraphs 40-60 Words Count</t>
        </is>
      </c>
      <c r="K455" s="6" t="inlineStr">
        <is>
          <t>No</t>
        </is>
      </c>
      <c r="L455" s="6" t="inlineStr">
        <is>
          <t>Copy Writer</t>
        </is>
      </c>
      <c r="M455" s="25" t="inlineStr">
        <is>
          <t>Open</t>
        </is>
      </c>
      <c r="N455" s="6" t="n">
        <v>4</v>
      </c>
      <c r="O455" s="6" t="inlineStr">
        <is>
          <t>https://africanmarketingconfederation.org/amc-sponsors-2025/::aioseo_no_concise_answer_paragraph_40-60_words_</t>
        </is>
      </c>
      <c r="P455" s="6" t="inlineStr">
        <is>
          <t>Compact answer blocks improve direct-answer extraction chances.</t>
        </is>
      </c>
      <c r="Q455">
        <f>IFERROR(HYPERLINK("#Main!A"&amp;MATCH(A455,Main!A:A,0),"Open"),HYPERLINK("#Main!A1","Open"))</f>
        <v/>
      </c>
      <c r="R455">
        <f>IFERROR(HYPERLINK("#Technical!A"&amp;MATCH(A455,Technical!A:A,0),"Open"),HYPERLINK("#Technical!A1","Open"))</f>
        <v/>
      </c>
    </row>
    <row r="456" ht="30" customHeight="1">
      <c r="A456" s="33" t="inlineStr">
        <is>
          <t>https://africanmarketingconfederation.org/amc-testimony-page-2024/</t>
        </is>
      </c>
      <c r="B456" s="24" t="inlineStr">
        <is>
          <t>Content</t>
        </is>
      </c>
      <c r="C456" s="29" t="inlineStr">
        <is>
          <t>Info</t>
        </is>
      </c>
      <c r="D456" s="24" t="inlineStr">
        <is>
          <t>No concise answer paragraph (40-60 words)</t>
        </is>
      </c>
      <c r="E456" s="24" t="n">
        <v>37</v>
      </c>
      <c r="F456" s="24" t="n">
        <v>0</v>
      </c>
      <c r="G456" s="24" t="inlineStr">
        <is>
          <t>&gt;=1 concise answer block</t>
        </is>
      </c>
      <c r="H456" s="24" t="inlineStr">
        <is>
          <t>Add a direct 40-60 word answer immediately below key question headings.</t>
        </is>
      </c>
      <c r="I456" s="28" t="inlineStr">
        <is>
          <t>AEO</t>
        </is>
      </c>
      <c r="J456" s="24" t="inlineStr">
        <is>
          <t>Paragraphs 40-60 Words Count</t>
        </is>
      </c>
      <c r="K456" s="24" t="inlineStr">
        <is>
          <t>No</t>
        </is>
      </c>
      <c r="L456" s="24" t="inlineStr">
        <is>
          <t>Copy Writer</t>
        </is>
      </c>
      <c r="M456" s="25" t="inlineStr">
        <is>
          <t>Open</t>
        </is>
      </c>
      <c r="N456" s="24" t="n">
        <v>4</v>
      </c>
      <c r="O456" s="24" t="inlineStr">
        <is>
          <t>https://africanmarketingconfederation.org/amc-testimony-page-2024/::aioseo_no_concise_answer_paragraph_40-60_words_</t>
        </is>
      </c>
      <c r="P456" s="24" t="inlineStr">
        <is>
          <t>Compact answer blocks improve direct-answer extraction chances.</t>
        </is>
      </c>
      <c r="Q456">
        <f>IFERROR(HYPERLINK("#Main!A"&amp;MATCH(A456,Main!A:A,0),"Open"),HYPERLINK("#Main!A1","Open"))</f>
        <v/>
      </c>
      <c r="R456">
        <f>IFERROR(HYPERLINK("#Technical!A"&amp;MATCH(A456,Technical!A:A,0),"Open"),HYPERLINK("#Technical!A1","Open"))</f>
        <v/>
      </c>
    </row>
    <row r="457" ht="30" customHeight="1">
      <c r="A457" s="33" t="inlineStr">
        <is>
          <t>https://africanmarketingconfederation.org/awards-2026-1/</t>
        </is>
      </c>
      <c r="B457" s="6" t="inlineStr">
        <is>
          <t>Content</t>
        </is>
      </c>
      <c r="C457" s="29" t="inlineStr">
        <is>
          <t>Info</t>
        </is>
      </c>
      <c r="D457" s="6" t="inlineStr">
        <is>
          <t>No concise answer paragraph (40-60 words)</t>
        </is>
      </c>
      <c r="E457" s="6" t="n">
        <v>37</v>
      </c>
      <c r="F457" s="6" t="n">
        <v>0</v>
      </c>
      <c r="G457" s="6" t="inlineStr">
        <is>
          <t>&gt;=1 concise answer block</t>
        </is>
      </c>
      <c r="H457" s="6" t="inlineStr">
        <is>
          <t>Add a direct 40-60 word answer immediately below key question headings.</t>
        </is>
      </c>
      <c r="I457" s="31" t="inlineStr">
        <is>
          <t>AEO</t>
        </is>
      </c>
      <c r="J457" s="6" t="inlineStr">
        <is>
          <t>Paragraphs 40-60 Words Count</t>
        </is>
      </c>
      <c r="K457" s="6" t="inlineStr">
        <is>
          <t>No</t>
        </is>
      </c>
      <c r="L457" s="6" t="inlineStr">
        <is>
          <t>Copy Writer</t>
        </is>
      </c>
      <c r="M457" s="25" t="inlineStr">
        <is>
          <t>Open</t>
        </is>
      </c>
      <c r="N457" s="6" t="n">
        <v>4</v>
      </c>
      <c r="O457" s="6" t="inlineStr">
        <is>
          <t>https://africanmarketingconfederation.org/awards-2026-1/::aioseo_no_concise_answer_paragraph_40-60_words_</t>
        </is>
      </c>
      <c r="P457" s="6" t="inlineStr">
        <is>
          <t>Compact answer blocks improve direct-answer extraction chances.</t>
        </is>
      </c>
      <c r="Q457">
        <f>IFERROR(HYPERLINK("#Main!A"&amp;MATCH(A457,Main!A:A,0),"Open"),HYPERLINK("#Main!A1","Open"))</f>
        <v/>
      </c>
      <c r="R457">
        <f>IFERROR(HYPERLINK("#Technical!A"&amp;MATCH(A457,Technical!A:A,0),"Open"),HYPERLINK("#Technical!A1","Open"))</f>
        <v/>
      </c>
    </row>
    <row r="458" ht="30" customHeight="1">
      <c r="A458" s="33" t="inlineStr">
        <is>
          <t>https://africanmarketingconfederation.org/awards-2026-test/</t>
        </is>
      </c>
      <c r="B458" s="24" t="inlineStr">
        <is>
          <t>Content</t>
        </is>
      </c>
      <c r="C458" s="29" t="inlineStr">
        <is>
          <t>Info</t>
        </is>
      </c>
      <c r="D458" s="24" t="inlineStr">
        <is>
          <t>No concise answer paragraph (40-60 words)</t>
        </is>
      </c>
      <c r="E458" s="24" t="n">
        <v>37</v>
      </c>
      <c r="F458" s="24" t="n">
        <v>0</v>
      </c>
      <c r="G458" s="24" t="inlineStr">
        <is>
          <t>&gt;=1 concise answer block</t>
        </is>
      </c>
      <c r="H458" s="24" t="inlineStr">
        <is>
          <t>Add a direct 40-60 word answer immediately below key question headings.</t>
        </is>
      </c>
      <c r="I458" s="28" t="inlineStr">
        <is>
          <t>AEO</t>
        </is>
      </c>
      <c r="J458" s="24" t="inlineStr">
        <is>
          <t>Paragraphs 40-60 Words Count</t>
        </is>
      </c>
      <c r="K458" s="24" t="inlineStr">
        <is>
          <t>No</t>
        </is>
      </c>
      <c r="L458" s="24" t="inlineStr">
        <is>
          <t>Copy Writer</t>
        </is>
      </c>
      <c r="M458" s="25" t="inlineStr">
        <is>
          <t>Open</t>
        </is>
      </c>
      <c r="N458" s="24" t="n">
        <v>4</v>
      </c>
      <c r="O458" s="24" t="inlineStr">
        <is>
          <t>https://africanmarketingconfederation.org/awards-2026-test/::aioseo_no_concise_answer_paragraph_40-60_words_</t>
        </is>
      </c>
      <c r="P458" s="24" t="inlineStr">
        <is>
          <t>Compact answer blocks improve direct-answer extraction chances.</t>
        </is>
      </c>
      <c r="Q458">
        <f>IFERROR(HYPERLINK("#Main!A"&amp;MATCH(A458,Main!A:A,0),"Open"),HYPERLINK("#Main!A1","Open"))</f>
        <v/>
      </c>
      <c r="R458">
        <f>IFERROR(HYPERLINK("#Technical!A"&amp;MATCH(A458,Technical!A:A,0),"Open"),HYPERLINK("#Technical!A1","Open"))</f>
        <v/>
      </c>
    </row>
    <row r="459" ht="30" customHeight="1">
      <c r="A459" s="33" t="inlineStr">
        <is>
          <t>https://africanmarketingconfederation.org/awards-2026/</t>
        </is>
      </c>
      <c r="B459" s="6" t="inlineStr">
        <is>
          <t>Content</t>
        </is>
      </c>
      <c r="C459" s="29" t="inlineStr">
        <is>
          <t>Info</t>
        </is>
      </c>
      <c r="D459" s="6" t="inlineStr">
        <is>
          <t>No concise answer paragraph (40-60 words)</t>
        </is>
      </c>
      <c r="E459" s="6" t="n">
        <v>37</v>
      </c>
      <c r="F459" s="6" t="n">
        <v>0</v>
      </c>
      <c r="G459" s="6" t="inlineStr">
        <is>
          <t>&gt;=1 concise answer block</t>
        </is>
      </c>
      <c r="H459" s="6" t="inlineStr">
        <is>
          <t>Add a direct 40-60 word answer immediately below key question headings.</t>
        </is>
      </c>
      <c r="I459" s="31" t="inlineStr">
        <is>
          <t>AEO</t>
        </is>
      </c>
      <c r="J459" s="6" t="inlineStr">
        <is>
          <t>Paragraphs 40-60 Words Count</t>
        </is>
      </c>
      <c r="K459" s="6" t="inlineStr">
        <is>
          <t>No</t>
        </is>
      </c>
      <c r="L459" s="6" t="inlineStr">
        <is>
          <t>Copy Writer</t>
        </is>
      </c>
      <c r="M459" s="25" t="inlineStr">
        <is>
          <t>Open</t>
        </is>
      </c>
      <c r="N459" s="6" t="n">
        <v>4</v>
      </c>
      <c r="O459" s="6" t="inlineStr">
        <is>
          <t>https://africanmarketingconfederation.org/awards-2026/::aioseo_no_concise_answer_paragraph_40-60_words_</t>
        </is>
      </c>
      <c r="P459" s="6" t="inlineStr">
        <is>
          <t>Compact answer blocks improve direct-answer extraction chances.</t>
        </is>
      </c>
      <c r="Q459">
        <f>IFERROR(HYPERLINK("#Main!A"&amp;MATCH(A459,Main!A:A,0),"Open"),HYPERLINK("#Main!A1","Open"))</f>
        <v/>
      </c>
      <c r="R459">
        <f>IFERROR(HYPERLINK("#Technical!A"&amp;MATCH(A459,Technical!A:A,0),"Open"),HYPERLINK("#Technical!A1","Open"))</f>
        <v/>
      </c>
    </row>
    <row r="460" ht="30" customHeight="1">
      <c r="A460" s="33" t="inlineStr">
        <is>
          <t>https://africanmarketingconfederation.org/certified-professional-marketer-africa/</t>
        </is>
      </c>
      <c r="B460" s="24" t="inlineStr">
        <is>
          <t>Content</t>
        </is>
      </c>
      <c r="C460" s="29" t="inlineStr">
        <is>
          <t>Info</t>
        </is>
      </c>
      <c r="D460" s="24" t="inlineStr">
        <is>
          <t>No concise answer paragraph (40-60 words)</t>
        </is>
      </c>
      <c r="E460" s="24" t="n">
        <v>37</v>
      </c>
      <c r="F460" s="24" t="n">
        <v>0</v>
      </c>
      <c r="G460" s="24" t="inlineStr">
        <is>
          <t>&gt;=1 concise answer block</t>
        </is>
      </c>
      <c r="H460" s="24" t="inlineStr">
        <is>
          <t>Add a direct 40-60 word answer immediately below key question headings.</t>
        </is>
      </c>
      <c r="I460" s="28" t="inlineStr">
        <is>
          <t>AEO</t>
        </is>
      </c>
      <c r="J460" s="24" t="inlineStr">
        <is>
          <t>Paragraphs 40-60 Words Count</t>
        </is>
      </c>
      <c r="K460" s="24" t="inlineStr">
        <is>
          <t>No</t>
        </is>
      </c>
      <c r="L460" s="24" t="inlineStr">
        <is>
          <t>Copy Writer</t>
        </is>
      </c>
      <c r="M460" s="25" t="inlineStr">
        <is>
          <t>Open</t>
        </is>
      </c>
      <c r="N460" s="24" t="n">
        <v>4</v>
      </c>
      <c r="O460" s="24" t="inlineStr">
        <is>
          <t>https://africanmarketingconfederation.org/certified-professional-marketer-africa/::aioseo_no_concise_answer_paragraph_40-60_words_</t>
        </is>
      </c>
      <c r="P460" s="24" t="inlineStr">
        <is>
          <t>Compact answer blocks improve direct-answer extraction chances.</t>
        </is>
      </c>
      <c r="Q460">
        <f>IFERROR(HYPERLINK("#Main!A"&amp;MATCH(A460,Main!A:A,0),"Open"),HYPERLINK("#Main!A1","Open"))</f>
        <v/>
      </c>
      <c r="R460">
        <f>IFERROR(HYPERLINK("#Technical!A"&amp;MATCH(A460,Technical!A:A,0),"Open"),HYPERLINK("#Technical!A1","Open"))</f>
        <v/>
      </c>
    </row>
    <row r="461" ht="30" customHeight="1">
      <c r="A461" s="33" t="inlineStr">
        <is>
          <t>https://africanmarketingconfederation.org/chartered-marketer-africa-final-submission-fee/</t>
        </is>
      </c>
      <c r="B461" s="6" t="inlineStr">
        <is>
          <t>Content</t>
        </is>
      </c>
      <c r="C461" s="29" t="inlineStr">
        <is>
          <t>Info</t>
        </is>
      </c>
      <c r="D461" s="6" t="inlineStr">
        <is>
          <t>No concise answer paragraph (40-60 words)</t>
        </is>
      </c>
      <c r="E461" s="6" t="n">
        <v>37</v>
      </c>
      <c r="F461" s="6" t="n">
        <v>0</v>
      </c>
      <c r="G461" s="6" t="inlineStr">
        <is>
          <t>&gt;=1 concise answer block</t>
        </is>
      </c>
      <c r="H461" s="6" t="inlineStr">
        <is>
          <t>Add a direct 40-60 word answer immediately below key question headings.</t>
        </is>
      </c>
      <c r="I461" s="31" t="inlineStr">
        <is>
          <t>AEO</t>
        </is>
      </c>
      <c r="J461" s="6" t="inlineStr">
        <is>
          <t>Paragraphs 40-60 Words Count</t>
        </is>
      </c>
      <c r="K461" s="6" t="inlineStr">
        <is>
          <t>No</t>
        </is>
      </c>
      <c r="L461" s="6" t="inlineStr">
        <is>
          <t>Copy Writer</t>
        </is>
      </c>
      <c r="M461" s="25" t="inlineStr">
        <is>
          <t>Open</t>
        </is>
      </c>
      <c r="N461" s="6" t="n">
        <v>4</v>
      </c>
      <c r="O461" s="6" t="inlineStr">
        <is>
          <t>https://africanmarketingconfederation.org/chartered-marketer-africa-final-submission-fee/::aioseo_no_concise_answer_paragraph_40-60_words_</t>
        </is>
      </c>
      <c r="P461" s="6" t="inlineStr">
        <is>
          <t>Compact answer blocks improve direct-answer extraction chances.</t>
        </is>
      </c>
      <c r="Q461">
        <f>IFERROR(HYPERLINK("#Main!A"&amp;MATCH(A461,Main!A:A,0),"Open"),HYPERLINK("#Main!A1","Open"))</f>
        <v/>
      </c>
      <c r="R461">
        <f>IFERROR(HYPERLINK("#Technical!A"&amp;MATCH(A461,Technical!A:A,0),"Open"),HYPERLINK("#Technical!A1","Open"))</f>
        <v/>
      </c>
    </row>
    <row r="462" ht="30" customHeight="1">
      <c r="A462" s="33" t="inlineStr">
        <is>
          <t>https://africanmarketingconfederation.org/chartered-marketer-africa-programme-fee/</t>
        </is>
      </c>
      <c r="B462" s="24" t="inlineStr">
        <is>
          <t>Content</t>
        </is>
      </c>
      <c r="C462" s="29" t="inlineStr">
        <is>
          <t>Info</t>
        </is>
      </c>
      <c r="D462" s="24" t="inlineStr">
        <is>
          <t>No concise answer paragraph (40-60 words)</t>
        </is>
      </c>
      <c r="E462" s="24" t="n">
        <v>37</v>
      </c>
      <c r="F462" s="24" t="n">
        <v>0</v>
      </c>
      <c r="G462" s="24" t="inlineStr">
        <is>
          <t>&gt;=1 concise answer block</t>
        </is>
      </c>
      <c r="H462" s="24" t="inlineStr">
        <is>
          <t>Add a direct 40-60 word answer immediately below key question headings.</t>
        </is>
      </c>
      <c r="I462" s="28" t="inlineStr">
        <is>
          <t>AEO</t>
        </is>
      </c>
      <c r="J462" s="24" t="inlineStr">
        <is>
          <t>Paragraphs 40-60 Words Count</t>
        </is>
      </c>
      <c r="K462" s="24" t="inlineStr">
        <is>
          <t>No</t>
        </is>
      </c>
      <c r="L462" s="24" t="inlineStr">
        <is>
          <t>Copy Writer</t>
        </is>
      </c>
      <c r="M462" s="25" t="inlineStr">
        <is>
          <t>Open</t>
        </is>
      </c>
      <c r="N462" s="24" t="n">
        <v>4</v>
      </c>
      <c r="O462" s="24" t="inlineStr">
        <is>
          <t>https://africanmarketingconfederation.org/chartered-marketer-africa-programme-fee/::aioseo_no_concise_answer_paragraph_40-60_words_</t>
        </is>
      </c>
      <c r="P462" s="24" t="inlineStr">
        <is>
          <t>Compact answer blocks improve direct-answer extraction chances.</t>
        </is>
      </c>
      <c r="Q462">
        <f>IFERROR(HYPERLINK("#Main!A"&amp;MATCH(A462,Main!A:A,0),"Open"),HYPERLINK("#Main!A1","Open"))</f>
        <v/>
      </c>
      <c r="R462">
        <f>IFERROR(HYPERLINK("#Technical!A"&amp;MATCH(A462,Technical!A:A,0),"Open"),HYPERLINK("#Technical!A1","Open"))</f>
        <v/>
      </c>
    </row>
    <row r="463" ht="30" customHeight="1">
      <c r="A463" s="33" t="inlineStr">
        <is>
          <t>https://africanmarketingconfederation.org/chartered-marketer-africa-thank-you/</t>
        </is>
      </c>
      <c r="B463" s="6" t="inlineStr">
        <is>
          <t>Content</t>
        </is>
      </c>
      <c r="C463" s="29" t="inlineStr">
        <is>
          <t>Info</t>
        </is>
      </c>
      <c r="D463" s="6" t="inlineStr">
        <is>
          <t>No concise answer paragraph (40-60 words)</t>
        </is>
      </c>
      <c r="E463" s="6" t="n">
        <v>37</v>
      </c>
      <c r="F463" s="6" t="n">
        <v>0</v>
      </c>
      <c r="G463" s="6" t="inlineStr">
        <is>
          <t>&gt;=1 concise answer block</t>
        </is>
      </c>
      <c r="H463" s="6" t="inlineStr">
        <is>
          <t>Add a direct 40-60 word answer immediately below key question headings.</t>
        </is>
      </c>
      <c r="I463" s="31" t="inlineStr">
        <is>
          <t>AEO</t>
        </is>
      </c>
      <c r="J463" s="6" t="inlineStr">
        <is>
          <t>Paragraphs 40-60 Words Count</t>
        </is>
      </c>
      <c r="K463" s="6" t="inlineStr">
        <is>
          <t>No</t>
        </is>
      </c>
      <c r="L463" s="6" t="inlineStr">
        <is>
          <t>Copy Writer</t>
        </is>
      </c>
      <c r="M463" s="25" t="inlineStr">
        <is>
          <t>Open</t>
        </is>
      </c>
      <c r="N463" s="6" t="n">
        <v>4</v>
      </c>
      <c r="O463" s="6" t="inlineStr">
        <is>
          <t>https://africanmarketingconfederation.org/chartered-marketer-africa-thank-you/::aioseo_no_concise_answer_paragraph_40-60_words_</t>
        </is>
      </c>
      <c r="P463" s="6" t="inlineStr">
        <is>
          <t>Compact answer blocks improve direct-answer extraction chances.</t>
        </is>
      </c>
      <c r="Q463">
        <f>IFERROR(HYPERLINK("#Main!A"&amp;MATCH(A463,Main!A:A,0),"Open"),HYPERLINK("#Main!A1","Open"))</f>
        <v/>
      </c>
      <c r="R463">
        <f>IFERROR(HYPERLINK("#Technical!A"&amp;MATCH(A463,Technical!A:A,0),"Open"),HYPERLINK("#Technical!A1","Open"))</f>
        <v/>
      </c>
    </row>
    <row r="464" ht="30" customHeight="1">
      <c r="A464" s="33" t="inlineStr">
        <is>
          <t>https://africanmarketingconfederation.org/chartered-marketer-africa/</t>
        </is>
      </c>
      <c r="B464" s="24" t="inlineStr">
        <is>
          <t>Content</t>
        </is>
      </c>
      <c r="C464" s="29" t="inlineStr">
        <is>
          <t>Info</t>
        </is>
      </c>
      <c r="D464" s="24" t="inlineStr">
        <is>
          <t>No concise answer paragraph (40-60 words)</t>
        </is>
      </c>
      <c r="E464" s="24" t="n">
        <v>37</v>
      </c>
      <c r="F464" s="24" t="n">
        <v>0</v>
      </c>
      <c r="G464" s="24" t="inlineStr">
        <is>
          <t>&gt;=1 concise answer block</t>
        </is>
      </c>
      <c r="H464" s="24" t="inlineStr">
        <is>
          <t>Add a direct 40-60 word answer immediately below key question headings.</t>
        </is>
      </c>
      <c r="I464" s="28" t="inlineStr">
        <is>
          <t>AEO</t>
        </is>
      </c>
      <c r="J464" s="24" t="inlineStr">
        <is>
          <t>Paragraphs 40-60 Words Count</t>
        </is>
      </c>
      <c r="K464" s="24" t="inlineStr">
        <is>
          <t>No</t>
        </is>
      </c>
      <c r="L464" s="24" t="inlineStr">
        <is>
          <t>Copy Writer</t>
        </is>
      </c>
      <c r="M464" s="25" t="inlineStr">
        <is>
          <t>Open</t>
        </is>
      </c>
      <c r="N464" s="24" t="n">
        <v>4</v>
      </c>
      <c r="O464" s="24" t="inlineStr">
        <is>
          <t>https://africanmarketingconfederation.org/chartered-marketer-africa/::aioseo_no_concise_answer_paragraph_40-60_words_</t>
        </is>
      </c>
      <c r="P464" s="24" t="inlineStr">
        <is>
          <t>Compact answer blocks improve direct-answer extraction chances.</t>
        </is>
      </c>
      <c r="Q464">
        <f>IFERROR(HYPERLINK("#Main!A"&amp;MATCH(A464,Main!A:A,0),"Open"),HYPERLINK("#Main!A1","Open"))</f>
        <v/>
      </c>
      <c r="R464">
        <f>IFERROR(HYPERLINK("#Technical!A"&amp;MATCH(A464,Technical!A:A,0),"Open"),HYPERLINK("#Technical!A1","Open"))</f>
        <v/>
      </c>
    </row>
    <row r="465" ht="30" customHeight="1">
      <c r="A465" s="33" t="inlineStr">
        <is>
          <t>https://africanmarketingconfederation.org/checkout/</t>
        </is>
      </c>
      <c r="B465" s="6" t="inlineStr">
        <is>
          <t>Content</t>
        </is>
      </c>
      <c r="C465" s="29" t="inlineStr">
        <is>
          <t>Info</t>
        </is>
      </c>
      <c r="D465" s="6" t="inlineStr">
        <is>
          <t>No concise answer paragraph (40-60 words)</t>
        </is>
      </c>
      <c r="E465" s="6" t="n">
        <v>37</v>
      </c>
      <c r="F465" s="6" t="n">
        <v>0</v>
      </c>
      <c r="G465" s="6" t="inlineStr">
        <is>
          <t>&gt;=1 concise answer block</t>
        </is>
      </c>
      <c r="H465" s="6" t="inlineStr">
        <is>
          <t>Add a direct 40-60 word answer immediately below key question headings.</t>
        </is>
      </c>
      <c r="I465" s="31" t="inlineStr">
        <is>
          <t>AEO</t>
        </is>
      </c>
      <c r="J465" s="6" t="inlineStr">
        <is>
          <t>Paragraphs 40-60 Words Count</t>
        </is>
      </c>
      <c r="K465" s="6" t="inlineStr">
        <is>
          <t>No</t>
        </is>
      </c>
      <c r="L465" s="6" t="inlineStr">
        <is>
          <t>Copy Writer</t>
        </is>
      </c>
      <c r="M465" s="25" t="inlineStr">
        <is>
          <t>Open</t>
        </is>
      </c>
      <c r="N465" s="6" t="n">
        <v>4</v>
      </c>
      <c r="O465" s="6" t="inlineStr">
        <is>
          <t>https://africanmarketingconfederation.org/checkout/::aioseo_no_concise_answer_paragraph_40-60_words_</t>
        </is>
      </c>
      <c r="P465" s="6" t="inlineStr">
        <is>
          <t>Compact answer blocks improve direct-answer extraction chances.</t>
        </is>
      </c>
      <c r="Q465">
        <f>IFERROR(HYPERLINK("#Main!A"&amp;MATCH(A465,Main!A:A,0),"Open"),HYPERLINK("#Main!A1","Open"))</f>
        <v/>
      </c>
      <c r="R465">
        <f>IFERROR(HYPERLINK("#Technical!A"&amp;MATCH(A465,Technical!A:A,0),"Open"),HYPERLINK("#Technical!A1","Open"))</f>
        <v/>
      </c>
    </row>
    <row r="466" ht="30" customHeight="1">
      <c r="A466" s="33" t="inlineStr">
        <is>
          <t>https://africanmarketingconfederation.org/conference-faq-2025/</t>
        </is>
      </c>
      <c r="B466" s="24" t="inlineStr">
        <is>
          <t>Content</t>
        </is>
      </c>
      <c r="C466" s="29" t="inlineStr">
        <is>
          <t>Info</t>
        </is>
      </c>
      <c r="D466" s="24" t="inlineStr">
        <is>
          <t>No concise answer paragraph (40-60 words)</t>
        </is>
      </c>
      <c r="E466" s="24" t="n">
        <v>37</v>
      </c>
      <c r="F466" s="24" t="n">
        <v>0</v>
      </c>
      <c r="G466" s="24" t="inlineStr">
        <is>
          <t>&gt;=1 concise answer block</t>
        </is>
      </c>
      <c r="H466" s="24" t="inlineStr">
        <is>
          <t>Add a direct 40-60 word answer immediately below key question headings.</t>
        </is>
      </c>
      <c r="I466" s="28" t="inlineStr">
        <is>
          <t>AEO</t>
        </is>
      </c>
      <c r="J466" s="24" t="inlineStr">
        <is>
          <t>Paragraphs 40-60 Words Count</t>
        </is>
      </c>
      <c r="K466" s="24" t="inlineStr">
        <is>
          <t>No</t>
        </is>
      </c>
      <c r="L466" s="24" t="inlineStr">
        <is>
          <t>Copy Writer</t>
        </is>
      </c>
      <c r="M466" s="25" t="inlineStr">
        <is>
          <t>Open</t>
        </is>
      </c>
      <c r="N466" s="24" t="n">
        <v>4</v>
      </c>
      <c r="O466" s="24" t="inlineStr">
        <is>
          <t>https://africanmarketingconfederation.org/conference-faq-2025/::aioseo_no_concise_answer_paragraph_40-60_words_</t>
        </is>
      </c>
      <c r="P466" s="24" t="inlineStr">
        <is>
          <t>Compact answer blocks improve direct-answer extraction chances.</t>
        </is>
      </c>
      <c r="Q466">
        <f>IFERROR(HYPERLINK("#Main!A"&amp;MATCH(A466,Main!A:A,0),"Open"),HYPERLINK("#Main!A1","Open"))</f>
        <v/>
      </c>
      <c r="R466">
        <f>IFERROR(HYPERLINK("#Technical!A"&amp;MATCH(A466,Technical!A:A,0),"Open"),HYPERLINK("#Technical!A1","Open"))</f>
        <v/>
      </c>
    </row>
    <row r="467" ht="30" customHeight="1">
      <c r="A467" s="33" t="inlineStr">
        <is>
          <t>https://africanmarketingconfederation.org/conference-registrations-2024/</t>
        </is>
      </c>
      <c r="B467" s="6" t="inlineStr">
        <is>
          <t>Content</t>
        </is>
      </c>
      <c r="C467" s="29" t="inlineStr">
        <is>
          <t>Info</t>
        </is>
      </c>
      <c r="D467" s="6" t="inlineStr">
        <is>
          <t>No concise answer paragraph (40-60 words)</t>
        </is>
      </c>
      <c r="E467" s="6" t="n">
        <v>37</v>
      </c>
      <c r="F467" s="6" t="n">
        <v>0</v>
      </c>
      <c r="G467" s="6" t="inlineStr">
        <is>
          <t>&gt;=1 concise answer block</t>
        </is>
      </c>
      <c r="H467" s="6" t="inlineStr">
        <is>
          <t>Add a direct 40-60 word answer immediately below key question headings.</t>
        </is>
      </c>
      <c r="I467" s="31" t="inlineStr">
        <is>
          <t>AEO</t>
        </is>
      </c>
      <c r="J467" s="6" t="inlineStr">
        <is>
          <t>Paragraphs 40-60 Words Count</t>
        </is>
      </c>
      <c r="K467" s="6" t="inlineStr">
        <is>
          <t>No</t>
        </is>
      </c>
      <c r="L467" s="6" t="inlineStr">
        <is>
          <t>Copy Writer</t>
        </is>
      </c>
      <c r="M467" s="25" t="inlineStr">
        <is>
          <t>Open</t>
        </is>
      </c>
      <c r="N467" s="6" t="n">
        <v>4</v>
      </c>
      <c r="O467" s="6" t="inlineStr">
        <is>
          <t>https://africanmarketingconfederation.org/conference-registrations-2024/::aioseo_no_concise_answer_paragraph_40-60_words_</t>
        </is>
      </c>
      <c r="P467" s="6" t="inlineStr">
        <is>
          <t>Compact answer blocks improve direct-answer extraction chances.</t>
        </is>
      </c>
      <c r="Q467">
        <f>IFERROR(HYPERLINK("#Main!A"&amp;MATCH(A467,Main!A:A,0),"Open"),HYPERLINK("#Main!A1","Open"))</f>
        <v/>
      </c>
      <c r="R467">
        <f>IFERROR(HYPERLINK("#Technical!A"&amp;MATCH(A467,Technical!A:A,0),"Open"),HYPERLINK("#Technical!A1","Open"))</f>
        <v/>
      </c>
    </row>
    <row r="468" ht="30" customHeight="1">
      <c r="A468" s="33" t="inlineStr">
        <is>
          <t>https://africanmarketingconfederation.org/contact-us/</t>
        </is>
      </c>
      <c r="B468" s="24" t="inlineStr">
        <is>
          <t>Content</t>
        </is>
      </c>
      <c r="C468" s="29" t="inlineStr">
        <is>
          <t>Info</t>
        </is>
      </c>
      <c r="D468" s="24" t="inlineStr">
        <is>
          <t>No concise answer paragraph (40-60 words)</t>
        </is>
      </c>
      <c r="E468" s="24" t="n">
        <v>37</v>
      </c>
      <c r="F468" s="24" t="n">
        <v>0</v>
      </c>
      <c r="G468" s="24" t="inlineStr">
        <is>
          <t>&gt;=1 concise answer block</t>
        </is>
      </c>
      <c r="H468" s="24" t="inlineStr">
        <is>
          <t>Add a direct 40-60 word answer immediately below key question headings.</t>
        </is>
      </c>
      <c r="I468" s="28" t="inlineStr">
        <is>
          <t>AEO</t>
        </is>
      </c>
      <c r="J468" s="24" t="inlineStr">
        <is>
          <t>Paragraphs 40-60 Words Count</t>
        </is>
      </c>
      <c r="K468" s="24" t="inlineStr">
        <is>
          <t>No</t>
        </is>
      </c>
      <c r="L468" s="24" t="inlineStr">
        <is>
          <t>Copy Writer</t>
        </is>
      </c>
      <c r="M468" s="25" t="inlineStr">
        <is>
          <t>Open</t>
        </is>
      </c>
      <c r="N468" s="24" t="n">
        <v>4</v>
      </c>
      <c r="O468" s="24" t="inlineStr">
        <is>
          <t>https://africanmarketingconfederation.org/contact-us/::aioseo_no_concise_answer_paragraph_40-60_words_</t>
        </is>
      </c>
      <c r="P468" s="24" t="inlineStr">
        <is>
          <t>Compact answer blocks improve direct-answer extraction chances.</t>
        </is>
      </c>
      <c r="Q468">
        <f>IFERROR(HYPERLINK("#Main!A"&amp;MATCH(A468,Main!A:A,0),"Open"),HYPERLINK("#Main!A1","Open"))</f>
        <v/>
      </c>
      <c r="R468">
        <f>IFERROR(HYPERLINK("#Technical!A"&amp;MATCH(A468,Technical!A:A,0),"Open"),HYPERLINK("#Technical!A1","Open"))</f>
        <v/>
      </c>
    </row>
    <row r="469" ht="30" customHeight="1">
      <c r="A469" s="33" t="inlineStr">
        <is>
          <t>https://africanmarketingconfederation.org/download-brochure/</t>
        </is>
      </c>
      <c r="B469" s="6" t="inlineStr">
        <is>
          <t>Content</t>
        </is>
      </c>
      <c r="C469" s="29" t="inlineStr">
        <is>
          <t>Info</t>
        </is>
      </c>
      <c r="D469" s="6" t="inlineStr">
        <is>
          <t>No concise answer paragraph (40-60 words)</t>
        </is>
      </c>
      <c r="E469" s="6" t="n">
        <v>37</v>
      </c>
      <c r="F469" s="6" t="n">
        <v>0</v>
      </c>
      <c r="G469" s="6" t="inlineStr">
        <is>
          <t>&gt;=1 concise answer block</t>
        </is>
      </c>
      <c r="H469" s="6" t="inlineStr">
        <is>
          <t>Add a direct 40-60 word answer immediately below key question headings.</t>
        </is>
      </c>
      <c r="I469" s="31" t="inlineStr">
        <is>
          <t>AEO</t>
        </is>
      </c>
      <c r="J469" s="6" t="inlineStr">
        <is>
          <t>Paragraphs 40-60 Words Count</t>
        </is>
      </c>
      <c r="K469" s="6" t="inlineStr">
        <is>
          <t>No</t>
        </is>
      </c>
      <c r="L469" s="6" t="inlineStr">
        <is>
          <t>Copy Writer</t>
        </is>
      </c>
      <c r="M469" s="25" t="inlineStr">
        <is>
          <t>Open</t>
        </is>
      </c>
      <c r="N469" s="6" t="n">
        <v>4</v>
      </c>
      <c r="O469" s="6" t="inlineStr">
        <is>
          <t>https://africanmarketingconfederation.org/download-brochure/::aioseo_no_concise_answer_paragraph_40-60_words_</t>
        </is>
      </c>
      <c r="P469" s="6" t="inlineStr">
        <is>
          <t>Compact answer blocks improve direct-answer extraction chances.</t>
        </is>
      </c>
      <c r="Q469">
        <f>IFERROR(HYPERLINK("#Main!A"&amp;MATCH(A469,Main!A:A,0),"Open"),HYPERLINK("#Main!A1","Open"))</f>
        <v/>
      </c>
      <c r="R469">
        <f>IFERROR(HYPERLINK("#Technical!A"&amp;MATCH(A469,Technical!A:A,0),"Open"),HYPERLINK("#Technical!A1","Open"))</f>
        <v/>
      </c>
    </row>
    <row r="470" ht="30" customHeight="1">
      <c r="A470" s="33" t="inlineStr">
        <is>
          <t>https://africanmarketingconfederation.org/download-prospectus-2024/</t>
        </is>
      </c>
      <c r="B470" s="24" t="inlineStr">
        <is>
          <t>Content</t>
        </is>
      </c>
      <c r="C470" s="29" t="inlineStr">
        <is>
          <t>Info</t>
        </is>
      </c>
      <c r="D470" s="24" t="inlineStr">
        <is>
          <t>No concise answer paragraph (40-60 words)</t>
        </is>
      </c>
      <c r="E470" s="24" t="n">
        <v>37</v>
      </c>
      <c r="F470" s="24" t="n">
        <v>0</v>
      </c>
      <c r="G470" s="24" t="inlineStr">
        <is>
          <t>&gt;=1 concise answer block</t>
        </is>
      </c>
      <c r="H470" s="24" t="inlineStr">
        <is>
          <t>Add a direct 40-60 word answer immediately below key question headings.</t>
        </is>
      </c>
      <c r="I470" s="28" t="inlineStr">
        <is>
          <t>AEO</t>
        </is>
      </c>
      <c r="J470" s="24" t="inlineStr">
        <is>
          <t>Paragraphs 40-60 Words Count</t>
        </is>
      </c>
      <c r="K470" s="24" t="inlineStr">
        <is>
          <t>No</t>
        </is>
      </c>
      <c r="L470" s="24" t="inlineStr">
        <is>
          <t>Copy Writer</t>
        </is>
      </c>
      <c r="M470" s="25" t="inlineStr">
        <is>
          <t>Open</t>
        </is>
      </c>
      <c r="N470" s="24" t="n">
        <v>4</v>
      </c>
      <c r="O470" s="24" t="inlineStr">
        <is>
          <t>https://africanmarketingconfederation.org/download-prospectus-2024/::aioseo_no_concise_answer_paragraph_40-60_words_</t>
        </is>
      </c>
      <c r="P470" s="24" t="inlineStr">
        <is>
          <t>Compact answer blocks improve direct-answer extraction chances.</t>
        </is>
      </c>
      <c r="Q470">
        <f>IFERROR(HYPERLINK("#Main!A"&amp;MATCH(A470,Main!A:A,0),"Open"),HYPERLINK("#Main!A1","Open"))</f>
        <v/>
      </c>
      <c r="R470">
        <f>IFERROR(HYPERLINK("#Technical!A"&amp;MATCH(A470,Technical!A:A,0),"Open"),HYPERLINK("#Technical!A1","Open"))</f>
        <v/>
      </c>
    </row>
    <row r="471" ht="30" customHeight="1">
      <c r="A471" s="33" t="inlineStr">
        <is>
          <t>https://africanmarketingconfederation.org/education/</t>
        </is>
      </c>
      <c r="B471" s="6" t="inlineStr">
        <is>
          <t>Content</t>
        </is>
      </c>
      <c r="C471" s="29" t="inlineStr">
        <is>
          <t>Info</t>
        </is>
      </c>
      <c r="D471" s="6" t="inlineStr">
        <is>
          <t>No concise answer paragraph (40-60 words)</t>
        </is>
      </c>
      <c r="E471" s="6" t="n">
        <v>37</v>
      </c>
      <c r="F471" s="6" t="n">
        <v>0</v>
      </c>
      <c r="G471" s="6" t="inlineStr">
        <is>
          <t>&gt;=1 concise answer block</t>
        </is>
      </c>
      <c r="H471" s="6" t="inlineStr">
        <is>
          <t>Add a direct 40-60 word answer immediately below key question headings.</t>
        </is>
      </c>
      <c r="I471" s="31" t="inlineStr">
        <is>
          <t>AEO</t>
        </is>
      </c>
      <c r="J471" s="6" t="inlineStr">
        <is>
          <t>Paragraphs 40-60 Words Count</t>
        </is>
      </c>
      <c r="K471" s="6" t="inlineStr">
        <is>
          <t>No</t>
        </is>
      </c>
      <c r="L471" s="6" t="inlineStr">
        <is>
          <t>Copy Writer</t>
        </is>
      </c>
      <c r="M471" s="25" t="inlineStr">
        <is>
          <t>Open</t>
        </is>
      </c>
      <c r="N471" s="6" t="n">
        <v>4</v>
      </c>
      <c r="O471" s="6" t="inlineStr">
        <is>
          <t>https://africanmarketingconfederation.org/education/::aioseo_no_concise_answer_paragraph_40-60_words_</t>
        </is>
      </c>
      <c r="P471" s="6" t="inlineStr">
        <is>
          <t>Compact answer blocks improve direct-answer extraction chances.</t>
        </is>
      </c>
      <c r="Q471">
        <f>IFERROR(HYPERLINK("#Main!A"&amp;MATCH(A471,Main!A:A,0),"Open"),HYPERLINK("#Main!A1","Open"))</f>
        <v/>
      </c>
      <c r="R471">
        <f>IFERROR(HYPERLINK("#Technical!A"&amp;MATCH(A471,Technical!A:A,0),"Open"),HYPERLINK("#Technical!A1","Open"))</f>
        <v/>
      </c>
    </row>
    <row r="472" ht="30" customHeight="1">
      <c r="A472" s="33" t="inlineStr">
        <is>
          <t>https://africanmarketingconfederation.org/elementor-16548/</t>
        </is>
      </c>
      <c r="B472" s="24" t="inlineStr">
        <is>
          <t>Content</t>
        </is>
      </c>
      <c r="C472" s="29" t="inlineStr">
        <is>
          <t>Info</t>
        </is>
      </c>
      <c r="D472" s="24" t="inlineStr">
        <is>
          <t>No concise answer paragraph (40-60 words)</t>
        </is>
      </c>
      <c r="E472" s="24" t="n">
        <v>37</v>
      </c>
      <c r="F472" s="24" t="n">
        <v>0</v>
      </c>
      <c r="G472" s="24" t="inlineStr">
        <is>
          <t>&gt;=1 concise answer block</t>
        </is>
      </c>
      <c r="H472" s="24" t="inlineStr">
        <is>
          <t>Add a direct 40-60 word answer immediately below key question headings.</t>
        </is>
      </c>
      <c r="I472" s="28" t="inlineStr">
        <is>
          <t>AEO</t>
        </is>
      </c>
      <c r="J472" s="24" t="inlineStr">
        <is>
          <t>Paragraphs 40-60 Words Count</t>
        </is>
      </c>
      <c r="K472" s="24" t="inlineStr">
        <is>
          <t>No</t>
        </is>
      </c>
      <c r="L472" s="24" t="inlineStr">
        <is>
          <t>Copy Writer</t>
        </is>
      </c>
      <c r="M472" s="25" t="inlineStr">
        <is>
          <t>Open</t>
        </is>
      </c>
      <c r="N472" s="24" t="n">
        <v>4</v>
      </c>
      <c r="O472" s="24" t="inlineStr">
        <is>
          <t>https://africanmarketingconfederation.org/elementor-16548/::aioseo_no_concise_answer_paragraph_40-60_words_</t>
        </is>
      </c>
      <c r="P472" s="24" t="inlineStr">
        <is>
          <t>Compact answer blocks improve direct-answer extraction chances.</t>
        </is>
      </c>
      <c r="Q472">
        <f>IFERROR(HYPERLINK("#Main!A"&amp;MATCH(A472,Main!A:A,0),"Open"),HYPERLINK("#Main!A1","Open"))</f>
        <v/>
      </c>
      <c r="R472">
        <f>IFERROR(HYPERLINK("#Technical!A"&amp;MATCH(A472,Technical!A:A,0),"Open"),HYPERLINK("#Technical!A1","Open"))</f>
        <v/>
      </c>
    </row>
    <row r="473" ht="30" customHeight="1">
      <c r="A473" s="33" t="inlineStr">
        <is>
          <t>https://africanmarketingconfederation.org/elementor-20341/</t>
        </is>
      </c>
      <c r="B473" s="6" t="inlineStr">
        <is>
          <t>Content</t>
        </is>
      </c>
      <c r="C473" s="29" t="inlineStr">
        <is>
          <t>Info</t>
        </is>
      </c>
      <c r="D473" s="6" t="inlineStr">
        <is>
          <t>No concise answer paragraph (40-60 words)</t>
        </is>
      </c>
      <c r="E473" s="6" t="n">
        <v>37</v>
      </c>
      <c r="F473" s="6" t="n">
        <v>0</v>
      </c>
      <c r="G473" s="6" t="inlineStr">
        <is>
          <t>&gt;=1 concise answer block</t>
        </is>
      </c>
      <c r="H473" s="6" t="inlineStr">
        <is>
          <t>Add a direct 40-60 word answer immediately below key question headings.</t>
        </is>
      </c>
      <c r="I473" s="31" t="inlineStr">
        <is>
          <t>AEO</t>
        </is>
      </c>
      <c r="J473" s="6" t="inlineStr">
        <is>
          <t>Paragraphs 40-60 Words Count</t>
        </is>
      </c>
      <c r="K473" s="6" t="inlineStr">
        <is>
          <t>No</t>
        </is>
      </c>
      <c r="L473" s="6" t="inlineStr">
        <is>
          <t>Copy Writer</t>
        </is>
      </c>
      <c r="M473" s="25" t="inlineStr">
        <is>
          <t>Open</t>
        </is>
      </c>
      <c r="N473" s="6" t="n">
        <v>4</v>
      </c>
      <c r="O473" s="6" t="inlineStr">
        <is>
          <t>https://africanmarketingconfederation.org/elementor-20341/::aioseo_no_concise_answer_paragraph_40-60_words_</t>
        </is>
      </c>
      <c r="P473" s="6" t="inlineStr">
        <is>
          <t>Compact answer blocks improve direct-answer extraction chances.</t>
        </is>
      </c>
      <c r="Q473">
        <f>IFERROR(HYPERLINK("#Main!A"&amp;MATCH(A473,Main!A:A,0),"Open"),HYPERLINK("#Main!A1","Open"))</f>
        <v/>
      </c>
      <c r="R473">
        <f>IFERROR(HYPERLINK("#Technical!A"&amp;MATCH(A473,Technical!A:A,0),"Open"),HYPERLINK("#Technical!A1","Open"))</f>
        <v/>
      </c>
    </row>
    <row r="474" ht="30" customHeight="1">
      <c r="A474" s="33" t="inlineStr">
        <is>
          <t>https://africanmarketingconfederation.org/elementor-31820/</t>
        </is>
      </c>
      <c r="B474" s="24" t="inlineStr">
        <is>
          <t>Content</t>
        </is>
      </c>
      <c r="C474" s="29" t="inlineStr">
        <is>
          <t>Info</t>
        </is>
      </c>
      <c r="D474" s="24" t="inlineStr">
        <is>
          <t>No concise answer paragraph (40-60 words)</t>
        </is>
      </c>
      <c r="E474" s="24" t="n">
        <v>37</v>
      </c>
      <c r="F474" s="24" t="n">
        <v>0</v>
      </c>
      <c r="G474" s="24" t="inlineStr">
        <is>
          <t>&gt;=1 concise answer block</t>
        </is>
      </c>
      <c r="H474" s="24" t="inlineStr">
        <is>
          <t>Add a direct 40-60 word answer immediately below key question headings.</t>
        </is>
      </c>
      <c r="I474" s="28" t="inlineStr">
        <is>
          <t>AEO</t>
        </is>
      </c>
      <c r="J474" s="24" t="inlineStr">
        <is>
          <t>Paragraphs 40-60 Words Count</t>
        </is>
      </c>
      <c r="K474" s="24" t="inlineStr">
        <is>
          <t>No</t>
        </is>
      </c>
      <c r="L474" s="24" t="inlineStr">
        <is>
          <t>Copy Writer</t>
        </is>
      </c>
      <c r="M474" s="25" t="inlineStr">
        <is>
          <t>Open</t>
        </is>
      </c>
      <c r="N474" s="24" t="n">
        <v>4</v>
      </c>
      <c r="O474" s="24" t="inlineStr">
        <is>
          <t>https://africanmarketingconfederation.org/elementor-31820/::aioseo_no_concise_answer_paragraph_40-60_words_</t>
        </is>
      </c>
      <c r="P474" s="24" t="inlineStr">
        <is>
          <t>Compact answer blocks improve direct-answer extraction chances.</t>
        </is>
      </c>
      <c r="Q474">
        <f>IFERROR(HYPERLINK("#Main!A"&amp;MATCH(A474,Main!A:A,0),"Open"),HYPERLINK("#Main!A1","Open"))</f>
        <v/>
      </c>
      <c r="R474">
        <f>IFERROR(HYPERLINK("#Technical!A"&amp;MATCH(A474,Technical!A:A,0),"Open"),HYPERLINK("#Technical!A1","Open"))</f>
        <v/>
      </c>
    </row>
    <row r="475" ht="30" customHeight="1">
      <c r="A475" s="33" t="inlineStr">
        <is>
          <t>https://africanmarketingconfederation.org/general-enquiry-form-thank-you/</t>
        </is>
      </c>
      <c r="B475" s="6" t="inlineStr">
        <is>
          <t>Content</t>
        </is>
      </c>
      <c r="C475" s="29" t="inlineStr">
        <is>
          <t>Info</t>
        </is>
      </c>
      <c r="D475" s="6" t="inlineStr">
        <is>
          <t>No concise answer paragraph (40-60 words)</t>
        </is>
      </c>
      <c r="E475" s="6" t="n">
        <v>37</v>
      </c>
      <c r="F475" s="6" t="n">
        <v>0</v>
      </c>
      <c r="G475" s="6" t="inlineStr">
        <is>
          <t>&gt;=1 concise answer block</t>
        </is>
      </c>
      <c r="H475" s="6" t="inlineStr">
        <is>
          <t>Add a direct 40-60 word answer immediately below key question headings.</t>
        </is>
      </c>
      <c r="I475" s="31" t="inlineStr">
        <is>
          <t>AEO</t>
        </is>
      </c>
      <c r="J475" s="6" t="inlineStr">
        <is>
          <t>Paragraphs 40-60 Words Count</t>
        </is>
      </c>
      <c r="K475" s="6" t="inlineStr">
        <is>
          <t>No</t>
        </is>
      </c>
      <c r="L475" s="6" t="inlineStr">
        <is>
          <t>Copy Writer</t>
        </is>
      </c>
      <c r="M475" s="25" t="inlineStr">
        <is>
          <t>Open</t>
        </is>
      </c>
      <c r="N475" s="6" t="n">
        <v>4</v>
      </c>
      <c r="O475" s="6" t="inlineStr">
        <is>
          <t>https://africanmarketingconfederation.org/general-enquiry-form-thank-you/::aioseo_no_concise_answer_paragraph_40-60_words_</t>
        </is>
      </c>
      <c r="P475" s="6" t="inlineStr">
        <is>
          <t>Compact answer blocks improve direct-answer extraction chances.</t>
        </is>
      </c>
      <c r="Q475">
        <f>IFERROR(HYPERLINK("#Main!A"&amp;MATCH(A475,Main!A:A,0),"Open"),HYPERLINK("#Main!A1","Open"))</f>
        <v/>
      </c>
      <c r="R475">
        <f>IFERROR(HYPERLINK("#Technical!A"&amp;MATCH(A475,Technical!A:A,0),"Open"),HYPERLINK("#Technical!A1","Open"))</f>
        <v/>
      </c>
    </row>
    <row r="476" ht="30" customHeight="1">
      <c r="A476" s="33" t="inlineStr">
        <is>
          <t>https://africanmarketingconfederation.org/launch-event-2026-amc-conference/</t>
        </is>
      </c>
      <c r="B476" s="24" t="inlineStr">
        <is>
          <t>Content</t>
        </is>
      </c>
      <c r="C476" s="29" t="inlineStr">
        <is>
          <t>Info</t>
        </is>
      </c>
      <c r="D476" s="24" t="inlineStr">
        <is>
          <t>No concise answer paragraph (40-60 words)</t>
        </is>
      </c>
      <c r="E476" s="24" t="n">
        <v>37</v>
      </c>
      <c r="F476" s="24" t="n">
        <v>0</v>
      </c>
      <c r="G476" s="24" t="inlineStr">
        <is>
          <t>&gt;=1 concise answer block</t>
        </is>
      </c>
      <c r="H476" s="24" t="inlineStr">
        <is>
          <t>Add a direct 40-60 word answer immediately below key question headings.</t>
        </is>
      </c>
      <c r="I476" s="28" t="inlineStr">
        <is>
          <t>AEO</t>
        </is>
      </c>
      <c r="J476" s="24" t="inlineStr">
        <is>
          <t>Paragraphs 40-60 Words Count</t>
        </is>
      </c>
      <c r="K476" s="24" t="inlineStr">
        <is>
          <t>No</t>
        </is>
      </c>
      <c r="L476" s="24" t="inlineStr">
        <is>
          <t>Copy Writer</t>
        </is>
      </c>
      <c r="M476" s="25" t="inlineStr">
        <is>
          <t>Open</t>
        </is>
      </c>
      <c r="N476" s="24" t="n">
        <v>4</v>
      </c>
      <c r="O476" s="24" t="inlineStr">
        <is>
          <t>https://africanmarketingconfederation.org/launch-event-2026-amc-conference/::aioseo_no_concise_answer_paragraph_40-60_words_</t>
        </is>
      </c>
      <c r="P476" s="24" t="inlineStr">
        <is>
          <t>Compact answer blocks improve direct-answer extraction chances.</t>
        </is>
      </c>
      <c r="Q476">
        <f>IFERROR(HYPERLINK("#Main!A"&amp;MATCH(A476,Main!A:A,0),"Open"),HYPERLINK("#Main!A1","Open"))</f>
        <v/>
      </c>
      <c r="R476">
        <f>IFERROR(HYPERLINK("#Technical!A"&amp;MATCH(A476,Technical!A:A,0),"Open"),HYPERLINK("#Technical!A1","Open"))</f>
        <v/>
      </c>
    </row>
    <row r="477" ht="30" customHeight="1">
      <c r="A477" s="33" t="inlineStr">
        <is>
          <t>https://africanmarketingconfederation.org/members/</t>
        </is>
      </c>
      <c r="B477" s="6" t="inlineStr">
        <is>
          <t>Content</t>
        </is>
      </c>
      <c r="C477" s="29" t="inlineStr">
        <is>
          <t>Info</t>
        </is>
      </c>
      <c r="D477" s="6" t="inlineStr">
        <is>
          <t>No concise answer paragraph (40-60 words)</t>
        </is>
      </c>
      <c r="E477" s="6" t="n">
        <v>37</v>
      </c>
      <c r="F477" s="6" t="n">
        <v>0</v>
      </c>
      <c r="G477" s="6" t="inlineStr">
        <is>
          <t>&gt;=1 concise answer block</t>
        </is>
      </c>
      <c r="H477" s="6" t="inlineStr">
        <is>
          <t>Add a direct 40-60 word answer immediately below key question headings.</t>
        </is>
      </c>
      <c r="I477" s="31" t="inlineStr">
        <is>
          <t>AEO</t>
        </is>
      </c>
      <c r="J477" s="6" t="inlineStr">
        <is>
          <t>Paragraphs 40-60 Words Count</t>
        </is>
      </c>
      <c r="K477" s="6" t="inlineStr">
        <is>
          <t>No</t>
        </is>
      </c>
      <c r="L477" s="6" t="inlineStr">
        <is>
          <t>Copy Writer</t>
        </is>
      </c>
      <c r="M477" s="25" t="inlineStr">
        <is>
          <t>Open</t>
        </is>
      </c>
      <c r="N477" s="6" t="n">
        <v>4</v>
      </c>
      <c r="O477" s="6" t="inlineStr">
        <is>
          <t>https://africanmarketingconfederation.org/members/::aioseo_no_concise_answer_paragraph_40-60_words_</t>
        </is>
      </c>
      <c r="P477" s="6" t="inlineStr">
        <is>
          <t>Compact answer blocks improve direct-answer extraction chances.</t>
        </is>
      </c>
      <c r="Q477">
        <f>IFERROR(HYPERLINK("#Main!A"&amp;MATCH(A477,Main!A:A,0),"Open"),HYPERLINK("#Main!A1","Open"))</f>
        <v/>
      </c>
      <c r="R477">
        <f>IFERROR(HYPERLINK("#Technical!A"&amp;MATCH(A477,Technical!A:A,0),"Open"),HYPERLINK("#Technical!A1","Open"))</f>
        <v/>
      </c>
    </row>
    <row r="478" ht="30" customHeight="1">
      <c r="A478" s="33" t="inlineStr">
        <is>
          <t>https://africanmarketingconfederation.org/news-articles/</t>
        </is>
      </c>
      <c r="B478" s="24" t="inlineStr">
        <is>
          <t>Content</t>
        </is>
      </c>
      <c r="C478" s="29" t="inlineStr">
        <is>
          <t>Info</t>
        </is>
      </c>
      <c r="D478" s="24" t="inlineStr">
        <is>
          <t>No concise answer paragraph (40-60 words)</t>
        </is>
      </c>
      <c r="E478" s="24" t="n">
        <v>37</v>
      </c>
      <c r="F478" s="24" t="n">
        <v>0</v>
      </c>
      <c r="G478" s="24" t="inlineStr">
        <is>
          <t>&gt;=1 concise answer block</t>
        </is>
      </c>
      <c r="H478" s="24" t="inlineStr">
        <is>
          <t>Add a direct 40-60 word answer immediately below key question headings.</t>
        </is>
      </c>
      <c r="I478" s="28" t="inlineStr">
        <is>
          <t>AEO</t>
        </is>
      </c>
      <c r="J478" s="24" t="inlineStr">
        <is>
          <t>Paragraphs 40-60 Words Count</t>
        </is>
      </c>
      <c r="K478" s="24" t="inlineStr">
        <is>
          <t>No</t>
        </is>
      </c>
      <c r="L478" s="24" t="inlineStr">
        <is>
          <t>Copy Writer</t>
        </is>
      </c>
      <c r="M478" s="25" t="inlineStr">
        <is>
          <t>Open</t>
        </is>
      </c>
      <c r="N478" s="24" t="n">
        <v>4</v>
      </c>
      <c r="O478" s="24" t="inlineStr">
        <is>
          <t>https://africanmarketingconfederation.org/news-articles/::aioseo_no_concise_answer_paragraph_40-60_words_</t>
        </is>
      </c>
      <c r="P478" s="24" t="inlineStr">
        <is>
          <t>Compact answer blocks improve direct-answer extraction chances.</t>
        </is>
      </c>
      <c r="Q478">
        <f>IFERROR(HYPERLINK("#Main!A"&amp;MATCH(A478,Main!A:A,0),"Open"),HYPERLINK("#Main!A1","Open"))</f>
        <v/>
      </c>
      <c r="R478">
        <f>IFERROR(HYPERLINK("#Technical!A"&amp;MATCH(A478,Technical!A:A,0),"Open"),HYPERLINK("#Technical!A1","Open"))</f>
        <v/>
      </c>
    </row>
    <row r="479" ht="30" customHeight="1">
      <c r="A479" s="33" t="inlineStr">
        <is>
          <t>https://africanmarketingconfederation.org/privacy-policy/</t>
        </is>
      </c>
      <c r="B479" s="6" t="inlineStr">
        <is>
          <t>Content</t>
        </is>
      </c>
      <c r="C479" s="29" t="inlineStr">
        <is>
          <t>Info</t>
        </is>
      </c>
      <c r="D479" s="6" t="inlineStr">
        <is>
          <t>No concise answer paragraph (40-60 words)</t>
        </is>
      </c>
      <c r="E479" s="6" t="n">
        <v>37</v>
      </c>
      <c r="F479" s="6" t="n">
        <v>0</v>
      </c>
      <c r="G479" s="6" t="inlineStr">
        <is>
          <t>&gt;=1 concise answer block</t>
        </is>
      </c>
      <c r="H479" s="6" t="inlineStr">
        <is>
          <t>Add a direct 40-60 word answer immediately below key question headings.</t>
        </is>
      </c>
      <c r="I479" s="31" t="inlineStr">
        <is>
          <t>AEO</t>
        </is>
      </c>
      <c r="J479" s="6" t="inlineStr">
        <is>
          <t>Paragraphs 40-60 Words Count</t>
        </is>
      </c>
      <c r="K479" s="6" t="inlineStr">
        <is>
          <t>No</t>
        </is>
      </c>
      <c r="L479" s="6" t="inlineStr">
        <is>
          <t>Copy Writer</t>
        </is>
      </c>
      <c r="M479" s="25" t="inlineStr">
        <is>
          <t>Open</t>
        </is>
      </c>
      <c r="N479" s="6" t="n">
        <v>4</v>
      </c>
      <c r="O479" s="6" t="inlineStr">
        <is>
          <t>https://africanmarketingconfederation.org/privacy-policy/::aioseo_no_concise_answer_paragraph_40-60_words_</t>
        </is>
      </c>
      <c r="P479" s="6" t="inlineStr">
        <is>
          <t>Compact answer blocks improve direct-answer extraction chances.</t>
        </is>
      </c>
      <c r="Q479">
        <f>IFERROR(HYPERLINK("#Main!A"&amp;MATCH(A479,Main!A:A,0),"Open"),HYPERLINK("#Main!A1","Open"))</f>
        <v/>
      </c>
      <c r="R479">
        <f>IFERROR(HYPERLINK("#Technical!A"&amp;MATCH(A479,Technical!A:A,0),"Open"),HYPERLINK("#Technical!A1","Open"))</f>
        <v/>
      </c>
    </row>
    <row r="480" ht="30" customHeight="1">
      <c r="A480" s="33" t="inlineStr">
        <is>
          <t>https://africanmarketingconfederation.org/publication-download-list/</t>
        </is>
      </c>
      <c r="B480" s="24" t="inlineStr">
        <is>
          <t>Content</t>
        </is>
      </c>
      <c r="C480" s="29" t="inlineStr">
        <is>
          <t>Info</t>
        </is>
      </c>
      <c r="D480" s="24" t="inlineStr">
        <is>
          <t>No concise answer paragraph (40-60 words)</t>
        </is>
      </c>
      <c r="E480" s="24" t="n">
        <v>37</v>
      </c>
      <c r="F480" s="24" t="n">
        <v>0</v>
      </c>
      <c r="G480" s="24" t="inlineStr">
        <is>
          <t>&gt;=1 concise answer block</t>
        </is>
      </c>
      <c r="H480" s="24" t="inlineStr">
        <is>
          <t>Add a direct 40-60 word answer immediately below key question headings.</t>
        </is>
      </c>
      <c r="I480" s="28" t="inlineStr">
        <is>
          <t>AEO</t>
        </is>
      </c>
      <c r="J480" s="24" t="inlineStr">
        <is>
          <t>Paragraphs 40-60 Words Count</t>
        </is>
      </c>
      <c r="K480" s="24" t="inlineStr">
        <is>
          <t>No</t>
        </is>
      </c>
      <c r="L480" s="24" t="inlineStr">
        <is>
          <t>Copy Writer</t>
        </is>
      </c>
      <c r="M480" s="25" t="inlineStr">
        <is>
          <t>Open</t>
        </is>
      </c>
      <c r="N480" s="24" t="n">
        <v>4</v>
      </c>
      <c r="O480" s="24" t="inlineStr">
        <is>
          <t>https://africanmarketingconfederation.org/publication-download-list/::aioseo_no_concise_answer_paragraph_40-60_words_</t>
        </is>
      </c>
      <c r="P480" s="24" t="inlineStr">
        <is>
          <t>Compact answer blocks improve direct-answer extraction chances.</t>
        </is>
      </c>
      <c r="Q480">
        <f>IFERROR(HYPERLINK("#Main!A"&amp;MATCH(A480,Main!A:A,0),"Open"),HYPERLINK("#Main!A1","Open"))</f>
        <v/>
      </c>
      <c r="R480">
        <f>IFERROR(HYPERLINK("#Technical!A"&amp;MATCH(A480,Technical!A:A,0),"Open"),HYPERLINK("#Technical!A1","Open"))</f>
        <v/>
      </c>
    </row>
    <row r="481" ht="30" customHeight="1">
      <c r="A481" s="33" t="inlineStr">
        <is>
          <t>https://africanmarketingconfederation.org/publications-2/</t>
        </is>
      </c>
      <c r="B481" s="6" t="inlineStr">
        <is>
          <t>Content</t>
        </is>
      </c>
      <c r="C481" s="29" t="inlineStr">
        <is>
          <t>Info</t>
        </is>
      </c>
      <c r="D481" s="6" t="inlineStr">
        <is>
          <t>No concise answer paragraph (40-60 words)</t>
        </is>
      </c>
      <c r="E481" s="6" t="n">
        <v>37</v>
      </c>
      <c r="F481" s="6" t="n">
        <v>0</v>
      </c>
      <c r="G481" s="6" t="inlineStr">
        <is>
          <t>&gt;=1 concise answer block</t>
        </is>
      </c>
      <c r="H481" s="6" t="inlineStr">
        <is>
          <t>Add a direct 40-60 word answer immediately below key question headings.</t>
        </is>
      </c>
      <c r="I481" s="31" t="inlineStr">
        <is>
          <t>AEO</t>
        </is>
      </c>
      <c r="J481" s="6" t="inlineStr">
        <is>
          <t>Paragraphs 40-60 Words Count</t>
        </is>
      </c>
      <c r="K481" s="6" t="inlineStr">
        <is>
          <t>No</t>
        </is>
      </c>
      <c r="L481" s="6" t="inlineStr">
        <is>
          <t>Copy Writer</t>
        </is>
      </c>
      <c r="M481" s="25" t="inlineStr">
        <is>
          <t>Open</t>
        </is>
      </c>
      <c r="N481" s="6" t="n">
        <v>4</v>
      </c>
      <c r="O481" s="6" t="inlineStr">
        <is>
          <t>https://africanmarketingconfederation.org/publications-2/::aioseo_no_concise_answer_paragraph_40-60_words_</t>
        </is>
      </c>
      <c r="P481" s="6" t="inlineStr">
        <is>
          <t>Compact answer blocks improve direct-answer extraction chances.</t>
        </is>
      </c>
      <c r="Q481">
        <f>IFERROR(HYPERLINK("#Main!A"&amp;MATCH(A481,Main!A:A,0),"Open"),HYPERLINK("#Main!A1","Open"))</f>
        <v/>
      </c>
      <c r="R481">
        <f>IFERROR(HYPERLINK("#Technical!A"&amp;MATCH(A481,Technical!A:A,0),"Open"),HYPERLINK("#Technical!A1","Open"))</f>
        <v/>
      </c>
    </row>
    <row r="482" ht="30" customHeight="1">
      <c r="A482" s="33" t="inlineStr">
        <is>
          <t>https://africanmarketingconfederation.org/speakers-2025/</t>
        </is>
      </c>
      <c r="B482" s="24" t="inlineStr">
        <is>
          <t>Content</t>
        </is>
      </c>
      <c r="C482" s="29" t="inlineStr">
        <is>
          <t>Info</t>
        </is>
      </c>
      <c r="D482" s="24" t="inlineStr">
        <is>
          <t>No concise answer paragraph (40-60 words)</t>
        </is>
      </c>
      <c r="E482" s="24" t="n">
        <v>37</v>
      </c>
      <c r="F482" s="24" t="n">
        <v>0</v>
      </c>
      <c r="G482" s="24" t="inlineStr">
        <is>
          <t>&gt;=1 concise answer block</t>
        </is>
      </c>
      <c r="H482" s="24" t="inlineStr">
        <is>
          <t>Add a direct 40-60 word answer immediately below key question headings.</t>
        </is>
      </c>
      <c r="I482" s="28" t="inlineStr">
        <is>
          <t>AEO</t>
        </is>
      </c>
      <c r="J482" s="24" t="inlineStr">
        <is>
          <t>Paragraphs 40-60 Words Count</t>
        </is>
      </c>
      <c r="K482" s="24" t="inlineStr">
        <is>
          <t>No</t>
        </is>
      </c>
      <c r="L482" s="24" t="inlineStr">
        <is>
          <t>Copy Writer</t>
        </is>
      </c>
      <c r="M482" s="25" t="inlineStr">
        <is>
          <t>Open</t>
        </is>
      </c>
      <c r="N482" s="24" t="n">
        <v>4</v>
      </c>
      <c r="O482" s="24" t="inlineStr">
        <is>
          <t>https://africanmarketingconfederation.org/speakers-2025/::aioseo_no_concise_answer_paragraph_40-60_words_</t>
        </is>
      </c>
      <c r="P482" s="24" t="inlineStr">
        <is>
          <t>Compact answer blocks improve direct-answer extraction chances.</t>
        </is>
      </c>
      <c r="Q482">
        <f>IFERROR(HYPERLINK("#Main!A"&amp;MATCH(A482,Main!A:A,0),"Open"),HYPERLINK("#Main!A1","Open"))</f>
        <v/>
      </c>
      <c r="R482">
        <f>IFERROR(HYPERLINK("#Technical!A"&amp;MATCH(A482,Technical!A:A,0),"Open"),HYPERLINK("#Technical!A1","Open"))</f>
        <v/>
      </c>
    </row>
    <row r="483" ht="30" customHeight="1">
      <c r="A483" s="33" t="inlineStr">
        <is>
          <t>https://africanmarketingconfederation.org/speakers/</t>
        </is>
      </c>
      <c r="B483" s="6" t="inlineStr">
        <is>
          <t>Content</t>
        </is>
      </c>
      <c r="C483" s="29" t="inlineStr">
        <is>
          <t>Info</t>
        </is>
      </c>
      <c r="D483" s="6" t="inlineStr">
        <is>
          <t>No concise answer paragraph (40-60 words)</t>
        </is>
      </c>
      <c r="E483" s="6" t="n">
        <v>37</v>
      </c>
      <c r="F483" s="6" t="n">
        <v>0</v>
      </c>
      <c r="G483" s="6" t="inlineStr">
        <is>
          <t>&gt;=1 concise answer block</t>
        </is>
      </c>
      <c r="H483" s="6" t="inlineStr">
        <is>
          <t>Add a direct 40-60 word answer immediately below key question headings.</t>
        </is>
      </c>
      <c r="I483" s="31" t="inlineStr">
        <is>
          <t>AEO</t>
        </is>
      </c>
      <c r="J483" s="6" t="inlineStr">
        <is>
          <t>Paragraphs 40-60 Words Count</t>
        </is>
      </c>
      <c r="K483" s="6" t="inlineStr">
        <is>
          <t>No</t>
        </is>
      </c>
      <c r="L483" s="6" t="inlineStr">
        <is>
          <t>Copy Writer</t>
        </is>
      </c>
      <c r="M483" s="25" t="inlineStr">
        <is>
          <t>Open</t>
        </is>
      </c>
      <c r="N483" s="6" t="n">
        <v>4</v>
      </c>
      <c r="O483" s="6" t="inlineStr">
        <is>
          <t>https://africanmarketingconfederation.org/speakers/::aioseo_no_concise_answer_paragraph_40-60_words_</t>
        </is>
      </c>
      <c r="P483" s="6" t="inlineStr">
        <is>
          <t>Compact answer blocks improve direct-answer extraction chances.</t>
        </is>
      </c>
      <c r="Q483">
        <f>IFERROR(HYPERLINK("#Main!A"&amp;MATCH(A483,Main!A:A,0),"Open"),HYPERLINK("#Main!A1","Open"))</f>
        <v/>
      </c>
      <c r="R483">
        <f>IFERROR(HYPERLINK("#Technical!A"&amp;MATCH(A483,Technical!A:A,0),"Open"),HYPERLINK("#Technical!A1","Open"))</f>
        <v/>
      </c>
    </row>
    <row r="484" ht="30" customHeight="1">
      <c r="A484" s="33" t="inlineStr">
        <is>
          <t>https://africanmarketingconfederation.org/sub-committees/</t>
        </is>
      </c>
      <c r="B484" s="24" t="inlineStr">
        <is>
          <t>Content</t>
        </is>
      </c>
      <c r="C484" s="29" t="inlineStr">
        <is>
          <t>Info</t>
        </is>
      </c>
      <c r="D484" s="24" t="inlineStr">
        <is>
          <t>No concise answer paragraph (40-60 words)</t>
        </is>
      </c>
      <c r="E484" s="24" t="n">
        <v>37</v>
      </c>
      <c r="F484" s="24" t="n">
        <v>0</v>
      </c>
      <c r="G484" s="24" t="inlineStr">
        <is>
          <t>&gt;=1 concise answer block</t>
        </is>
      </c>
      <c r="H484" s="24" t="inlineStr">
        <is>
          <t>Add a direct 40-60 word answer immediately below key question headings.</t>
        </is>
      </c>
      <c r="I484" s="28" t="inlineStr">
        <is>
          <t>AEO</t>
        </is>
      </c>
      <c r="J484" s="24" t="inlineStr">
        <is>
          <t>Paragraphs 40-60 Words Count</t>
        </is>
      </c>
      <c r="K484" s="24" t="inlineStr">
        <is>
          <t>No</t>
        </is>
      </c>
      <c r="L484" s="24" t="inlineStr">
        <is>
          <t>Copy Writer</t>
        </is>
      </c>
      <c r="M484" s="25" t="inlineStr">
        <is>
          <t>Open</t>
        </is>
      </c>
      <c r="N484" s="24" t="n">
        <v>4</v>
      </c>
      <c r="O484" s="24" t="inlineStr">
        <is>
          <t>https://africanmarketingconfederation.org/sub-committees/::aioseo_no_concise_answer_paragraph_40-60_words_</t>
        </is>
      </c>
      <c r="P484" s="24" t="inlineStr">
        <is>
          <t>Compact answer blocks improve direct-answer extraction chances.</t>
        </is>
      </c>
      <c r="Q484">
        <f>IFERROR(HYPERLINK("#Main!A"&amp;MATCH(A484,Main!A:A,0),"Open"),HYPERLINK("#Main!A1","Open"))</f>
        <v/>
      </c>
      <c r="R484">
        <f>IFERROR(HYPERLINK("#Technical!A"&amp;MATCH(A484,Technical!A:A,0),"Open"),HYPERLINK("#Technical!A1","Open"))</f>
        <v/>
      </c>
    </row>
    <row r="485" ht="30" customHeight="1">
      <c r="A485" s="33" t="inlineStr">
        <is>
          <t>https://africanmarketingconfederation.org/subscribe/</t>
        </is>
      </c>
      <c r="B485" s="6" t="inlineStr">
        <is>
          <t>Content</t>
        </is>
      </c>
      <c r="C485" s="29" t="inlineStr">
        <is>
          <t>Info</t>
        </is>
      </c>
      <c r="D485" s="6" t="inlineStr">
        <is>
          <t>No concise answer paragraph (40-60 words)</t>
        </is>
      </c>
      <c r="E485" s="6" t="n">
        <v>37</v>
      </c>
      <c r="F485" s="6" t="n">
        <v>0</v>
      </c>
      <c r="G485" s="6" t="inlineStr">
        <is>
          <t>&gt;=1 concise answer block</t>
        </is>
      </c>
      <c r="H485" s="6" t="inlineStr">
        <is>
          <t>Add a direct 40-60 word answer immediately below key question headings.</t>
        </is>
      </c>
      <c r="I485" s="31" t="inlineStr">
        <is>
          <t>AEO</t>
        </is>
      </c>
      <c r="J485" s="6" t="inlineStr">
        <is>
          <t>Paragraphs 40-60 Words Count</t>
        </is>
      </c>
      <c r="K485" s="6" t="inlineStr">
        <is>
          <t>No</t>
        </is>
      </c>
      <c r="L485" s="6" t="inlineStr">
        <is>
          <t>Copy Writer</t>
        </is>
      </c>
      <c r="M485" s="25" t="inlineStr">
        <is>
          <t>Open</t>
        </is>
      </c>
      <c r="N485" s="6" t="n">
        <v>4</v>
      </c>
      <c r="O485" s="6" t="inlineStr">
        <is>
          <t>https://africanmarketingconfederation.org/subscribe/::aioseo_no_concise_answer_paragraph_40-60_words_</t>
        </is>
      </c>
      <c r="P485" s="6" t="inlineStr">
        <is>
          <t>Compact answer blocks improve direct-answer extraction chances.</t>
        </is>
      </c>
      <c r="Q485">
        <f>IFERROR(HYPERLINK("#Main!A"&amp;MATCH(A485,Main!A:A,0),"Open"),HYPERLINK("#Main!A1","Open"))</f>
        <v/>
      </c>
      <c r="R485">
        <f>IFERROR(HYPERLINK("#Technical!A"&amp;MATCH(A485,Technical!A:A,0),"Open"),HYPERLINK("#Technical!A1","Open"))</f>
        <v/>
      </c>
    </row>
    <row r="486" ht="30" customHeight="1">
      <c r="A486" s="33" t="inlineStr">
        <is>
          <t>https://africanmarketingconfederation.org/test-homeslider/</t>
        </is>
      </c>
      <c r="B486" s="24" t="inlineStr">
        <is>
          <t>Content</t>
        </is>
      </c>
      <c r="C486" s="29" t="inlineStr">
        <is>
          <t>Info</t>
        </is>
      </c>
      <c r="D486" s="24" t="inlineStr">
        <is>
          <t>No concise answer paragraph (40-60 words)</t>
        </is>
      </c>
      <c r="E486" s="24" t="n">
        <v>37</v>
      </c>
      <c r="F486" s="24" t="n">
        <v>0</v>
      </c>
      <c r="G486" s="24" t="inlineStr">
        <is>
          <t>&gt;=1 concise answer block</t>
        </is>
      </c>
      <c r="H486" s="24" t="inlineStr">
        <is>
          <t>Add a direct 40-60 word answer immediately below key question headings.</t>
        </is>
      </c>
      <c r="I486" s="28" t="inlineStr">
        <is>
          <t>AEO</t>
        </is>
      </c>
      <c r="J486" s="24" t="inlineStr">
        <is>
          <t>Paragraphs 40-60 Words Count</t>
        </is>
      </c>
      <c r="K486" s="24" t="inlineStr">
        <is>
          <t>No</t>
        </is>
      </c>
      <c r="L486" s="24" t="inlineStr">
        <is>
          <t>Copy Writer</t>
        </is>
      </c>
      <c r="M486" s="25" t="inlineStr">
        <is>
          <t>Open</t>
        </is>
      </c>
      <c r="N486" s="24" t="n">
        <v>4</v>
      </c>
      <c r="O486" s="24" t="inlineStr">
        <is>
          <t>https://africanmarketingconfederation.org/test-homeslider/::aioseo_no_concise_answer_paragraph_40-60_words_</t>
        </is>
      </c>
      <c r="P486" s="24" t="inlineStr">
        <is>
          <t>Compact answer blocks improve direct-answer extraction chances.</t>
        </is>
      </c>
      <c r="Q486">
        <f>IFERROR(HYPERLINK("#Main!A"&amp;MATCH(A486,Main!A:A,0),"Open"),HYPERLINK("#Main!A1","Open"))</f>
        <v/>
      </c>
      <c r="R486">
        <f>IFERROR(HYPERLINK("#Technical!A"&amp;MATCH(A486,Technical!A:A,0),"Open"),HYPERLINK("#Technical!A1","Open"))</f>
        <v/>
      </c>
    </row>
    <row r="487" ht="30" customHeight="1">
      <c r="A487" s="33" t="inlineStr">
        <is>
          <t>https://africanmarketingconfederation.org/test-payment-gate/</t>
        </is>
      </c>
      <c r="B487" s="6" t="inlineStr">
        <is>
          <t>Content</t>
        </is>
      </c>
      <c r="C487" s="29" t="inlineStr">
        <is>
          <t>Info</t>
        </is>
      </c>
      <c r="D487" s="6" t="inlineStr">
        <is>
          <t>No concise answer paragraph (40-60 words)</t>
        </is>
      </c>
      <c r="E487" s="6" t="n">
        <v>37</v>
      </c>
      <c r="F487" s="6" t="n">
        <v>0</v>
      </c>
      <c r="G487" s="6" t="inlineStr">
        <is>
          <t>&gt;=1 concise answer block</t>
        </is>
      </c>
      <c r="H487" s="6" t="inlineStr">
        <is>
          <t>Add a direct 40-60 word answer immediately below key question headings.</t>
        </is>
      </c>
      <c r="I487" s="31" t="inlineStr">
        <is>
          <t>AEO</t>
        </is>
      </c>
      <c r="J487" s="6" t="inlineStr">
        <is>
          <t>Paragraphs 40-60 Words Count</t>
        </is>
      </c>
      <c r="K487" s="6" t="inlineStr">
        <is>
          <t>No</t>
        </is>
      </c>
      <c r="L487" s="6" t="inlineStr">
        <is>
          <t>Copy Writer</t>
        </is>
      </c>
      <c r="M487" s="25" t="inlineStr">
        <is>
          <t>Open</t>
        </is>
      </c>
      <c r="N487" s="6" t="n">
        <v>4</v>
      </c>
      <c r="O487" s="6" t="inlineStr">
        <is>
          <t>https://africanmarketingconfederation.org/test-payment-gate/::aioseo_no_concise_answer_paragraph_40-60_words_</t>
        </is>
      </c>
      <c r="P487" s="6" t="inlineStr">
        <is>
          <t>Compact answer blocks improve direct-answer extraction chances.</t>
        </is>
      </c>
      <c r="Q487">
        <f>IFERROR(HYPERLINK("#Main!A"&amp;MATCH(A487,Main!A:A,0),"Open"),HYPERLINK("#Main!A1","Open"))</f>
        <v/>
      </c>
      <c r="R487">
        <f>IFERROR(HYPERLINK("#Technical!A"&amp;MATCH(A487,Technical!A:A,0),"Open"),HYPERLINK("#Technical!A1","Open"))</f>
        <v/>
      </c>
    </row>
    <row r="488" ht="30" customHeight="1">
      <c r="A488" s="33" t="inlineStr">
        <is>
          <t>https://africanmarketingconfederation.org/thank-you-for-registering-2024-registrations-kenya/</t>
        </is>
      </c>
      <c r="B488" s="24" t="inlineStr">
        <is>
          <t>Content</t>
        </is>
      </c>
      <c r="C488" s="29" t="inlineStr">
        <is>
          <t>Info</t>
        </is>
      </c>
      <c r="D488" s="24" t="inlineStr">
        <is>
          <t>No concise answer paragraph (40-60 words)</t>
        </is>
      </c>
      <c r="E488" s="24" t="n">
        <v>37</v>
      </c>
      <c r="F488" s="24" t="n">
        <v>0</v>
      </c>
      <c r="G488" s="24" t="inlineStr">
        <is>
          <t>&gt;=1 concise answer block</t>
        </is>
      </c>
      <c r="H488" s="24" t="inlineStr">
        <is>
          <t>Add a direct 40-60 word answer immediately below key question headings.</t>
        </is>
      </c>
      <c r="I488" s="28" t="inlineStr">
        <is>
          <t>AEO</t>
        </is>
      </c>
      <c r="J488" s="24" t="inlineStr">
        <is>
          <t>Paragraphs 40-60 Words Count</t>
        </is>
      </c>
      <c r="K488" s="24" t="inlineStr">
        <is>
          <t>No</t>
        </is>
      </c>
      <c r="L488" s="24" t="inlineStr">
        <is>
          <t>Copy Writer</t>
        </is>
      </c>
      <c r="M488" s="25" t="inlineStr">
        <is>
          <t>Open</t>
        </is>
      </c>
      <c r="N488" s="24" t="n">
        <v>4</v>
      </c>
      <c r="O488" s="24" t="inlineStr">
        <is>
          <t>https://africanmarketingconfederation.org/thank-you-for-registering-2024-registrations-kenya/::aioseo_no_concise_answer_paragraph_40-60_words_</t>
        </is>
      </c>
      <c r="P488" s="24" t="inlineStr">
        <is>
          <t>Compact answer blocks improve direct-answer extraction chances.</t>
        </is>
      </c>
      <c r="Q488">
        <f>IFERROR(HYPERLINK("#Main!A"&amp;MATCH(A488,Main!A:A,0),"Open"),HYPERLINK("#Main!A1","Open"))</f>
        <v/>
      </c>
      <c r="R488">
        <f>IFERROR(HYPERLINK("#Technical!A"&amp;MATCH(A488,Technical!A:A,0),"Open"),HYPERLINK("#Technical!A1","Open"))</f>
        <v/>
      </c>
    </row>
    <row r="489" ht="30" customHeight="1">
      <c r="A489" s="33" t="inlineStr">
        <is>
          <t>https://africanmarketingconfederation.org/thank-you-for-registering-2024-registrations/</t>
        </is>
      </c>
      <c r="B489" s="6" t="inlineStr">
        <is>
          <t>Content</t>
        </is>
      </c>
      <c r="C489" s="29" t="inlineStr">
        <is>
          <t>Info</t>
        </is>
      </c>
      <c r="D489" s="6" t="inlineStr">
        <is>
          <t>No concise answer paragraph (40-60 words)</t>
        </is>
      </c>
      <c r="E489" s="6" t="n">
        <v>37</v>
      </c>
      <c r="F489" s="6" t="n">
        <v>0</v>
      </c>
      <c r="G489" s="6" t="inlineStr">
        <is>
          <t>&gt;=1 concise answer block</t>
        </is>
      </c>
      <c r="H489" s="6" t="inlineStr">
        <is>
          <t>Add a direct 40-60 word answer immediately below key question headings.</t>
        </is>
      </c>
      <c r="I489" s="31" t="inlineStr">
        <is>
          <t>AEO</t>
        </is>
      </c>
      <c r="J489" s="6" t="inlineStr">
        <is>
          <t>Paragraphs 40-60 Words Count</t>
        </is>
      </c>
      <c r="K489" s="6" t="inlineStr">
        <is>
          <t>No</t>
        </is>
      </c>
      <c r="L489" s="6" t="inlineStr">
        <is>
          <t>Copy Writer</t>
        </is>
      </c>
      <c r="M489" s="25" t="inlineStr">
        <is>
          <t>Open</t>
        </is>
      </c>
      <c r="N489" s="6" t="n">
        <v>4</v>
      </c>
      <c r="O489" s="6" t="inlineStr">
        <is>
          <t>https://africanmarketingconfederation.org/thank-you-for-registering-2024-registrations/::aioseo_no_concise_answer_paragraph_40-60_words_</t>
        </is>
      </c>
      <c r="P489" s="6" t="inlineStr">
        <is>
          <t>Compact answer blocks improve direct-answer extraction chances.</t>
        </is>
      </c>
      <c r="Q489">
        <f>IFERROR(HYPERLINK("#Main!A"&amp;MATCH(A489,Main!A:A,0),"Open"),HYPERLINK("#Main!A1","Open"))</f>
        <v/>
      </c>
      <c r="R489">
        <f>IFERROR(HYPERLINK("#Technical!A"&amp;MATCH(A489,Technical!A:A,0),"Open"),HYPERLINK("#Technical!A1","Open"))</f>
        <v/>
      </c>
    </row>
    <row r="490" ht="30" customHeight="1">
      <c r="A490" s="33" t="inlineStr">
        <is>
          <t>https://africanmarketingconfederation.org/thank-you-for-subscribing/</t>
        </is>
      </c>
      <c r="B490" s="24" t="inlineStr">
        <is>
          <t>Content</t>
        </is>
      </c>
      <c r="C490" s="29" t="inlineStr">
        <is>
          <t>Info</t>
        </is>
      </c>
      <c r="D490" s="24" t="inlineStr">
        <is>
          <t>No concise answer paragraph (40-60 words)</t>
        </is>
      </c>
      <c r="E490" s="24" t="n">
        <v>37</v>
      </c>
      <c r="F490" s="24" t="n">
        <v>0</v>
      </c>
      <c r="G490" s="24" t="inlineStr">
        <is>
          <t>&gt;=1 concise answer block</t>
        </is>
      </c>
      <c r="H490" s="24" t="inlineStr">
        <is>
          <t>Add a direct 40-60 word answer immediately below key question headings.</t>
        </is>
      </c>
      <c r="I490" s="28" t="inlineStr">
        <is>
          <t>AEO</t>
        </is>
      </c>
      <c r="J490" s="24" t="inlineStr">
        <is>
          <t>Paragraphs 40-60 Words Count</t>
        </is>
      </c>
      <c r="K490" s="24" t="inlineStr">
        <is>
          <t>No</t>
        </is>
      </c>
      <c r="L490" s="24" t="inlineStr">
        <is>
          <t>Copy Writer</t>
        </is>
      </c>
      <c r="M490" s="25" t="inlineStr">
        <is>
          <t>Open</t>
        </is>
      </c>
      <c r="N490" s="24" t="n">
        <v>4</v>
      </c>
      <c r="O490" s="24" t="inlineStr">
        <is>
          <t>https://africanmarketingconfederation.org/thank-you-for-subscribing/::aioseo_no_concise_answer_paragraph_40-60_words_</t>
        </is>
      </c>
      <c r="P490" s="24" t="inlineStr">
        <is>
          <t>Compact answer blocks improve direct-answer extraction chances.</t>
        </is>
      </c>
      <c r="Q490">
        <f>IFERROR(HYPERLINK("#Main!A"&amp;MATCH(A490,Main!A:A,0),"Open"),HYPERLINK("#Main!A1","Open"))</f>
        <v/>
      </c>
      <c r="R490">
        <f>IFERROR(HYPERLINK("#Technical!A"&amp;MATCH(A490,Technical!A:A,0),"Open"),HYPERLINK("#Technical!A1","Open"))</f>
        <v/>
      </c>
    </row>
    <row r="491" ht="30" customHeight="1">
      <c r="A491" s="33" t="inlineStr">
        <is>
          <t>https://africanmarketingconfederation.org/thank-you-for-the-nomination-2024/</t>
        </is>
      </c>
      <c r="B491" s="6" t="inlineStr">
        <is>
          <t>Content</t>
        </is>
      </c>
      <c r="C491" s="29" t="inlineStr">
        <is>
          <t>Info</t>
        </is>
      </c>
      <c r="D491" s="6" t="inlineStr">
        <is>
          <t>No concise answer paragraph (40-60 words)</t>
        </is>
      </c>
      <c r="E491" s="6" t="n">
        <v>37</v>
      </c>
      <c r="F491" s="6" t="n">
        <v>0</v>
      </c>
      <c r="G491" s="6" t="inlineStr">
        <is>
          <t>&gt;=1 concise answer block</t>
        </is>
      </c>
      <c r="H491" s="6" t="inlineStr">
        <is>
          <t>Add a direct 40-60 word answer immediately below key question headings.</t>
        </is>
      </c>
      <c r="I491" s="31" t="inlineStr">
        <is>
          <t>AEO</t>
        </is>
      </c>
      <c r="J491" s="6" t="inlineStr">
        <is>
          <t>Paragraphs 40-60 Words Count</t>
        </is>
      </c>
      <c r="K491" s="6" t="inlineStr">
        <is>
          <t>No</t>
        </is>
      </c>
      <c r="L491" s="6" t="inlineStr">
        <is>
          <t>Copy Writer</t>
        </is>
      </c>
      <c r="M491" s="25" t="inlineStr">
        <is>
          <t>Open</t>
        </is>
      </c>
      <c r="N491" s="6" t="n">
        <v>4</v>
      </c>
      <c r="O491" s="6" t="inlineStr">
        <is>
          <t>https://africanmarketingconfederation.org/thank-you-for-the-nomination-2024/::aioseo_no_concise_answer_paragraph_40-60_words_</t>
        </is>
      </c>
      <c r="P491" s="6" t="inlineStr">
        <is>
          <t>Compact answer blocks improve direct-answer extraction chances.</t>
        </is>
      </c>
      <c r="Q491">
        <f>IFERROR(HYPERLINK("#Main!A"&amp;MATCH(A491,Main!A:A,0),"Open"),HYPERLINK("#Main!A1","Open"))</f>
        <v/>
      </c>
      <c r="R491">
        <f>IFERROR(HYPERLINK("#Technical!A"&amp;MATCH(A491,Technical!A:A,0),"Open"),HYPERLINK("#Technical!A1","Open"))</f>
        <v/>
      </c>
    </row>
    <row r="492" ht="30" customHeight="1">
      <c r="A492" s="33" t="inlineStr">
        <is>
          <t>https://africanmarketingconfederation.org/thank-you-for-the-submission-2024/</t>
        </is>
      </c>
      <c r="B492" s="24" t="inlineStr">
        <is>
          <t>Content</t>
        </is>
      </c>
      <c r="C492" s="29" t="inlineStr">
        <is>
          <t>Info</t>
        </is>
      </c>
      <c r="D492" s="24" t="inlineStr">
        <is>
          <t>No concise answer paragraph (40-60 words)</t>
        </is>
      </c>
      <c r="E492" s="24" t="n">
        <v>37</v>
      </c>
      <c r="F492" s="24" t="n">
        <v>0</v>
      </c>
      <c r="G492" s="24" t="inlineStr">
        <is>
          <t>&gt;=1 concise answer block</t>
        </is>
      </c>
      <c r="H492" s="24" t="inlineStr">
        <is>
          <t>Add a direct 40-60 word answer immediately below key question headings.</t>
        </is>
      </c>
      <c r="I492" s="28" t="inlineStr">
        <is>
          <t>AEO</t>
        </is>
      </c>
      <c r="J492" s="24" t="inlineStr">
        <is>
          <t>Paragraphs 40-60 Words Count</t>
        </is>
      </c>
      <c r="K492" s="24" t="inlineStr">
        <is>
          <t>No</t>
        </is>
      </c>
      <c r="L492" s="24" t="inlineStr">
        <is>
          <t>Copy Writer</t>
        </is>
      </c>
      <c r="M492" s="25" t="inlineStr">
        <is>
          <t>Open</t>
        </is>
      </c>
      <c r="N492" s="24" t="n">
        <v>4</v>
      </c>
      <c r="O492" s="24" t="inlineStr">
        <is>
          <t>https://africanmarketingconfederation.org/thank-you-for-the-submission-2024/::aioseo_no_concise_answer_paragraph_40-60_words_</t>
        </is>
      </c>
      <c r="P492" s="24" t="inlineStr">
        <is>
          <t>Compact answer blocks improve direct-answer extraction chances.</t>
        </is>
      </c>
      <c r="Q492">
        <f>IFERROR(HYPERLINK("#Main!A"&amp;MATCH(A492,Main!A:A,0),"Open"),HYPERLINK("#Main!A1","Open"))</f>
        <v/>
      </c>
      <c r="R492">
        <f>IFERROR(HYPERLINK("#Technical!A"&amp;MATCH(A492,Technical!A:A,0),"Open"),HYPERLINK("#Technical!A1","Open"))</f>
        <v/>
      </c>
    </row>
    <row r="493" ht="30" customHeight="1">
      <c r="A493" s="33" t="inlineStr">
        <is>
          <t>https://africanmarketingconfederation.org/upcoming-events/</t>
        </is>
      </c>
      <c r="B493" s="6" t="inlineStr">
        <is>
          <t>Content</t>
        </is>
      </c>
      <c r="C493" s="29" t="inlineStr">
        <is>
          <t>Info</t>
        </is>
      </c>
      <c r="D493" s="6" t="inlineStr">
        <is>
          <t>No concise answer paragraph (40-60 words)</t>
        </is>
      </c>
      <c r="E493" s="6" t="n">
        <v>37</v>
      </c>
      <c r="F493" s="6" t="n">
        <v>0</v>
      </c>
      <c r="G493" s="6" t="inlineStr">
        <is>
          <t>&gt;=1 concise answer block</t>
        </is>
      </c>
      <c r="H493" s="6" t="inlineStr">
        <is>
          <t>Add a direct 40-60 word answer immediately below key question headings.</t>
        </is>
      </c>
      <c r="I493" s="31" t="inlineStr">
        <is>
          <t>AEO</t>
        </is>
      </c>
      <c r="J493" s="6" t="inlineStr">
        <is>
          <t>Paragraphs 40-60 Words Count</t>
        </is>
      </c>
      <c r="K493" s="6" t="inlineStr">
        <is>
          <t>No</t>
        </is>
      </c>
      <c r="L493" s="6" t="inlineStr">
        <is>
          <t>Copy Writer</t>
        </is>
      </c>
      <c r="M493" s="25" t="inlineStr">
        <is>
          <t>Open</t>
        </is>
      </c>
      <c r="N493" s="6" t="n">
        <v>4</v>
      </c>
      <c r="O493" s="6" t="inlineStr">
        <is>
          <t>https://africanmarketingconfederation.org/upcoming-events/::aioseo_no_concise_answer_paragraph_40-60_words_</t>
        </is>
      </c>
      <c r="P493" s="6" t="inlineStr">
        <is>
          <t>Compact answer blocks improve direct-answer extraction chances.</t>
        </is>
      </c>
      <c r="Q493">
        <f>IFERROR(HYPERLINK("#Main!A"&amp;MATCH(A493,Main!A:A,0),"Open"),HYPERLINK("#Main!A1","Open"))</f>
        <v/>
      </c>
      <c r="R493">
        <f>IFERROR(HYPERLINK("#Technical!A"&amp;MATCH(A493,Technical!A:A,0),"Open"),HYPERLINK("#Technical!A1","Open"))</f>
        <v/>
      </c>
    </row>
    <row r="494" ht="30" customHeight="1">
      <c r="A494" s="33" t="inlineStr">
        <is>
          <t>https://africanmarketingconfederation.org/virtual-programme/</t>
        </is>
      </c>
      <c r="B494" s="24" t="inlineStr">
        <is>
          <t>Content</t>
        </is>
      </c>
      <c r="C494" s="29" t="inlineStr">
        <is>
          <t>Info</t>
        </is>
      </c>
      <c r="D494" s="24" t="inlineStr">
        <is>
          <t>No concise answer paragraph (40-60 words)</t>
        </is>
      </c>
      <c r="E494" s="24" t="n">
        <v>37</v>
      </c>
      <c r="F494" s="24" t="n">
        <v>0</v>
      </c>
      <c r="G494" s="24" t="inlineStr">
        <is>
          <t>&gt;=1 concise answer block</t>
        </is>
      </c>
      <c r="H494" s="24" t="inlineStr">
        <is>
          <t>Add a direct 40-60 word answer immediately below key question headings.</t>
        </is>
      </c>
      <c r="I494" s="28" t="inlineStr">
        <is>
          <t>AEO</t>
        </is>
      </c>
      <c r="J494" s="24" t="inlineStr">
        <is>
          <t>Paragraphs 40-60 Words Count</t>
        </is>
      </c>
      <c r="K494" s="24" t="inlineStr">
        <is>
          <t>No</t>
        </is>
      </c>
      <c r="L494" s="24" t="inlineStr">
        <is>
          <t>Copy Writer</t>
        </is>
      </c>
      <c r="M494" s="25" t="inlineStr">
        <is>
          <t>Open</t>
        </is>
      </c>
      <c r="N494" s="24" t="n">
        <v>4</v>
      </c>
      <c r="O494" s="24" t="inlineStr">
        <is>
          <t>https://africanmarketingconfederation.org/virtual-programme/::aioseo_no_concise_answer_paragraph_40-60_words_</t>
        </is>
      </c>
      <c r="P494" s="24" t="inlineStr">
        <is>
          <t>Compact answer blocks improve direct-answer extraction chances.</t>
        </is>
      </c>
      <c r="Q494">
        <f>IFERROR(HYPERLINK("#Main!A"&amp;MATCH(A494,Main!A:A,0),"Open"),HYPERLINK("#Main!A1","Open"))</f>
        <v/>
      </c>
      <c r="R494">
        <f>IFERROR(HYPERLINK("#Technical!A"&amp;MATCH(A494,Technical!A:A,0),"Open"),HYPERLINK("#Technical!A1","Open"))</f>
        <v/>
      </c>
    </row>
    <row r="495" ht="30" customHeight="1">
      <c r="A495" s="33" t="inlineStr">
        <is>
          <t>https://africanmarketingconfederation.org/</t>
        </is>
      </c>
      <c r="B495" s="6" t="inlineStr">
        <is>
          <t>Readability</t>
        </is>
      </c>
      <c r="C495" s="29" t="inlineStr">
        <is>
          <t>Info</t>
        </is>
      </c>
      <c r="D495" s="6" t="inlineStr">
        <is>
          <t>Multiple H1 headings</t>
        </is>
      </c>
      <c r="E495" s="6" t="n">
        <v>37</v>
      </c>
      <c r="F495" s="6" t="n">
        <v>5</v>
      </c>
      <c r="G495" s="6" t="inlineStr">
        <is>
          <t>Exactly 1 H1</t>
        </is>
      </c>
      <c r="H495" s="6" t="inlineStr">
        <is>
          <t>Keep one primary H1, convert remaining top-level headings to H2/H3 where appropriate.</t>
        </is>
      </c>
      <c r="I495" s="31" t="inlineStr">
        <is>
          <t>Content</t>
        </is>
      </c>
      <c r="J495" s="6" t="inlineStr">
        <is>
          <t>Multiple H1 Flag</t>
        </is>
      </c>
      <c r="K495" s="6" t="inlineStr">
        <is>
          <t>No</t>
        </is>
      </c>
      <c r="L495" s="6" t="inlineStr">
        <is>
          <t>Copy Writer</t>
        </is>
      </c>
      <c r="M495" s="25" t="inlineStr">
        <is>
          <t>Open</t>
        </is>
      </c>
      <c r="N495" s="6" t="n">
        <v>4</v>
      </c>
      <c r="O495" s="6" t="inlineStr">
        <is>
          <t>https://africanmarketingconfederation.org/::aioseo_multiple_h1_headings</t>
        </is>
      </c>
      <c r="P495" s="6" t="inlineStr">
        <is>
          <t>Multiple H1s can reduce heading hierarchy clarity.</t>
        </is>
      </c>
      <c r="Q495">
        <f>IFERROR(HYPERLINK("#Main!A"&amp;MATCH(A495,Main!A:A,0),"Open"),HYPERLINK("#Main!A1","Open"))</f>
        <v/>
      </c>
      <c r="R495">
        <f>IFERROR(HYPERLINK("#Technical!A"&amp;MATCH(A495,Technical!A:A,0),"Open"),HYPERLINK("#Technical!A1","Open"))</f>
        <v/>
      </c>
    </row>
    <row r="496" ht="30" customHeight="1">
      <c r="A496" s="33" t="inlineStr">
        <is>
          <t>https://africanmarketingconfederation.org/</t>
        </is>
      </c>
      <c r="B496" s="24" t="inlineStr">
        <is>
          <t>Readability</t>
        </is>
      </c>
      <c r="C496" s="29" t="inlineStr">
        <is>
          <t>Info</t>
        </is>
      </c>
      <c r="D496" s="24" t="inlineStr">
        <is>
          <t>No question-style headings</t>
        </is>
      </c>
      <c r="E496" s="24" t="n">
        <v>37</v>
      </c>
      <c r="F496" s="24" t="n">
        <v>0</v>
      </c>
      <c r="G496" s="24" t="inlineStr">
        <is>
          <t>&gt;=1 where intent is informational</t>
        </is>
      </c>
      <c r="H496" s="24" t="inlineStr">
        <is>
          <t>Add at least one natural question heading (H2/H3) matching user intent.</t>
        </is>
      </c>
      <c r="I496" s="28" t="inlineStr">
        <is>
          <t>AEO</t>
        </is>
      </c>
      <c r="J496" s="24" t="inlineStr">
        <is>
          <t>Question Heading Count</t>
        </is>
      </c>
      <c r="K496" s="24" t="inlineStr">
        <is>
          <t>No</t>
        </is>
      </c>
      <c r="L496" s="24" t="inlineStr">
        <is>
          <t>Copy Writer</t>
        </is>
      </c>
      <c r="M496" s="25" t="inlineStr">
        <is>
          <t>Open</t>
        </is>
      </c>
      <c r="N496" s="24" t="n">
        <v>4</v>
      </c>
      <c r="O496" s="24" t="inlineStr">
        <is>
          <t>https://africanmarketingconfederation.org/::aioseo_no_question-style_headings</t>
        </is>
      </c>
      <c r="P496" s="24" t="inlineStr">
        <is>
          <t>Question headings better align with query phrasing and snippet extraction.</t>
        </is>
      </c>
      <c r="Q496">
        <f>IFERROR(HYPERLINK("#Main!A"&amp;MATCH(A496,Main!A:A,0),"Open"),HYPERLINK("#Main!A1","Open"))</f>
        <v/>
      </c>
      <c r="R496">
        <f>IFERROR(HYPERLINK("#Technical!A"&amp;MATCH(A496,Technical!A:A,0),"Open"),HYPERLINK("#Technical!A1","Open"))</f>
        <v/>
      </c>
    </row>
    <row r="497" ht="30" customHeight="1">
      <c r="A497" s="33" t="inlineStr">
        <is>
          <t>https://africanmarketingconfederation.org/about-us/</t>
        </is>
      </c>
      <c r="B497" s="6" t="inlineStr">
        <is>
          <t>Readability</t>
        </is>
      </c>
      <c r="C497" s="29" t="inlineStr">
        <is>
          <t>Info</t>
        </is>
      </c>
      <c r="D497" s="6" t="inlineStr">
        <is>
          <t>No question-style headings</t>
        </is>
      </c>
      <c r="E497" s="6" t="n">
        <v>37</v>
      </c>
      <c r="F497" s="6" t="n">
        <v>0</v>
      </c>
      <c r="G497" s="6" t="inlineStr">
        <is>
          <t>&gt;=1 where intent is informational</t>
        </is>
      </c>
      <c r="H497" s="6" t="inlineStr">
        <is>
          <t>Add at least one natural question heading (H2/H3) matching user intent.</t>
        </is>
      </c>
      <c r="I497" s="31" t="inlineStr">
        <is>
          <t>AEO</t>
        </is>
      </c>
      <c r="J497" s="6" t="inlineStr">
        <is>
          <t>Question Heading Count</t>
        </is>
      </c>
      <c r="K497" s="6" t="inlineStr">
        <is>
          <t>No</t>
        </is>
      </c>
      <c r="L497" s="6" t="inlineStr">
        <is>
          <t>Copy Writer</t>
        </is>
      </c>
      <c r="M497" s="25" t="inlineStr">
        <is>
          <t>Open</t>
        </is>
      </c>
      <c r="N497" s="6" t="n">
        <v>4</v>
      </c>
      <c r="O497" s="6" t="inlineStr">
        <is>
          <t>https://africanmarketingconfederation.org/about-us/::aioseo_no_question-style_headings</t>
        </is>
      </c>
      <c r="P497" s="6" t="inlineStr">
        <is>
          <t>Question headings better align with query phrasing and snippet extraction.</t>
        </is>
      </c>
      <c r="Q497">
        <f>IFERROR(HYPERLINK("#Main!A"&amp;MATCH(A497,Main!A:A,0),"Open"),HYPERLINK("#Main!A1","Open"))</f>
        <v/>
      </c>
      <c r="R497">
        <f>IFERROR(HYPERLINK("#Technical!A"&amp;MATCH(A497,Technical!A:A,0),"Open"),HYPERLINK("#Technical!A1","Open"))</f>
        <v/>
      </c>
    </row>
    <row r="498" ht="30" customHeight="1">
      <c r="A498" s="33" t="inlineStr">
        <is>
          <t>https://africanmarketingconfederation.org/african-marketing-confederation-tourism-chapter/</t>
        </is>
      </c>
      <c r="B498" s="24" t="inlineStr">
        <is>
          <t>Readability</t>
        </is>
      </c>
      <c r="C498" s="29" t="inlineStr">
        <is>
          <t>Info</t>
        </is>
      </c>
      <c r="D498" s="24" t="inlineStr">
        <is>
          <t>Multiple H1 headings</t>
        </is>
      </c>
      <c r="E498" s="24" t="n">
        <v>37</v>
      </c>
      <c r="F498" s="24" t="n">
        <v>2</v>
      </c>
      <c r="G498" s="24" t="inlineStr">
        <is>
          <t>Exactly 1 H1</t>
        </is>
      </c>
      <c r="H498" s="24" t="inlineStr">
        <is>
          <t>Keep one primary H1, convert remaining top-level headings to H2/H3 where appropriate.</t>
        </is>
      </c>
      <c r="I498" s="28" t="inlineStr">
        <is>
          <t>Content</t>
        </is>
      </c>
      <c r="J498" s="24" t="inlineStr">
        <is>
          <t>Multiple H1 Flag</t>
        </is>
      </c>
      <c r="K498" s="24" t="inlineStr">
        <is>
          <t>No</t>
        </is>
      </c>
      <c r="L498" s="24" t="inlineStr">
        <is>
          <t>Copy Writer</t>
        </is>
      </c>
      <c r="M498" s="25" t="inlineStr">
        <is>
          <t>Open</t>
        </is>
      </c>
      <c r="N498" s="24" t="n">
        <v>4</v>
      </c>
      <c r="O498" s="24" t="inlineStr">
        <is>
          <t>https://africanmarketingconfederation.org/african-marketing-confederation-tourism-chapter/::aioseo_multiple_h1_headings</t>
        </is>
      </c>
      <c r="P498" s="24" t="inlineStr">
        <is>
          <t>Multiple H1s can reduce heading hierarchy clarity.</t>
        </is>
      </c>
      <c r="Q498">
        <f>IFERROR(HYPERLINK("#Main!A"&amp;MATCH(A498,Main!A:A,0),"Open"),HYPERLINK("#Main!A1","Open"))</f>
        <v/>
      </c>
      <c r="R498">
        <f>IFERROR(HYPERLINK("#Technical!A"&amp;MATCH(A498,Technical!A:A,0),"Open"),HYPERLINK("#Technical!A1","Open"))</f>
        <v/>
      </c>
    </row>
    <row r="499" ht="30" customHeight="1">
      <c r="A499" s="33" t="inlineStr">
        <is>
          <t>https://africanmarketingconfederation.org/african-marketing-confederation-tourism-chapter/</t>
        </is>
      </c>
      <c r="B499" s="6" t="inlineStr">
        <is>
          <t>Readability</t>
        </is>
      </c>
      <c r="C499" s="29" t="inlineStr">
        <is>
          <t>Info</t>
        </is>
      </c>
      <c r="D499" s="6" t="inlineStr">
        <is>
          <t>No question-style headings</t>
        </is>
      </c>
      <c r="E499" s="6" t="n">
        <v>37</v>
      </c>
      <c r="F499" s="6" t="n">
        <v>0</v>
      </c>
      <c r="G499" s="6" t="inlineStr">
        <is>
          <t>&gt;=1 where intent is informational</t>
        </is>
      </c>
      <c r="H499" s="6" t="inlineStr">
        <is>
          <t>Add at least one natural question heading (H2/H3) matching user intent.</t>
        </is>
      </c>
      <c r="I499" s="31" t="inlineStr">
        <is>
          <t>AEO</t>
        </is>
      </c>
      <c r="J499" s="6" t="inlineStr">
        <is>
          <t>Question Heading Count</t>
        </is>
      </c>
      <c r="K499" s="6" t="inlineStr">
        <is>
          <t>No</t>
        </is>
      </c>
      <c r="L499" s="6" t="inlineStr">
        <is>
          <t>Copy Writer</t>
        </is>
      </c>
      <c r="M499" s="25" t="inlineStr">
        <is>
          <t>Open</t>
        </is>
      </c>
      <c r="N499" s="6" t="n">
        <v>4</v>
      </c>
      <c r="O499" s="6" t="inlineStr">
        <is>
          <t>https://africanmarketingconfederation.org/african-marketing-confederation-tourism-chapter/::aioseo_no_question-style_headings</t>
        </is>
      </c>
      <c r="P499" s="6" t="inlineStr">
        <is>
          <t>Question headings better align with query phrasing and snippet extraction.</t>
        </is>
      </c>
      <c r="Q499">
        <f>IFERROR(HYPERLINK("#Main!A"&amp;MATCH(A499,Main!A:A,0),"Open"),HYPERLINK("#Main!A1","Open"))</f>
        <v/>
      </c>
      <c r="R499">
        <f>IFERROR(HYPERLINK("#Technical!A"&amp;MATCH(A499,Technical!A:A,0),"Open"),HYPERLINK("#Technical!A1","Open"))</f>
        <v/>
      </c>
    </row>
    <row r="500" ht="30" customHeight="1">
      <c r="A500" s="33" t="inlineStr">
        <is>
          <t>https://africanmarketingconfederation.org/amc-awards-2024/</t>
        </is>
      </c>
      <c r="B500" s="24" t="inlineStr">
        <is>
          <t>Readability</t>
        </is>
      </c>
      <c r="C500" s="29" t="inlineStr">
        <is>
          <t>Info</t>
        </is>
      </c>
      <c r="D500" s="24" t="inlineStr">
        <is>
          <t>Multiple H1 headings</t>
        </is>
      </c>
      <c r="E500" s="24" t="n">
        <v>37</v>
      </c>
      <c r="F500" s="24" t="n">
        <v>2</v>
      </c>
      <c r="G500" s="24" t="inlineStr">
        <is>
          <t>Exactly 1 H1</t>
        </is>
      </c>
      <c r="H500" s="24" t="inlineStr">
        <is>
          <t>Keep one primary H1, convert remaining top-level headings to H2/H3 where appropriate.</t>
        </is>
      </c>
      <c r="I500" s="28" t="inlineStr">
        <is>
          <t>Content</t>
        </is>
      </c>
      <c r="J500" s="24" t="inlineStr">
        <is>
          <t>Multiple H1 Flag</t>
        </is>
      </c>
      <c r="K500" s="24" t="inlineStr">
        <is>
          <t>No</t>
        </is>
      </c>
      <c r="L500" s="24" t="inlineStr">
        <is>
          <t>Copy Writer</t>
        </is>
      </c>
      <c r="M500" s="25" t="inlineStr">
        <is>
          <t>Open</t>
        </is>
      </c>
      <c r="N500" s="24" t="n">
        <v>4</v>
      </c>
      <c r="O500" s="24" t="inlineStr">
        <is>
          <t>https://africanmarketingconfederation.org/amc-awards-2024/::aioseo_multiple_h1_headings</t>
        </is>
      </c>
      <c r="P500" s="24" t="inlineStr">
        <is>
          <t>Multiple H1s can reduce heading hierarchy clarity.</t>
        </is>
      </c>
      <c r="Q500">
        <f>IFERROR(HYPERLINK("#Main!A"&amp;MATCH(A500,Main!A:A,0),"Open"),HYPERLINK("#Main!A1","Open"))</f>
        <v/>
      </c>
      <c r="R500">
        <f>IFERROR(HYPERLINK("#Technical!A"&amp;MATCH(A500,Technical!A:A,0),"Open"),HYPERLINK("#Technical!A1","Open"))</f>
        <v/>
      </c>
    </row>
    <row r="501" ht="30" customHeight="1">
      <c r="A501" s="33" t="inlineStr">
        <is>
          <t>https://africanmarketingconfederation.org/amc-awards-2024/</t>
        </is>
      </c>
      <c r="B501" s="6" t="inlineStr">
        <is>
          <t>Readability</t>
        </is>
      </c>
      <c r="C501" s="29" t="inlineStr">
        <is>
          <t>Info</t>
        </is>
      </c>
      <c r="D501" s="6" t="inlineStr">
        <is>
          <t>No question-style headings</t>
        </is>
      </c>
      <c r="E501" s="6" t="n">
        <v>37</v>
      </c>
      <c r="F501" s="6" t="n">
        <v>0</v>
      </c>
      <c r="G501" s="6" t="inlineStr">
        <is>
          <t>&gt;=1 where intent is informational</t>
        </is>
      </c>
      <c r="H501" s="6" t="inlineStr">
        <is>
          <t>Add at least one natural question heading (H2/H3) matching user intent.</t>
        </is>
      </c>
      <c r="I501" s="31" t="inlineStr">
        <is>
          <t>AEO</t>
        </is>
      </c>
      <c r="J501" s="6" t="inlineStr">
        <is>
          <t>Question Heading Count</t>
        </is>
      </c>
      <c r="K501" s="6" t="inlineStr">
        <is>
          <t>No</t>
        </is>
      </c>
      <c r="L501" s="6" t="inlineStr">
        <is>
          <t>Copy Writer</t>
        </is>
      </c>
      <c r="M501" s="25" t="inlineStr">
        <is>
          <t>Open</t>
        </is>
      </c>
      <c r="N501" s="6" t="n">
        <v>4</v>
      </c>
      <c r="O501" s="6" t="inlineStr">
        <is>
          <t>https://africanmarketingconfederation.org/amc-awards-2024/::aioseo_no_question-style_headings</t>
        </is>
      </c>
      <c r="P501" s="6" t="inlineStr">
        <is>
          <t>Question headings better align with query phrasing and snippet extraction.</t>
        </is>
      </c>
      <c r="Q501">
        <f>IFERROR(HYPERLINK("#Main!A"&amp;MATCH(A501,Main!A:A,0),"Open"),HYPERLINK("#Main!A1","Open"))</f>
        <v/>
      </c>
      <c r="R501">
        <f>IFERROR(HYPERLINK("#Technical!A"&amp;MATCH(A501,Technical!A:A,0),"Open"),HYPERLINK("#Technical!A1","Open"))</f>
        <v/>
      </c>
    </row>
    <row r="502" ht="30" customHeight="1">
      <c r="A502" s="33" t="inlineStr">
        <is>
          <t>https://africanmarketingconfederation.org/amc-conference-2022-prospectus/</t>
        </is>
      </c>
      <c r="B502" s="24" t="inlineStr">
        <is>
          <t>Readability</t>
        </is>
      </c>
      <c r="C502" s="29" t="inlineStr">
        <is>
          <t>Info</t>
        </is>
      </c>
      <c r="D502" s="24" t="inlineStr">
        <is>
          <t>No question-style headings</t>
        </is>
      </c>
      <c r="E502" s="24" t="n">
        <v>37</v>
      </c>
      <c r="F502" s="24" t="n">
        <v>0</v>
      </c>
      <c r="G502" s="24" t="inlineStr">
        <is>
          <t>&gt;=1 where intent is informational</t>
        </is>
      </c>
      <c r="H502" s="24" t="inlineStr">
        <is>
          <t>Add at least one natural question heading (H2/H3) matching user intent.</t>
        </is>
      </c>
      <c r="I502" s="28" t="inlineStr">
        <is>
          <t>AEO</t>
        </is>
      </c>
      <c r="J502" s="24" t="inlineStr">
        <is>
          <t>Question Heading Count</t>
        </is>
      </c>
      <c r="K502" s="24" t="inlineStr">
        <is>
          <t>No</t>
        </is>
      </c>
      <c r="L502" s="24" t="inlineStr">
        <is>
          <t>Copy Writer</t>
        </is>
      </c>
      <c r="M502" s="25" t="inlineStr">
        <is>
          <t>Open</t>
        </is>
      </c>
      <c r="N502" s="24" t="n">
        <v>4</v>
      </c>
      <c r="O502" s="24" t="inlineStr">
        <is>
          <t>https://africanmarketingconfederation.org/amc-conference-2022-prospectus/::aioseo_no_question-style_headings</t>
        </is>
      </c>
      <c r="P502" s="24" t="inlineStr">
        <is>
          <t>Question headings better align with query phrasing and snippet extraction.</t>
        </is>
      </c>
      <c r="Q502">
        <f>IFERROR(HYPERLINK("#Main!A"&amp;MATCH(A502,Main!A:A,0),"Open"),HYPERLINK("#Main!A1","Open"))</f>
        <v/>
      </c>
      <c r="R502">
        <f>IFERROR(HYPERLINK("#Technical!A"&amp;MATCH(A502,Technical!A:A,0),"Open"),HYPERLINK("#Technical!A1","Open"))</f>
        <v/>
      </c>
    </row>
    <row r="503" ht="30" customHeight="1">
      <c r="A503" s="33" t="inlineStr">
        <is>
          <t>https://africanmarketingconfederation.org/amc-conference-2022-thank-you/</t>
        </is>
      </c>
      <c r="B503" s="6" t="inlineStr">
        <is>
          <t>Readability</t>
        </is>
      </c>
      <c r="C503" s="29" t="inlineStr">
        <is>
          <t>Info</t>
        </is>
      </c>
      <c r="D503" s="6" t="inlineStr">
        <is>
          <t>No question-style headings</t>
        </is>
      </c>
      <c r="E503" s="6" t="n">
        <v>37</v>
      </c>
      <c r="F503" s="6" t="n">
        <v>0</v>
      </c>
      <c r="G503" s="6" t="inlineStr">
        <is>
          <t>&gt;=1 where intent is informational</t>
        </is>
      </c>
      <c r="H503" s="6" t="inlineStr">
        <is>
          <t>Add at least one natural question heading (H2/H3) matching user intent.</t>
        </is>
      </c>
      <c r="I503" s="31" t="inlineStr">
        <is>
          <t>AEO</t>
        </is>
      </c>
      <c r="J503" s="6" t="inlineStr">
        <is>
          <t>Question Heading Count</t>
        </is>
      </c>
      <c r="K503" s="6" t="inlineStr">
        <is>
          <t>No</t>
        </is>
      </c>
      <c r="L503" s="6" t="inlineStr">
        <is>
          <t>Copy Writer</t>
        </is>
      </c>
      <c r="M503" s="25" t="inlineStr">
        <is>
          <t>Open</t>
        </is>
      </c>
      <c r="N503" s="6" t="n">
        <v>4</v>
      </c>
      <c r="O503" s="6" t="inlineStr">
        <is>
          <t>https://africanmarketingconfederation.org/amc-conference-2022-thank-you/::aioseo_no_question-style_headings</t>
        </is>
      </c>
      <c r="P503" s="6" t="inlineStr">
        <is>
          <t>Question headings better align with query phrasing and snippet extraction.</t>
        </is>
      </c>
      <c r="Q503">
        <f>IFERROR(HYPERLINK("#Main!A"&amp;MATCH(A503,Main!A:A,0),"Open"),HYPERLINK("#Main!A1","Open"))</f>
        <v/>
      </c>
      <c r="R503">
        <f>IFERROR(HYPERLINK("#Technical!A"&amp;MATCH(A503,Technical!A:A,0),"Open"),HYPERLINK("#Technical!A1","Open"))</f>
        <v/>
      </c>
    </row>
    <row r="504" ht="30" customHeight="1">
      <c r="A504" s="33" t="inlineStr">
        <is>
          <t>https://africanmarketingconfederation.org/amc-conference-2022/</t>
        </is>
      </c>
      <c r="B504" s="24" t="inlineStr">
        <is>
          <t>Readability</t>
        </is>
      </c>
      <c r="C504" s="29" t="inlineStr">
        <is>
          <t>Info</t>
        </is>
      </c>
      <c r="D504" s="24" t="inlineStr">
        <is>
          <t>No question-style headings</t>
        </is>
      </c>
      <c r="E504" s="24" t="n">
        <v>37</v>
      </c>
      <c r="F504" s="24" t="n">
        <v>0</v>
      </c>
      <c r="G504" s="24" t="inlineStr">
        <is>
          <t>&gt;=1 where intent is informational</t>
        </is>
      </c>
      <c r="H504" s="24" t="inlineStr">
        <is>
          <t>Add at least one natural question heading (H2/H3) matching user intent.</t>
        </is>
      </c>
      <c r="I504" s="28" t="inlineStr">
        <is>
          <t>AEO</t>
        </is>
      </c>
      <c r="J504" s="24" t="inlineStr">
        <is>
          <t>Question Heading Count</t>
        </is>
      </c>
      <c r="K504" s="24" t="inlineStr">
        <is>
          <t>No</t>
        </is>
      </c>
      <c r="L504" s="24" t="inlineStr">
        <is>
          <t>Copy Writer</t>
        </is>
      </c>
      <c r="M504" s="25" t="inlineStr">
        <is>
          <t>Open</t>
        </is>
      </c>
      <c r="N504" s="24" t="n">
        <v>4</v>
      </c>
      <c r="O504" s="24" t="inlineStr">
        <is>
          <t>https://africanmarketingconfederation.org/amc-conference-2022/::aioseo_no_question-style_headings</t>
        </is>
      </c>
      <c r="P504" s="24" t="inlineStr">
        <is>
          <t>Question headings better align with query phrasing and snippet extraction.</t>
        </is>
      </c>
      <c r="Q504">
        <f>IFERROR(HYPERLINK("#Main!A"&amp;MATCH(A504,Main!A:A,0),"Open"),HYPERLINK("#Main!A1","Open"))</f>
        <v/>
      </c>
      <c r="R504">
        <f>IFERROR(HYPERLINK("#Technical!A"&amp;MATCH(A504,Technical!A:A,0),"Open"),HYPERLINK("#Technical!A1","Open"))</f>
        <v/>
      </c>
    </row>
    <row r="505" ht="30" customHeight="1">
      <c r="A505" s="33" t="inlineStr">
        <is>
          <t>https://africanmarketingconfederation.org/amc-conference-2023/</t>
        </is>
      </c>
      <c r="B505" s="6" t="inlineStr">
        <is>
          <t>Readability</t>
        </is>
      </c>
      <c r="C505" s="29" t="inlineStr">
        <is>
          <t>Info</t>
        </is>
      </c>
      <c r="D505" s="6" t="inlineStr">
        <is>
          <t>No question-style headings</t>
        </is>
      </c>
      <c r="E505" s="6" t="n">
        <v>37</v>
      </c>
      <c r="F505" s="6" t="n">
        <v>0</v>
      </c>
      <c r="G505" s="6" t="inlineStr">
        <is>
          <t>&gt;=1 where intent is informational</t>
        </is>
      </c>
      <c r="H505" s="6" t="inlineStr">
        <is>
          <t>Add at least one natural question heading (H2/H3) matching user intent.</t>
        </is>
      </c>
      <c r="I505" s="31" t="inlineStr">
        <is>
          <t>AEO</t>
        </is>
      </c>
      <c r="J505" s="6" t="inlineStr">
        <is>
          <t>Question Heading Count</t>
        </is>
      </c>
      <c r="K505" s="6" t="inlineStr">
        <is>
          <t>No</t>
        </is>
      </c>
      <c r="L505" s="6" t="inlineStr">
        <is>
          <t>Copy Writer</t>
        </is>
      </c>
      <c r="M505" s="25" t="inlineStr">
        <is>
          <t>Open</t>
        </is>
      </c>
      <c r="N505" s="6" t="n">
        <v>4</v>
      </c>
      <c r="O505" s="6" t="inlineStr">
        <is>
          <t>https://africanmarketingconfederation.org/amc-conference-2023/::aioseo_no_question-style_headings</t>
        </is>
      </c>
      <c r="P505" s="6" t="inlineStr">
        <is>
          <t>Question headings better align with query phrasing and snippet extraction.</t>
        </is>
      </c>
      <c r="Q505">
        <f>IFERROR(HYPERLINK("#Main!A"&amp;MATCH(A505,Main!A:A,0),"Open"),HYPERLINK("#Main!A1","Open"))</f>
        <v/>
      </c>
      <c r="R505">
        <f>IFERROR(HYPERLINK("#Technical!A"&amp;MATCH(A505,Technical!A:A,0),"Open"),HYPERLINK("#Technical!A1","Open"))</f>
        <v/>
      </c>
    </row>
    <row r="506" ht="30" customHeight="1">
      <c r="A506" s="33" t="inlineStr">
        <is>
          <t>https://africanmarketingconfederation.org/amc-conference-2023/amc-awards-book-now/</t>
        </is>
      </c>
      <c r="B506" s="24" t="inlineStr">
        <is>
          <t>Readability</t>
        </is>
      </c>
      <c r="C506" s="29" t="inlineStr">
        <is>
          <t>Info</t>
        </is>
      </c>
      <c r="D506" s="24" t="inlineStr">
        <is>
          <t>No question-style headings</t>
        </is>
      </c>
      <c r="E506" s="24" t="n">
        <v>37</v>
      </c>
      <c r="F506" s="24" t="n">
        <v>0</v>
      </c>
      <c r="G506" s="24" t="inlineStr">
        <is>
          <t>&gt;=1 where intent is informational</t>
        </is>
      </c>
      <c r="H506" s="24" t="inlineStr">
        <is>
          <t>Add at least one natural question heading (H2/H3) matching user intent.</t>
        </is>
      </c>
      <c r="I506" s="28" t="inlineStr">
        <is>
          <t>AEO</t>
        </is>
      </c>
      <c r="J506" s="24" t="inlineStr">
        <is>
          <t>Question Heading Count</t>
        </is>
      </c>
      <c r="K506" s="24" t="inlineStr">
        <is>
          <t>No</t>
        </is>
      </c>
      <c r="L506" s="24" t="inlineStr">
        <is>
          <t>Copy Writer</t>
        </is>
      </c>
      <c r="M506" s="25" t="inlineStr">
        <is>
          <t>Open</t>
        </is>
      </c>
      <c r="N506" s="24" t="n">
        <v>4</v>
      </c>
      <c r="O506" s="24" t="inlineStr">
        <is>
          <t>https://africanmarketingconfederation.org/amc-conference-2023/amc-awards-book-now/::aioseo_no_question-style_headings</t>
        </is>
      </c>
      <c r="P506" s="24" t="inlineStr">
        <is>
          <t>Question headings better align with query phrasing and snippet extraction.</t>
        </is>
      </c>
      <c r="Q506">
        <f>IFERROR(HYPERLINK("#Main!A"&amp;MATCH(A506,Main!A:A,0),"Open"),HYPERLINK("#Main!A1","Open"))</f>
        <v/>
      </c>
      <c r="R506">
        <f>IFERROR(HYPERLINK("#Technical!A"&amp;MATCH(A506,Technical!A:A,0),"Open"),HYPERLINK("#Technical!A1","Open"))</f>
        <v/>
      </c>
    </row>
    <row r="507" ht="30" customHeight="1">
      <c r="A507" s="33" t="inlineStr">
        <is>
          <t>https://africanmarketingconfederation.org/amc-conference-2023/amc-awards/</t>
        </is>
      </c>
      <c r="B507" s="6" t="inlineStr">
        <is>
          <t>Readability</t>
        </is>
      </c>
      <c r="C507" s="29" t="inlineStr">
        <is>
          <t>Info</t>
        </is>
      </c>
      <c r="D507" s="6" t="inlineStr">
        <is>
          <t>No question-style headings</t>
        </is>
      </c>
      <c r="E507" s="6" t="n">
        <v>37</v>
      </c>
      <c r="F507" s="6" t="n">
        <v>0</v>
      </c>
      <c r="G507" s="6" t="inlineStr">
        <is>
          <t>&gt;=1 where intent is informational</t>
        </is>
      </c>
      <c r="H507" s="6" t="inlineStr">
        <is>
          <t>Add at least one natural question heading (H2/H3) matching user intent.</t>
        </is>
      </c>
      <c r="I507" s="31" t="inlineStr">
        <is>
          <t>AEO</t>
        </is>
      </c>
      <c r="J507" s="6" t="inlineStr">
        <is>
          <t>Question Heading Count</t>
        </is>
      </c>
      <c r="K507" s="6" t="inlineStr">
        <is>
          <t>No</t>
        </is>
      </c>
      <c r="L507" s="6" t="inlineStr">
        <is>
          <t>Copy Writer</t>
        </is>
      </c>
      <c r="M507" s="25" t="inlineStr">
        <is>
          <t>Open</t>
        </is>
      </c>
      <c r="N507" s="6" t="n">
        <v>4</v>
      </c>
      <c r="O507" s="6" t="inlineStr">
        <is>
          <t>https://africanmarketingconfederation.org/amc-conference-2023/amc-awards/::aioseo_no_question-style_headings</t>
        </is>
      </c>
      <c r="P507" s="6" t="inlineStr">
        <is>
          <t>Question headings better align with query phrasing and snippet extraction.</t>
        </is>
      </c>
      <c r="Q507">
        <f>IFERROR(HYPERLINK("#Main!A"&amp;MATCH(A507,Main!A:A,0),"Open"),HYPERLINK("#Main!A1","Open"))</f>
        <v/>
      </c>
      <c r="R507">
        <f>IFERROR(HYPERLINK("#Technical!A"&amp;MATCH(A507,Technical!A:A,0),"Open"),HYPERLINK("#Technical!A1","Open"))</f>
        <v/>
      </c>
    </row>
    <row r="508" ht="30" customHeight="1">
      <c r="A508" s="33" t="inlineStr">
        <is>
          <t>https://africanmarketingconfederation.org/amc-conference-2023/book-now-thank-you/</t>
        </is>
      </c>
      <c r="B508" s="24" t="inlineStr">
        <is>
          <t>Readability</t>
        </is>
      </c>
      <c r="C508" s="29" t="inlineStr">
        <is>
          <t>Info</t>
        </is>
      </c>
      <c r="D508" s="24" t="inlineStr">
        <is>
          <t>No question-style headings</t>
        </is>
      </c>
      <c r="E508" s="24" t="n">
        <v>37</v>
      </c>
      <c r="F508" s="24" t="n">
        <v>0</v>
      </c>
      <c r="G508" s="24" t="inlineStr">
        <is>
          <t>&gt;=1 where intent is informational</t>
        </is>
      </c>
      <c r="H508" s="24" t="inlineStr">
        <is>
          <t>Add at least one natural question heading (H2/H3) matching user intent.</t>
        </is>
      </c>
      <c r="I508" s="28" t="inlineStr">
        <is>
          <t>AEO</t>
        </is>
      </c>
      <c r="J508" s="24" t="inlineStr">
        <is>
          <t>Question Heading Count</t>
        </is>
      </c>
      <c r="K508" s="24" t="inlineStr">
        <is>
          <t>No</t>
        </is>
      </c>
      <c r="L508" s="24" t="inlineStr">
        <is>
          <t>Copy Writer</t>
        </is>
      </c>
      <c r="M508" s="25" t="inlineStr">
        <is>
          <t>Open</t>
        </is>
      </c>
      <c r="N508" s="24" t="n">
        <v>4</v>
      </c>
      <c r="O508" s="24" t="inlineStr">
        <is>
          <t>https://africanmarketingconfederation.org/amc-conference-2023/book-now-thank-you/::aioseo_no_question-style_headings</t>
        </is>
      </c>
      <c r="P508" s="24" t="inlineStr">
        <is>
          <t>Question headings better align with query phrasing and snippet extraction.</t>
        </is>
      </c>
      <c r="Q508">
        <f>IFERROR(HYPERLINK("#Main!A"&amp;MATCH(A508,Main!A:A,0),"Open"),HYPERLINK("#Main!A1","Open"))</f>
        <v/>
      </c>
      <c r="R508">
        <f>IFERROR(HYPERLINK("#Technical!A"&amp;MATCH(A508,Technical!A:A,0),"Open"),HYPERLINK("#Technical!A1","Open"))</f>
        <v/>
      </c>
    </row>
    <row r="509" ht="30" customHeight="1">
      <c r="A509" s="33" t="inlineStr">
        <is>
          <t>https://africanmarketingconfederation.org/amc-conference-2023/book-now/</t>
        </is>
      </c>
      <c r="B509" s="6" t="inlineStr">
        <is>
          <t>Readability</t>
        </is>
      </c>
      <c r="C509" s="29" t="inlineStr">
        <is>
          <t>Info</t>
        </is>
      </c>
      <c r="D509" s="6" t="inlineStr">
        <is>
          <t>No question-style headings</t>
        </is>
      </c>
      <c r="E509" s="6" t="n">
        <v>37</v>
      </c>
      <c r="F509" s="6" t="n">
        <v>0</v>
      </c>
      <c r="G509" s="6" t="inlineStr">
        <is>
          <t>&gt;=1 where intent is informational</t>
        </is>
      </c>
      <c r="H509" s="6" t="inlineStr">
        <is>
          <t>Add at least one natural question heading (H2/H3) matching user intent.</t>
        </is>
      </c>
      <c r="I509" s="31" t="inlineStr">
        <is>
          <t>AEO</t>
        </is>
      </c>
      <c r="J509" s="6" t="inlineStr">
        <is>
          <t>Question Heading Count</t>
        </is>
      </c>
      <c r="K509" s="6" t="inlineStr">
        <is>
          <t>No</t>
        </is>
      </c>
      <c r="L509" s="6" t="inlineStr">
        <is>
          <t>Copy Writer</t>
        </is>
      </c>
      <c r="M509" s="25" t="inlineStr">
        <is>
          <t>Open</t>
        </is>
      </c>
      <c r="N509" s="6" t="n">
        <v>4</v>
      </c>
      <c r="O509" s="6" t="inlineStr">
        <is>
          <t>https://africanmarketingconfederation.org/amc-conference-2023/book-now/::aioseo_no_question-style_headings</t>
        </is>
      </c>
      <c r="P509" s="6" t="inlineStr">
        <is>
          <t>Question headings better align with query phrasing and snippet extraction.</t>
        </is>
      </c>
      <c r="Q509">
        <f>IFERROR(HYPERLINK("#Main!A"&amp;MATCH(A509,Main!A:A,0),"Open"),HYPERLINK("#Main!A1","Open"))</f>
        <v/>
      </c>
      <c r="R509">
        <f>IFERROR(HYPERLINK("#Technical!A"&amp;MATCH(A509,Technical!A:A,0),"Open"),HYPERLINK("#Technical!A1","Open"))</f>
        <v/>
      </c>
    </row>
    <row r="510" ht="30" customHeight="1">
      <c r="A510" s="33" t="inlineStr">
        <is>
          <t>https://africanmarketingconfederation.org/amc-conference-2023/download-prospectus/</t>
        </is>
      </c>
      <c r="B510" s="24" t="inlineStr">
        <is>
          <t>Readability</t>
        </is>
      </c>
      <c r="C510" s="29" t="inlineStr">
        <is>
          <t>Info</t>
        </is>
      </c>
      <c r="D510" s="24" t="inlineStr">
        <is>
          <t>No question-style headings</t>
        </is>
      </c>
      <c r="E510" s="24" t="n">
        <v>37</v>
      </c>
      <c r="F510" s="24" t="n">
        <v>0</v>
      </c>
      <c r="G510" s="24" t="inlineStr">
        <is>
          <t>&gt;=1 where intent is informational</t>
        </is>
      </c>
      <c r="H510" s="24" t="inlineStr">
        <is>
          <t>Add at least one natural question heading (H2/H3) matching user intent.</t>
        </is>
      </c>
      <c r="I510" s="28" t="inlineStr">
        <is>
          <t>AEO</t>
        </is>
      </c>
      <c r="J510" s="24" t="inlineStr">
        <is>
          <t>Question Heading Count</t>
        </is>
      </c>
      <c r="K510" s="24" t="inlineStr">
        <is>
          <t>No</t>
        </is>
      </c>
      <c r="L510" s="24" t="inlineStr">
        <is>
          <t>Copy Writer</t>
        </is>
      </c>
      <c r="M510" s="25" t="inlineStr">
        <is>
          <t>Open</t>
        </is>
      </c>
      <c r="N510" s="24" t="n">
        <v>4</v>
      </c>
      <c r="O510" s="24" t="inlineStr">
        <is>
          <t>https://africanmarketingconfederation.org/amc-conference-2023/download-prospectus/::aioseo_no_question-style_headings</t>
        </is>
      </c>
      <c r="P510" s="24" t="inlineStr">
        <is>
          <t>Question headings better align with query phrasing and snippet extraction.</t>
        </is>
      </c>
      <c r="Q510">
        <f>IFERROR(HYPERLINK("#Main!A"&amp;MATCH(A510,Main!A:A,0),"Open"),HYPERLINK("#Main!A1","Open"))</f>
        <v/>
      </c>
      <c r="R510">
        <f>IFERROR(HYPERLINK("#Technical!A"&amp;MATCH(A510,Technical!A:A,0),"Open"),HYPERLINK("#Technical!A1","Open"))</f>
        <v/>
      </c>
    </row>
    <row r="511" ht="30" customHeight="1">
      <c r="A511" s="33" t="inlineStr">
        <is>
          <t>https://africanmarketingconfederation.org/amc-conference-2023/gallery/</t>
        </is>
      </c>
      <c r="B511" s="6" t="inlineStr">
        <is>
          <t>Readability</t>
        </is>
      </c>
      <c r="C511" s="29" t="inlineStr">
        <is>
          <t>Info</t>
        </is>
      </c>
      <c r="D511" s="6" t="inlineStr">
        <is>
          <t>No question-style headings</t>
        </is>
      </c>
      <c r="E511" s="6" t="n">
        <v>37</v>
      </c>
      <c r="F511" s="6" t="n">
        <v>0</v>
      </c>
      <c r="G511" s="6" t="inlineStr">
        <is>
          <t>&gt;=1 where intent is informational</t>
        </is>
      </c>
      <c r="H511" s="6" t="inlineStr">
        <is>
          <t>Add at least one natural question heading (H2/H3) matching user intent.</t>
        </is>
      </c>
      <c r="I511" s="31" t="inlineStr">
        <is>
          <t>AEO</t>
        </is>
      </c>
      <c r="J511" s="6" t="inlineStr">
        <is>
          <t>Question Heading Count</t>
        </is>
      </c>
      <c r="K511" s="6" t="inlineStr">
        <is>
          <t>No</t>
        </is>
      </c>
      <c r="L511" s="6" t="inlineStr">
        <is>
          <t>Copy Writer</t>
        </is>
      </c>
      <c r="M511" s="25" t="inlineStr">
        <is>
          <t>Open</t>
        </is>
      </c>
      <c r="N511" s="6" t="n">
        <v>4</v>
      </c>
      <c r="O511" s="6" t="inlineStr">
        <is>
          <t>https://africanmarketingconfederation.org/amc-conference-2023/gallery/::aioseo_no_question-style_headings</t>
        </is>
      </c>
      <c r="P511" s="6" t="inlineStr">
        <is>
          <t>Question headings better align with query phrasing and snippet extraction.</t>
        </is>
      </c>
      <c r="Q511">
        <f>IFERROR(HYPERLINK("#Main!A"&amp;MATCH(A511,Main!A:A,0),"Open"),HYPERLINK("#Main!A1","Open"))</f>
        <v/>
      </c>
      <c r="R511">
        <f>IFERROR(HYPERLINK("#Technical!A"&amp;MATCH(A511,Technical!A:A,0),"Open"),HYPERLINK("#Technical!A1","Open"))</f>
        <v/>
      </c>
    </row>
    <row r="512" ht="30" customHeight="1">
      <c r="A512" s="33" t="inlineStr">
        <is>
          <t>https://africanmarketingconfederation.org/amc-conference-2023/partners/</t>
        </is>
      </c>
      <c r="B512" s="24" t="inlineStr">
        <is>
          <t>Readability</t>
        </is>
      </c>
      <c r="C512" s="29" t="inlineStr">
        <is>
          <t>Info</t>
        </is>
      </c>
      <c r="D512" s="24" t="inlineStr">
        <is>
          <t>No question-style headings</t>
        </is>
      </c>
      <c r="E512" s="24" t="n">
        <v>37</v>
      </c>
      <c r="F512" s="24" t="n">
        <v>0</v>
      </c>
      <c r="G512" s="24" t="inlineStr">
        <is>
          <t>&gt;=1 where intent is informational</t>
        </is>
      </c>
      <c r="H512" s="24" t="inlineStr">
        <is>
          <t>Add at least one natural question heading (H2/H3) matching user intent.</t>
        </is>
      </c>
      <c r="I512" s="28" t="inlineStr">
        <is>
          <t>AEO</t>
        </is>
      </c>
      <c r="J512" s="24" t="inlineStr">
        <is>
          <t>Question Heading Count</t>
        </is>
      </c>
      <c r="K512" s="24" t="inlineStr">
        <is>
          <t>No</t>
        </is>
      </c>
      <c r="L512" s="24" t="inlineStr">
        <is>
          <t>Copy Writer</t>
        </is>
      </c>
      <c r="M512" s="25" t="inlineStr">
        <is>
          <t>Open</t>
        </is>
      </c>
      <c r="N512" s="24" t="n">
        <v>4</v>
      </c>
      <c r="O512" s="24" t="inlineStr">
        <is>
          <t>https://africanmarketingconfederation.org/amc-conference-2023/partners/::aioseo_no_question-style_headings</t>
        </is>
      </c>
      <c r="P512" s="24" t="inlineStr">
        <is>
          <t>Question headings better align with query phrasing and snippet extraction.</t>
        </is>
      </c>
      <c r="Q512">
        <f>IFERROR(HYPERLINK("#Main!A"&amp;MATCH(A512,Main!A:A,0),"Open"),HYPERLINK("#Main!A1","Open"))</f>
        <v/>
      </c>
      <c r="R512">
        <f>IFERROR(HYPERLINK("#Technical!A"&amp;MATCH(A512,Technical!A:A,0),"Open"),HYPERLINK("#Technical!A1","Open"))</f>
        <v/>
      </c>
    </row>
    <row r="513" ht="30" customHeight="1">
      <c r="A513" s="33" t="inlineStr">
        <is>
          <t>https://africanmarketingconfederation.org/amc-conference-2023/programme/</t>
        </is>
      </c>
      <c r="B513" s="6" t="inlineStr">
        <is>
          <t>Readability</t>
        </is>
      </c>
      <c r="C513" s="29" t="inlineStr">
        <is>
          <t>Info</t>
        </is>
      </c>
      <c r="D513" s="6" t="inlineStr">
        <is>
          <t>No question-style headings</t>
        </is>
      </c>
      <c r="E513" s="6" t="n">
        <v>37</v>
      </c>
      <c r="F513" s="6" t="n">
        <v>0</v>
      </c>
      <c r="G513" s="6" t="inlineStr">
        <is>
          <t>&gt;=1 where intent is informational</t>
        </is>
      </c>
      <c r="H513" s="6" t="inlineStr">
        <is>
          <t>Add at least one natural question heading (H2/H3) matching user intent.</t>
        </is>
      </c>
      <c r="I513" s="31" t="inlineStr">
        <is>
          <t>AEO</t>
        </is>
      </c>
      <c r="J513" s="6" t="inlineStr">
        <is>
          <t>Question Heading Count</t>
        </is>
      </c>
      <c r="K513" s="6" t="inlineStr">
        <is>
          <t>No</t>
        </is>
      </c>
      <c r="L513" s="6" t="inlineStr">
        <is>
          <t>Copy Writer</t>
        </is>
      </c>
      <c r="M513" s="25" t="inlineStr">
        <is>
          <t>Open</t>
        </is>
      </c>
      <c r="N513" s="6" t="n">
        <v>4</v>
      </c>
      <c r="O513" s="6" t="inlineStr">
        <is>
          <t>https://africanmarketingconfederation.org/amc-conference-2023/programme/::aioseo_no_question-style_headings</t>
        </is>
      </c>
      <c r="P513" s="6" t="inlineStr">
        <is>
          <t>Question headings better align with query phrasing and snippet extraction.</t>
        </is>
      </c>
      <c r="Q513">
        <f>IFERROR(HYPERLINK("#Main!A"&amp;MATCH(A513,Main!A:A,0),"Open"),HYPERLINK("#Main!A1","Open"))</f>
        <v/>
      </c>
      <c r="R513">
        <f>IFERROR(HYPERLINK("#Technical!A"&amp;MATCH(A513,Technical!A:A,0),"Open"),HYPERLINK("#Technical!A1","Open"))</f>
        <v/>
      </c>
    </row>
    <row r="514" ht="30" customHeight="1">
      <c r="A514" s="33" t="inlineStr">
        <is>
          <t>https://africanmarketingconfederation.org/amc-conference-2023/speakers/</t>
        </is>
      </c>
      <c r="B514" s="24" t="inlineStr">
        <is>
          <t>Readability</t>
        </is>
      </c>
      <c r="C514" s="29" t="inlineStr">
        <is>
          <t>Info</t>
        </is>
      </c>
      <c r="D514" s="24" t="inlineStr">
        <is>
          <t>No question-style headings</t>
        </is>
      </c>
      <c r="E514" s="24" t="n">
        <v>37</v>
      </c>
      <c r="F514" s="24" t="n">
        <v>0</v>
      </c>
      <c r="G514" s="24" t="inlineStr">
        <is>
          <t>&gt;=1 where intent is informational</t>
        </is>
      </c>
      <c r="H514" s="24" t="inlineStr">
        <is>
          <t>Add at least one natural question heading (H2/H3) matching user intent.</t>
        </is>
      </c>
      <c r="I514" s="28" t="inlineStr">
        <is>
          <t>AEO</t>
        </is>
      </c>
      <c r="J514" s="24" t="inlineStr">
        <is>
          <t>Question Heading Count</t>
        </is>
      </c>
      <c r="K514" s="24" t="inlineStr">
        <is>
          <t>No</t>
        </is>
      </c>
      <c r="L514" s="24" t="inlineStr">
        <is>
          <t>Copy Writer</t>
        </is>
      </c>
      <c r="M514" s="25" t="inlineStr">
        <is>
          <t>Open</t>
        </is>
      </c>
      <c r="N514" s="24" t="n">
        <v>4</v>
      </c>
      <c r="O514" s="24" t="inlineStr">
        <is>
          <t>https://africanmarketingconfederation.org/amc-conference-2023/speakers/::aioseo_no_question-style_headings</t>
        </is>
      </c>
      <c r="P514" s="24" t="inlineStr">
        <is>
          <t>Question headings better align with query phrasing and snippet extraction.</t>
        </is>
      </c>
      <c r="Q514">
        <f>IFERROR(HYPERLINK("#Main!A"&amp;MATCH(A514,Main!A:A,0),"Open"),HYPERLINK("#Main!A1","Open"))</f>
        <v/>
      </c>
      <c r="R514">
        <f>IFERROR(HYPERLINK("#Technical!A"&amp;MATCH(A514,Technical!A:A,0),"Open"),HYPERLINK("#Technical!A1","Open"))</f>
        <v/>
      </c>
    </row>
    <row r="515" ht="30" customHeight="1">
      <c r="A515" s="33" t="inlineStr">
        <is>
          <t>https://africanmarketingconfederation.org/amc-conference-2024-recap/</t>
        </is>
      </c>
      <c r="B515" s="6" t="inlineStr">
        <is>
          <t>Readability</t>
        </is>
      </c>
      <c r="C515" s="29" t="inlineStr">
        <is>
          <t>Info</t>
        </is>
      </c>
      <c r="D515" s="6" t="inlineStr">
        <is>
          <t>Multiple H1 headings</t>
        </is>
      </c>
      <c r="E515" s="6" t="n">
        <v>37</v>
      </c>
      <c r="F515" s="6" t="n">
        <v>2</v>
      </c>
      <c r="G515" s="6" t="inlineStr">
        <is>
          <t>Exactly 1 H1</t>
        </is>
      </c>
      <c r="H515" s="6" t="inlineStr">
        <is>
          <t>Keep one primary H1, convert remaining top-level headings to H2/H3 where appropriate.</t>
        </is>
      </c>
      <c r="I515" s="31" t="inlineStr">
        <is>
          <t>Content</t>
        </is>
      </c>
      <c r="J515" s="6" t="inlineStr">
        <is>
          <t>Multiple H1 Flag</t>
        </is>
      </c>
      <c r="K515" s="6" t="inlineStr">
        <is>
          <t>No</t>
        </is>
      </c>
      <c r="L515" s="6" t="inlineStr">
        <is>
          <t>Copy Writer</t>
        </is>
      </c>
      <c r="M515" s="25" t="inlineStr">
        <is>
          <t>Open</t>
        </is>
      </c>
      <c r="N515" s="6" t="n">
        <v>4</v>
      </c>
      <c r="O515" s="6" t="inlineStr">
        <is>
          <t>https://africanmarketingconfederation.org/amc-conference-2024-recap/::aioseo_multiple_h1_headings</t>
        </is>
      </c>
      <c r="P515" s="6" t="inlineStr">
        <is>
          <t>Multiple H1s can reduce heading hierarchy clarity.</t>
        </is>
      </c>
      <c r="Q515">
        <f>IFERROR(HYPERLINK("#Main!A"&amp;MATCH(A515,Main!A:A,0),"Open"),HYPERLINK("#Main!A1","Open"))</f>
        <v/>
      </c>
      <c r="R515">
        <f>IFERROR(HYPERLINK("#Technical!A"&amp;MATCH(A515,Technical!A:A,0),"Open"),HYPERLINK("#Technical!A1","Open"))</f>
        <v/>
      </c>
    </row>
    <row r="516" ht="30" customHeight="1">
      <c r="A516" s="33" t="inlineStr">
        <is>
          <t>https://africanmarketingconfederation.org/amc-conference-2024-recap/</t>
        </is>
      </c>
      <c r="B516" s="24" t="inlineStr">
        <is>
          <t>Readability</t>
        </is>
      </c>
      <c r="C516" s="29" t="inlineStr">
        <is>
          <t>Info</t>
        </is>
      </c>
      <c r="D516" s="24" t="inlineStr">
        <is>
          <t>No question-style headings</t>
        </is>
      </c>
      <c r="E516" s="24" t="n">
        <v>37</v>
      </c>
      <c r="F516" s="24" t="n">
        <v>0</v>
      </c>
      <c r="G516" s="24" t="inlineStr">
        <is>
          <t>&gt;=1 where intent is informational</t>
        </is>
      </c>
      <c r="H516" s="24" t="inlineStr">
        <is>
          <t>Add at least one natural question heading (H2/H3) matching user intent.</t>
        </is>
      </c>
      <c r="I516" s="28" t="inlineStr">
        <is>
          <t>AEO</t>
        </is>
      </c>
      <c r="J516" s="24" t="inlineStr">
        <is>
          <t>Question Heading Count</t>
        </is>
      </c>
      <c r="K516" s="24" t="inlineStr">
        <is>
          <t>No</t>
        </is>
      </c>
      <c r="L516" s="24" t="inlineStr">
        <is>
          <t>Copy Writer</t>
        </is>
      </c>
      <c r="M516" s="25" t="inlineStr">
        <is>
          <t>Open</t>
        </is>
      </c>
      <c r="N516" s="24" t="n">
        <v>4</v>
      </c>
      <c r="O516" s="24" t="inlineStr">
        <is>
          <t>https://africanmarketingconfederation.org/amc-conference-2024-recap/::aioseo_no_question-style_headings</t>
        </is>
      </c>
      <c r="P516" s="24" t="inlineStr">
        <is>
          <t>Question headings better align with query phrasing and snippet extraction.</t>
        </is>
      </c>
      <c r="Q516">
        <f>IFERROR(HYPERLINK("#Main!A"&amp;MATCH(A516,Main!A:A,0),"Open"),HYPERLINK("#Main!A1","Open"))</f>
        <v/>
      </c>
      <c r="R516">
        <f>IFERROR(HYPERLINK("#Technical!A"&amp;MATCH(A516,Technical!A:A,0),"Open"),HYPERLINK("#Technical!A1","Open"))</f>
        <v/>
      </c>
    </row>
    <row r="517" ht="30" customHeight="1">
      <c r="A517" s="33" t="inlineStr">
        <is>
          <t>https://africanmarketingconfederation.org/amc-conference-2024-sponsors-packages/</t>
        </is>
      </c>
      <c r="B517" s="6" t="inlineStr">
        <is>
          <t>Readability</t>
        </is>
      </c>
      <c r="C517" s="29" t="inlineStr">
        <is>
          <t>Info</t>
        </is>
      </c>
      <c r="D517" s="6" t="inlineStr">
        <is>
          <t>No question-style headings</t>
        </is>
      </c>
      <c r="E517" s="6" t="n">
        <v>37</v>
      </c>
      <c r="F517" s="6" t="n">
        <v>0</v>
      </c>
      <c r="G517" s="6" t="inlineStr">
        <is>
          <t>&gt;=1 where intent is informational</t>
        </is>
      </c>
      <c r="H517" s="6" t="inlineStr">
        <is>
          <t>Add at least one natural question heading (H2/H3) matching user intent.</t>
        </is>
      </c>
      <c r="I517" s="31" t="inlineStr">
        <is>
          <t>AEO</t>
        </is>
      </c>
      <c r="J517" s="6" t="inlineStr">
        <is>
          <t>Question Heading Count</t>
        </is>
      </c>
      <c r="K517" s="6" t="inlineStr">
        <is>
          <t>No</t>
        </is>
      </c>
      <c r="L517" s="6" t="inlineStr">
        <is>
          <t>Copy Writer</t>
        </is>
      </c>
      <c r="M517" s="25" t="inlineStr">
        <is>
          <t>Open</t>
        </is>
      </c>
      <c r="N517" s="6" t="n">
        <v>4</v>
      </c>
      <c r="O517" s="6" t="inlineStr">
        <is>
          <t>https://africanmarketingconfederation.org/amc-conference-2024-sponsors-packages/::aioseo_no_question-style_headings</t>
        </is>
      </c>
      <c r="P517" s="6" t="inlineStr">
        <is>
          <t>Question headings better align with query phrasing and snippet extraction.</t>
        </is>
      </c>
      <c r="Q517">
        <f>IFERROR(HYPERLINK("#Main!A"&amp;MATCH(A517,Main!A:A,0),"Open"),HYPERLINK("#Main!A1","Open"))</f>
        <v/>
      </c>
      <c r="R517">
        <f>IFERROR(HYPERLINK("#Technical!A"&amp;MATCH(A517,Technical!A:A,0),"Open"),HYPERLINK("#Technical!A1","Open"))</f>
        <v/>
      </c>
    </row>
    <row r="518" ht="30" customHeight="1">
      <c r="A518" s="33" t="inlineStr">
        <is>
          <t>https://africanmarketingconfederation.org/amc-conference-2025-highlights/</t>
        </is>
      </c>
      <c r="B518" s="24" t="inlineStr">
        <is>
          <t>Readability</t>
        </is>
      </c>
      <c r="C518" s="29" t="inlineStr">
        <is>
          <t>Info</t>
        </is>
      </c>
      <c r="D518" s="24" t="inlineStr">
        <is>
          <t>Multiple H1 headings</t>
        </is>
      </c>
      <c r="E518" s="24" t="n">
        <v>37</v>
      </c>
      <c r="F518" s="24" t="n">
        <v>10</v>
      </c>
      <c r="G518" s="24" t="inlineStr">
        <is>
          <t>Exactly 1 H1</t>
        </is>
      </c>
      <c r="H518" s="24" t="inlineStr">
        <is>
          <t>Keep one primary H1, convert remaining top-level headings to H2/H3 where appropriate.</t>
        </is>
      </c>
      <c r="I518" s="28" t="inlineStr">
        <is>
          <t>Content</t>
        </is>
      </c>
      <c r="J518" s="24" t="inlineStr">
        <is>
          <t>Multiple H1 Flag</t>
        </is>
      </c>
      <c r="K518" s="24" t="inlineStr">
        <is>
          <t>No</t>
        </is>
      </c>
      <c r="L518" s="24" t="inlineStr">
        <is>
          <t>Copy Writer</t>
        </is>
      </c>
      <c r="M518" s="25" t="inlineStr">
        <is>
          <t>Open</t>
        </is>
      </c>
      <c r="N518" s="24" t="n">
        <v>4</v>
      </c>
      <c r="O518" s="24" t="inlineStr">
        <is>
          <t>https://africanmarketingconfederation.org/amc-conference-2025-highlights/::aioseo_multiple_h1_headings</t>
        </is>
      </c>
      <c r="P518" s="24" t="inlineStr">
        <is>
          <t>Multiple H1s can reduce heading hierarchy clarity.</t>
        </is>
      </c>
      <c r="Q518">
        <f>IFERROR(HYPERLINK("#Main!A"&amp;MATCH(A518,Main!A:A,0),"Open"),HYPERLINK("#Main!A1","Open"))</f>
        <v/>
      </c>
      <c r="R518">
        <f>IFERROR(HYPERLINK("#Technical!A"&amp;MATCH(A518,Technical!A:A,0),"Open"),HYPERLINK("#Technical!A1","Open"))</f>
        <v/>
      </c>
    </row>
    <row r="519" ht="30" customHeight="1">
      <c r="A519" s="33" t="inlineStr">
        <is>
          <t>https://africanmarketingconfederation.org/amc-conference-2025-highlights/</t>
        </is>
      </c>
      <c r="B519" s="6" t="inlineStr">
        <is>
          <t>Readability</t>
        </is>
      </c>
      <c r="C519" s="29" t="inlineStr">
        <is>
          <t>Info</t>
        </is>
      </c>
      <c r="D519" s="6" t="inlineStr">
        <is>
          <t>No question-style headings</t>
        </is>
      </c>
      <c r="E519" s="6" t="n">
        <v>37</v>
      </c>
      <c r="F519" s="6" t="n">
        <v>0</v>
      </c>
      <c r="G519" s="6" t="inlineStr">
        <is>
          <t>&gt;=1 where intent is informational</t>
        </is>
      </c>
      <c r="H519" s="6" t="inlineStr">
        <is>
          <t>Add at least one natural question heading (H2/H3) matching user intent.</t>
        </is>
      </c>
      <c r="I519" s="31" t="inlineStr">
        <is>
          <t>AEO</t>
        </is>
      </c>
      <c r="J519" s="6" t="inlineStr">
        <is>
          <t>Question Heading Count</t>
        </is>
      </c>
      <c r="K519" s="6" t="inlineStr">
        <is>
          <t>No</t>
        </is>
      </c>
      <c r="L519" s="6" t="inlineStr">
        <is>
          <t>Copy Writer</t>
        </is>
      </c>
      <c r="M519" s="25" t="inlineStr">
        <is>
          <t>Open</t>
        </is>
      </c>
      <c r="N519" s="6" t="n">
        <v>4</v>
      </c>
      <c r="O519" s="6" t="inlineStr">
        <is>
          <t>https://africanmarketingconfederation.org/amc-conference-2025-highlights/::aioseo_no_question-style_headings</t>
        </is>
      </c>
      <c r="P519" s="6" t="inlineStr">
        <is>
          <t>Question headings better align with query phrasing and snippet extraction.</t>
        </is>
      </c>
      <c r="Q519">
        <f>IFERROR(HYPERLINK("#Main!A"&amp;MATCH(A519,Main!A:A,0),"Open"),HYPERLINK("#Main!A1","Open"))</f>
        <v/>
      </c>
      <c r="R519">
        <f>IFERROR(HYPERLINK("#Technical!A"&amp;MATCH(A519,Technical!A:A,0),"Open"),HYPERLINK("#Technical!A1","Open"))</f>
        <v/>
      </c>
    </row>
    <row r="520" ht="30" customHeight="1">
      <c r="A520" s="33" t="inlineStr">
        <is>
          <t>https://africanmarketingconfederation.org/amc-conference-2025/</t>
        </is>
      </c>
      <c r="B520" s="24" t="inlineStr">
        <is>
          <t>Readability</t>
        </is>
      </c>
      <c r="C520" s="29" t="inlineStr">
        <is>
          <t>Info</t>
        </is>
      </c>
      <c r="D520" s="24" t="inlineStr">
        <is>
          <t>Multiple H1 headings</t>
        </is>
      </c>
      <c r="E520" s="24" t="n">
        <v>37</v>
      </c>
      <c r="F520" s="24" t="n">
        <v>2</v>
      </c>
      <c r="G520" s="24" t="inlineStr">
        <is>
          <t>Exactly 1 H1</t>
        </is>
      </c>
      <c r="H520" s="24" t="inlineStr">
        <is>
          <t>Keep one primary H1, convert remaining top-level headings to H2/H3 where appropriate.</t>
        </is>
      </c>
      <c r="I520" s="28" t="inlineStr">
        <is>
          <t>Content</t>
        </is>
      </c>
      <c r="J520" s="24" t="inlineStr">
        <is>
          <t>Multiple H1 Flag</t>
        </is>
      </c>
      <c r="K520" s="24" t="inlineStr">
        <is>
          <t>No</t>
        </is>
      </c>
      <c r="L520" s="24" t="inlineStr">
        <is>
          <t>Copy Writer</t>
        </is>
      </c>
      <c r="M520" s="25" t="inlineStr">
        <is>
          <t>Open</t>
        </is>
      </c>
      <c r="N520" s="24" t="n">
        <v>4</v>
      </c>
      <c r="O520" s="24" t="inlineStr">
        <is>
          <t>https://africanmarketingconfederation.org/amc-conference-2025/::aioseo_multiple_h1_headings</t>
        </is>
      </c>
      <c r="P520" s="24" t="inlineStr">
        <is>
          <t>Multiple H1s can reduce heading hierarchy clarity.</t>
        </is>
      </c>
      <c r="Q520">
        <f>IFERROR(HYPERLINK("#Main!A"&amp;MATCH(A520,Main!A:A,0),"Open"),HYPERLINK("#Main!A1","Open"))</f>
        <v/>
      </c>
      <c r="R520">
        <f>IFERROR(HYPERLINK("#Technical!A"&amp;MATCH(A520,Technical!A:A,0),"Open"),HYPERLINK("#Technical!A1","Open"))</f>
        <v/>
      </c>
    </row>
    <row r="521" ht="30" customHeight="1">
      <c r="A521" s="33" t="inlineStr">
        <is>
          <t>https://africanmarketingconfederation.org/amc-conference-2025/</t>
        </is>
      </c>
      <c r="B521" s="6" t="inlineStr">
        <is>
          <t>Readability</t>
        </is>
      </c>
      <c r="C521" s="29" t="inlineStr">
        <is>
          <t>Info</t>
        </is>
      </c>
      <c r="D521" s="6" t="inlineStr">
        <is>
          <t>No question-style headings</t>
        </is>
      </c>
      <c r="E521" s="6" t="n">
        <v>37</v>
      </c>
      <c r="F521" s="6" t="n">
        <v>0</v>
      </c>
      <c r="G521" s="6" t="inlineStr">
        <is>
          <t>&gt;=1 where intent is informational</t>
        </is>
      </c>
      <c r="H521" s="6" t="inlineStr">
        <is>
          <t>Add at least one natural question heading (H2/H3) matching user intent.</t>
        </is>
      </c>
      <c r="I521" s="31" t="inlineStr">
        <is>
          <t>AEO</t>
        </is>
      </c>
      <c r="J521" s="6" t="inlineStr">
        <is>
          <t>Question Heading Count</t>
        </is>
      </c>
      <c r="K521" s="6" t="inlineStr">
        <is>
          <t>No</t>
        </is>
      </c>
      <c r="L521" s="6" t="inlineStr">
        <is>
          <t>Copy Writer</t>
        </is>
      </c>
      <c r="M521" s="25" t="inlineStr">
        <is>
          <t>Open</t>
        </is>
      </c>
      <c r="N521" s="6" t="n">
        <v>4</v>
      </c>
      <c r="O521" s="6" t="inlineStr">
        <is>
          <t>https://africanmarketingconfederation.org/amc-conference-2025/::aioseo_no_question-style_headings</t>
        </is>
      </c>
      <c r="P521" s="6" t="inlineStr">
        <is>
          <t>Question headings better align with query phrasing and snippet extraction.</t>
        </is>
      </c>
      <c r="Q521">
        <f>IFERROR(HYPERLINK("#Main!A"&amp;MATCH(A521,Main!A:A,0),"Open"),HYPERLINK("#Main!A1","Open"))</f>
        <v/>
      </c>
      <c r="R521">
        <f>IFERROR(HYPERLINK("#Technical!A"&amp;MATCH(A521,Technical!A:A,0),"Open"),HYPERLINK("#Technical!A1","Open"))</f>
        <v/>
      </c>
    </row>
    <row r="522" ht="30" customHeight="1">
      <c r="A522" s="33" t="inlineStr">
        <is>
          <t>https://africanmarketingconfederation.org/amc-conference-2026-awards-nominations-thank-you/</t>
        </is>
      </c>
      <c r="B522" s="24" t="inlineStr">
        <is>
          <t>Readability</t>
        </is>
      </c>
      <c r="C522" s="29" t="inlineStr">
        <is>
          <t>Info</t>
        </is>
      </c>
      <c r="D522" s="24" t="inlineStr">
        <is>
          <t>Multiple H1 headings</t>
        </is>
      </c>
      <c r="E522" s="24" t="n">
        <v>37</v>
      </c>
      <c r="F522" s="24" t="n">
        <v>2</v>
      </c>
      <c r="G522" s="24" t="inlineStr">
        <is>
          <t>Exactly 1 H1</t>
        </is>
      </c>
      <c r="H522" s="24" t="inlineStr">
        <is>
          <t>Keep one primary H1, convert remaining top-level headings to H2/H3 where appropriate.</t>
        </is>
      </c>
      <c r="I522" s="28" t="inlineStr">
        <is>
          <t>Content</t>
        </is>
      </c>
      <c r="J522" s="24" t="inlineStr">
        <is>
          <t>Multiple H1 Flag</t>
        </is>
      </c>
      <c r="K522" s="24" t="inlineStr">
        <is>
          <t>No</t>
        </is>
      </c>
      <c r="L522" s="24" t="inlineStr">
        <is>
          <t>Copy Writer</t>
        </is>
      </c>
      <c r="M522" s="25" t="inlineStr">
        <is>
          <t>Open</t>
        </is>
      </c>
      <c r="N522" s="24" t="n">
        <v>4</v>
      </c>
      <c r="O522" s="24" t="inlineStr">
        <is>
          <t>https://africanmarketingconfederation.org/amc-conference-2026-awards-nominations-thank-you/::aioseo_multiple_h1_headings</t>
        </is>
      </c>
      <c r="P522" s="24" t="inlineStr">
        <is>
          <t>Multiple H1s can reduce heading hierarchy clarity.</t>
        </is>
      </c>
      <c r="Q522">
        <f>IFERROR(HYPERLINK("#Main!A"&amp;MATCH(A522,Main!A:A,0),"Open"),HYPERLINK("#Main!A1","Open"))</f>
        <v/>
      </c>
      <c r="R522">
        <f>IFERROR(HYPERLINK("#Technical!A"&amp;MATCH(A522,Technical!A:A,0),"Open"),HYPERLINK("#Technical!A1","Open"))</f>
        <v/>
      </c>
    </row>
    <row r="523" ht="30" customHeight="1">
      <c r="A523" s="33" t="inlineStr">
        <is>
          <t>https://africanmarketingconfederation.org/amc-conference-2026-awards-nominations-thank-you/</t>
        </is>
      </c>
      <c r="B523" s="6" t="inlineStr">
        <is>
          <t>Readability</t>
        </is>
      </c>
      <c r="C523" s="29" t="inlineStr">
        <is>
          <t>Info</t>
        </is>
      </c>
      <c r="D523" s="6" t="inlineStr">
        <is>
          <t>No question-style headings</t>
        </is>
      </c>
      <c r="E523" s="6" t="n">
        <v>37</v>
      </c>
      <c r="F523" s="6" t="n">
        <v>0</v>
      </c>
      <c r="G523" s="6" t="inlineStr">
        <is>
          <t>&gt;=1 where intent is informational</t>
        </is>
      </c>
      <c r="H523" s="6" t="inlineStr">
        <is>
          <t>Add at least one natural question heading (H2/H3) matching user intent.</t>
        </is>
      </c>
      <c r="I523" s="31" t="inlineStr">
        <is>
          <t>AEO</t>
        </is>
      </c>
      <c r="J523" s="6" t="inlineStr">
        <is>
          <t>Question Heading Count</t>
        </is>
      </c>
      <c r="K523" s="6" t="inlineStr">
        <is>
          <t>No</t>
        </is>
      </c>
      <c r="L523" s="6" t="inlineStr">
        <is>
          <t>Copy Writer</t>
        </is>
      </c>
      <c r="M523" s="25" t="inlineStr">
        <is>
          <t>Open</t>
        </is>
      </c>
      <c r="N523" s="6" t="n">
        <v>4</v>
      </c>
      <c r="O523" s="6" t="inlineStr">
        <is>
          <t>https://africanmarketingconfederation.org/amc-conference-2026-awards-nominations-thank-you/::aioseo_no_question-style_headings</t>
        </is>
      </c>
      <c r="P523" s="6" t="inlineStr">
        <is>
          <t>Question headings better align with query phrasing and snippet extraction.</t>
        </is>
      </c>
      <c r="Q523">
        <f>IFERROR(HYPERLINK("#Main!A"&amp;MATCH(A523,Main!A:A,0),"Open"),HYPERLINK("#Main!A1","Open"))</f>
        <v/>
      </c>
      <c r="R523">
        <f>IFERROR(HYPERLINK("#Technical!A"&amp;MATCH(A523,Technical!A:A,0),"Open"),HYPERLINK("#Technical!A1","Open"))</f>
        <v/>
      </c>
    </row>
    <row r="524" ht="30" customHeight="1">
      <c r="A524" s="33" t="inlineStr">
        <is>
          <t>https://africanmarketingconfederation.org/amc-conference-2026-zambia-thank-you/</t>
        </is>
      </c>
      <c r="B524" s="24" t="inlineStr">
        <is>
          <t>Readability</t>
        </is>
      </c>
      <c r="C524" s="29" t="inlineStr">
        <is>
          <t>Info</t>
        </is>
      </c>
      <c r="D524" s="24" t="inlineStr">
        <is>
          <t>Multiple H1 headings</t>
        </is>
      </c>
      <c r="E524" s="24" t="n">
        <v>37</v>
      </c>
      <c r="F524" s="24" t="n">
        <v>2</v>
      </c>
      <c r="G524" s="24" t="inlineStr">
        <is>
          <t>Exactly 1 H1</t>
        </is>
      </c>
      <c r="H524" s="24" t="inlineStr">
        <is>
          <t>Keep one primary H1, convert remaining top-level headings to H2/H3 where appropriate.</t>
        </is>
      </c>
      <c r="I524" s="28" t="inlineStr">
        <is>
          <t>Content</t>
        </is>
      </c>
      <c r="J524" s="24" t="inlineStr">
        <is>
          <t>Multiple H1 Flag</t>
        </is>
      </c>
      <c r="K524" s="24" t="inlineStr">
        <is>
          <t>No</t>
        </is>
      </c>
      <c r="L524" s="24" t="inlineStr">
        <is>
          <t>Copy Writer</t>
        </is>
      </c>
      <c r="M524" s="25" t="inlineStr">
        <is>
          <t>Open</t>
        </is>
      </c>
      <c r="N524" s="24" t="n">
        <v>4</v>
      </c>
      <c r="O524" s="24" t="inlineStr">
        <is>
          <t>https://africanmarketingconfederation.org/amc-conference-2026-zambia-thank-you/::aioseo_multiple_h1_headings</t>
        </is>
      </c>
      <c r="P524" s="24" t="inlineStr">
        <is>
          <t>Multiple H1s can reduce heading hierarchy clarity.</t>
        </is>
      </c>
      <c r="Q524">
        <f>IFERROR(HYPERLINK("#Main!A"&amp;MATCH(A524,Main!A:A,0),"Open"),HYPERLINK("#Main!A1","Open"))</f>
        <v/>
      </c>
      <c r="R524">
        <f>IFERROR(HYPERLINK("#Technical!A"&amp;MATCH(A524,Technical!A:A,0),"Open"),HYPERLINK("#Technical!A1","Open"))</f>
        <v/>
      </c>
    </row>
    <row r="525" ht="30" customHeight="1">
      <c r="A525" s="33" t="inlineStr">
        <is>
          <t>https://africanmarketingconfederation.org/amc-conference-2026-zambia-thank-you/</t>
        </is>
      </c>
      <c r="B525" s="6" t="inlineStr">
        <is>
          <t>Readability</t>
        </is>
      </c>
      <c r="C525" s="29" t="inlineStr">
        <is>
          <t>Info</t>
        </is>
      </c>
      <c r="D525" s="6" t="inlineStr">
        <is>
          <t>No question-style headings</t>
        </is>
      </c>
      <c r="E525" s="6" t="n">
        <v>37</v>
      </c>
      <c r="F525" s="6" t="n">
        <v>0</v>
      </c>
      <c r="G525" s="6" t="inlineStr">
        <is>
          <t>&gt;=1 where intent is informational</t>
        </is>
      </c>
      <c r="H525" s="6" t="inlineStr">
        <is>
          <t>Add at least one natural question heading (H2/H3) matching user intent.</t>
        </is>
      </c>
      <c r="I525" s="31" t="inlineStr">
        <is>
          <t>AEO</t>
        </is>
      </c>
      <c r="J525" s="6" t="inlineStr">
        <is>
          <t>Question Heading Count</t>
        </is>
      </c>
      <c r="K525" s="6" t="inlineStr">
        <is>
          <t>No</t>
        </is>
      </c>
      <c r="L525" s="6" t="inlineStr">
        <is>
          <t>Copy Writer</t>
        </is>
      </c>
      <c r="M525" s="25" t="inlineStr">
        <is>
          <t>Open</t>
        </is>
      </c>
      <c r="N525" s="6" t="n">
        <v>4</v>
      </c>
      <c r="O525" s="6" t="inlineStr">
        <is>
          <t>https://africanmarketingconfederation.org/amc-conference-2026-zambia-thank-you/::aioseo_no_question-style_headings</t>
        </is>
      </c>
      <c r="P525" s="6" t="inlineStr">
        <is>
          <t>Question headings better align with query phrasing and snippet extraction.</t>
        </is>
      </c>
      <c r="Q525">
        <f>IFERROR(HYPERLINK("#Main!A"&amp;MATCH(A525,Main!A:A,0),"Open"),HYPERLINK("#Main!A1","Open"))</f>
        <v/>
      </c>
      <c r="R525">
        <f>IFERROR(HYPERLINK("#Technical!A"&amp;MATCH(A525,Technical!A:A,0),"Open"),HYPERLINK("#Technical!A1","Open"))</f>
        <v/>
      </c>
    </row>
    <row r="526" ht="30" customHeight="1">
      <c r="A526" s="33" t="inlineStr">
        <is>
          <t>https://africanmarketingconfederation.org/amc-conference-2026/</t>
        </is>
      </c>
      <c r="B526" s="24" t="inlineStr">
        <is>
          <t>Readability</t>
        </is>
      </c>
      <c r="C526" s="29" t="inlineStr">
        <is>
          <t>Info</t>
        </is>
      </c>
      <c r="D526" s="24" t="inlineStr">
        <is>
          <t>No question-style headings</t>
        </is>
      </c>
      <c r="E526" s="24" t="n">
        <v>37</v>
      </c>
      <c r="F526" s="24" t="n">
        <v>0</v>
      </c>
      <c r="G526" s="24" t="inlineStr">
        <is>
          <t>&gt;=1 where intent is informational</t>
        </is>
      </c>
      <c r="H526" s="24" t="inlineStr">
        <is>
          <t>Add at least one natural question heading (H2/H3) matching user intent.</t>
        </is>
      </c>
      <c r="I526" s="28" t="inlineStr">
        <is>
          <t>AEO</t>
        </is>
      </c>
      <c r="J526" s="24" t="inlineStr">
        <is>
          <t>Question Heading Count</t>
        </is>
      </c>
      <c r="K526" s="24" t="inlineStr">
        <is>
          <t>No</t>
        </is>
      </c>
      <c r="L526" s="24" t="inlineStr">
        <is>
          <t>Copy Writer</t>
        </is>
      </c>
      <c r="M526" s="25" t="inlineStr">
        <is>
          <t>Open</t>
        </is>
      </c>
      <c r="N526" s="24" t="n">
        <v>4</v>
      </c>
      <c r="O526" s="24" t="inlineStr">
        <is>
          <t>https://africanmarketingconfederation.org/amc-conference-2026/::aioseo_no_question-style_headings</t>
        </is>
      </c>
      <c r="P526" s="24" t="inlineStr">
        <is>
          <t>Question headings better align with query phrasing and snippet extraction.</t>
        </is>
      </c>
      <c r="Q526">
        <f>IFERROR(HYPERLINK("#Main!A"&amp;MATCH(A526,Main!A:A,0),"Open"),HYPERLINK("#Main!A1","Open"))</f>
        <v/>
      </c>
      <c r="R526">
        <f>IFERROR(HYPERLINK("#Technical!A"&amp;MATCH(A526,Technical!A:A,0),"Open"),HYPERLINK("#Technical!A1","Open"))</f>
        <v/>
      </c>
    </row>
    <row r="527" ht="30" customHeight="1">
      <c r="A527" s="33" t="inlineStr">
        <is>
          <t>https://africanmarketingconfederation.org/amc-conference-programme/</t>
        </is>
      </c>
      <c r="B527" s="6" t="inlineStr">
        <is>
          <t>Readability</t>
        </is>
      </c>
      <c r="C527" s="29" t="inlineStr">
        <is>
          <t>Info</t>
        </is>
      </c>
      <c r="D527" s="6" t="inlineStr">
        <is>
          <t>No question-style headings</t>
        </is>
      </c>
      <c r="E527" s="6" t="n">
        <v>37</v>
      </c>
      <c r="F527" s="6" t="n">
        <v>0</v>
      </c>
      <c r="G527" s="6" t="inlineStr">
        <is>
          <t>&gt;=1 where intent is informational</t>
        </is>
      </c>
      <c r="H527" s="6" t="inlineStr">
        <is>
          <t>Add at least one natural question heading (H2/H3) matching user intent.</t>
        </is>
      </c>
      <c r="I527" s="31" t="inlineStr">
        <is>
          <t>AEO</t>
        </is>
      </c>
      <c r="J527" s="6" t="inlineStr">
        <is>
          <t>Question Heading Count</t>
        </is>
      </c>
      <c r="K527" s="6" t="inlineStr">
        <is>
          <t>No</t>
        </is>
      </c>
      <c r="L527" s="6" t="inlineStr">
        <is>
          <t>Copy Writer</t>
        </is>
      </c>
      <c r="M527" s="25" t="inlineStr">
        <is>
          <t>Open</t>
        </is>
      </c>
      <c r="N527" s="6" t="n">
        <v>4</v>
      </c>
      <c r="O527" s="6" t="inlineStr">
        <is>
          <t>https://africanmarketingconfederation.org/amc-conference-programme/::aioseo_no_question-style_headings</t>
        </is>
      </c>
      <c r="P527" s="6" t="inlineStr">
        <is>
          <t>Question headings better align with query phrasing and snippet extraction.</t>
        </is>
      </c>
      <c r="Q527">
        <f>IFERROR(HYPERLINK("#Main!A"&amp;MATCH(A527,Main!A:A,0),"Open"),HYPERLINK("#Main!A1","Open"))</f>
        <v/>
      </c>
      <c r="R527">
        <f>IFERROR(HYPERLINK("#Technical!A"&amp;MATCH(A527,Technical!A:A,0),"Open"),HYPERLINK("#Technical!A1","Open"))</f>
        <v/>
      </c>
    </row>
    <row r="528" ht="30" customHeight="1">
      <c r="A528" s="33" t="inlineStr">
        <is>
          <t>https://africanmarketingconfederation.org/amc-conference-sponsors/</t>
        </is>
      </c>
      <c r="B528" s="24" t="inlineStr">
        <is>
          <t>Readability</t>
        </is>
      </c>
      <c r="C528" s="29" t="inlineStr">
        <is>
          <t>Info</t>
        </is>
      </c>
      <c r="D528" s="24" t="inlineStr">
        <is>
          <t>No question-style headings</t>
        </is>
      </c>
      <c r="E528" s="24" t="n">
        <v>37</v>
      </c>
      <c r="F528" s="24" t="n">
        <v>0</v>
      </c>
      <c r="G528" s="24" t="inlineStr">
        <is>
          <t>&gt;=1 where intent is informational</t>
        </is>
      </c>
      <c r="H528" s="24" t="inlineStr">
        <is>
          <t>Add at least one natural question heading (H2/H3) matching user intent.</t>
        </is>
      </c>
      <c r="I528" s="28" t="inlineStr">
        <is>
          <t>AEO</t>
        </is>
      </c>
      <c r="J528" s="24" t="inlineStr">
        <is>
          <t>Question Heading Count</t>
        </is>
      </c>
      <c r="K528" s="24" t="inlineStr">
        <is>
          <t>No</t>
        </is>
      </c>
      <c r="L528" s="24" t="inlineStr">
        <is>
          <t>Copy Writer</t>
        </is>
      </c>
      <c r="M528" s="25" t="inlineStr">
        <is>
          <t>Open</t>
        </is>
      </c>
      <c r="N528" s="24" t="n">
        <v>4</v>
      </c>
      <c r="O528" s="24" t="inlineStr">
        <is>
          <t>https://africanmarketingconfederation.org/amc-conference-sponsors/::aioseo_no_question-style_headings</t>
        </is>
      </c>
      <c r="P528" s="24" t="inlineStr">
        <is>
          <t>Question headings better align with query phrasing and snippet extraction.</t>
        </is>
      </c>
      <c r="Q528">
        <f>IFERROR(HYPERLINK("#Main!A"&amp;MATCH(A528,Main!A:A,0),"Open"),HYPERLINK("#Main!A1","Open"))</f>
        <v/>
      </c>
      <c r="R528">
        <f>IFERROR(HYPERLINK("#Technical!A"&amp;MATCH(A528,Technical!A:A,0),"Open"),HYPERLINK("#Technical!A1","Open"))</f>
        <v/>
      </c>
    </row>
    <row r="529" ht="30" customHeight="1">
      <c r="A529" s="33" t="inlineStr">
        <is>
          <t>https://africanmarketingconfederation.org/amc-conference-thank-you/</t>
        </is>
      </c>
      <c r="B529" s="6" t="inlineStr">
        <is>
          <t>Readability</t>
        </is>
      </c>
      <c r="C529" s="29" t="inlineStr">
        <is>
          <t>Info</t>
        </is>
      </c>
      <c r="D529" s="6" t="inlineStr">
        <is>
          <t>No question-style headings</t>
        </is>
      </c>
      <c r="E529" s="6" t="n">
        <v>37</v>
      </c>
      <c r="F529" s="6" t="n">
        <v>0</v>
      </c>
      <c r="G529" s="6" t="inlineStr">
        <is>
          <t>&gt;=1 where intent is informational</t>
        </is>
      </c>
      <c r="H529" s="6" t="inlineStr">
        <is>
          <t>Add at least one natural question heading (H2/H3) matching user intent.</t>
        </is>
      </c>
      <c r="I529" s="31" t="inlineStr">
        <is>
          <t>AEO</t>
        </is>
      </c>
      <c r="J529" s="6" t="inlineStr">
        <is>
          <t>Question Heading Count</t>
        </is>
      </c>
      <c r="K529" s="6" t="inlineStr">
        <is>
          <t>No</t>
        </is>
      </c>
      <c r="L529" s="6" t="inlineStr">
        <is>
          <t>Copy Writer</t>
        </is>
      </c>
      <c r="M529" s="25" t="inlineStr">
        <is>
          <t>Open</t>
        </is>
      </c>
      <c r="N529" s="6" t="n">
        <v>4</v>
      </c>
      <c r="O529" s="6" t="inlineStr">
        <is>
          <t>https://africanmarketingconfederation.org/amc-conference-thank-you/::aioseo_no_question-style_headings</t>
        </is>
      </c>
      <c r="P529" s="6" t="inlineStr">
        <is>
          <t>Question headings better align with query phrasing and snippet extraction.</t>
        </is>
      </c>
      <c r="Q529">
        <f>IFERROR(HYPERLINK("#Main!A"&amp;MATCH(A529,Main!A:A,0),"Open"),HYPERLINK("#Main!A1","Open"))</f>
        <v/>
      </c>
      <c r="R529">
        <f>IFERROR(HYPERLINK("#Technical!A"&amp;MATCH(A529,Technical!A:A,0),"Open"),HYPERLINK("#Technical!A1","Open"))</f>
        <v/>
      </c>
    </row>
    <row r="530" ht="30" customHeight="1">
      <c r="A530" s="33" t="inlineStr">
        <is>
          <t>https://africanmarketingconfederation.org/amc-forum-mombasa/</t>
        </is>
      </c>
      <c r="B530" s="24" t="inlineStr">
        <is>
          <t>Readability</t>
        </is>
      </c>
      <c r="C530" s="29" t="inlineStr">
        <is>
          <t>Info</t>
        </is>
      </c>
      <c r="D530" s="24" t="inlineStr">
        <is>
          <t>No question-style headings</t>
        </is>
      </c>
      <c r="E530" s="24" t="n">
        <v>37</v>
      </c>
      <c r="F530" s="24" t="n">
        <v>0</v>
      </c>
      <c r="G530" s="24" t="inlineStr">
        <is>
          <t>&gt;=1 where intent is informational</t>
        </is>
      </c>
      <c r="H530" s="24" t="inlineStr">
        <is>
          <t>Add at least one natural question heading (H2/H3) matching user intent.</t>
        </is>
      </c>
      <c r="I530" s="28" t="inlineStr">
        <is>
          <t>AEO</t>
        </is>
      </c>
      <c r="J530" s="24" t="inlineStr">
        <is>
          <t>Question Heading Count</t>
        </is>
      </c>
      <c r="K530" s="24" t="inlineStr">
        <is>
          <t>No</t>
        </is>
      </c>
      <c r="L530" s="24" t="inlineStr">
        <is>
          <t>Copy Writer</t>
        </is>
      </c>
      <c r="M530" s="25" t="inlineStr">
        <is>
          <t>Open</t>
        </is>
      </c>
      <c r="N530" s="24" t="n">
        <v>4</v>
      </c>
      <c r="O530" s="24" t="inlineStr">
        <is>
          <t>https://africanmarketingconfederation.org/amc-forum-mombasa/::aioseo_no_question-style_headings</t>
        </is>
      </c>
      <c r="P530" s="24" t="inlineStr">
        <is>
          <t>Question headings better align with query phrasing and snippet extraction.</t>
        </is>
      </c>
      <c r="Q530">
        <f>IFERROR(HYPERLINK("#Main!A"&amp;MATCH(A530,Main!A:A,0),"Open"),HYPERLINK("#Main!A1","Open"))</f>
        <v/>
      </c>
      <c r="R530">
        <f>IFERROR(HYPERLINK("#Technical!A"&amp;MATCH(A530,Technical!A:A,0),"Open"),HYPERLINK("#Technical!A1","Open"))</f>
        <v/>
      </c>
    </row>
    <row r="531" ht="30" customHeight="1">
      <c r="A531" s="33" t="inlineStr">
        <is>
          <t>https://africanmarketingconfederation.org/amc-forum-payments/</t>
        </is>
      </c>
      <c r="B531" s="6" t="inlineStr">
        <is>
          <t>Readability</t>
        </is>
      </c>
      <c r="C531" s="29" t="inlineStr">
        <is>
          <t>Info</t>
        </is>
      </c>
      <c r="D531" s="6" t="inlineStr">
        <is>
          <t>No question-style headings</t>
        </is>
      </c>
      <c r="E531" s="6" t="n">
        <v>37</v>
      </c>
      <c r="F531" s="6" t="n">
        <v>0</v>
      </c>
      <c r="G531" s="6" t="inlineStr">
        <is>
          <t>&gt;=1 where intent is informational</t>
        </is>
      </c>
      <c r="H531" s="6" t="inlineStr">
        <is>
          <t>Add at least one natural question heading (H2/H3) matching user intent.</t>
        </is>
      </c>
      <c r="I531" s="31" t="inlineStr">
        <is>
          <t>AEO</t>
        </is>
      </c>
      <c r="J531" s="6" t="inlineStr">
        <is>
          <t>Question Heading Count</t>
        </is>
      </c>
      <c r="K531" s="6" t="inlineStr">
        <is>
          <t>No</t>
        </is>
      </c>
      <c r="L531" s="6" t="inlineStr">
        <is>
          <t>Copy Writer</t>
        </is>
      </c>
      <c r="M531" s="25" t="inlineStr">
        <is>
          <t>Open</t>
        </is>
      </c>
      <c r="N531" s="6" t="n">
        <v>4</v>
      </c>
      <c r="O531" s="6" t="inlineStr">
        <is>
          <t>https://africanmarketingconfederation.org/amc-forum-payments/::aioseo_no_question-style_headings</t>
        </is>
      </c>
      <c r="P531" s="6" t="inlineStr">
        <is>
          <t>Question headings better align with query phrasing and snippet extraction.</t>
        </is>
      </c>
      <c r="Q531">
        <f>IFERROR(HYPERLINK("#Main!A"&amp;MATCH(A531,Main!A:A,0),"Open"),HYPERLINK("#Main!A1","Open"))</f>
        <v/>
      </c>
      <c r="R531">
        <f>IFERROR(HYPERLINK("#Technical!A"&amp;MATCH(A531,Technical!A:A,0),"Open"),HYPERLINK("#Technical!A1","Open"))</f>
        <v/>
      </c>
    </row>
    <row r="532" ht="30" customHeight="1">
      <c r="A532" s="33" t="inlineStr">
        <is>
          <t>https://africanmarketingconfederation.org/amc-launch-event-zambia-thank-you-2026/</t>
        </is>
      </c>
      <c r="B532" s="24" t="inlineStr">
        <is>
          <t>Readability</t>
        </is>
      </c>
      <c r="C532" s="29" t="inlineStr">
        <is>
          <t>Info</t>
        </is>
      </c>
      <c r="D532" s="24" t="inlineStr">
        <is>
          <t>Multiple H1 headings</t>
        </is>
      </c>
      <c r="E532" s="24" t="n">
        <v>37</v>
      </c>
      <c r="F532" s="24" t="n">
        <v>2</v>
      </c>
      <c r="G532" s="24" t="inlineStr">
        <is>
          <t>Exactly 1 H1</t>
        </is>
      </c>
      <c r="H532" s="24" t="inlineStr">
        <is>
          <t>Keep one primary H1, convert remaining top-level headings to H2/H3 where appropriate.</t>
        </is>
      </c>
      <c r="I532" s="28" t="inlineStr">
        <is>
          <t>Content</t>
        </is>
      </c>
      <c r="J532" s="24" t="inlineStr">
        <is>
          <t>Multiple H1 Flag</t>
        </is>
      </c>
      <c r="K532" s="24" t="inlineStr">
        <is>
          <t>No</t>
        </is>
      </c>
      <c r="L532" s="24" t="inlineStr">
        <is>
          <t>Copy Writer</t>
        </is>
      </c>
      <c r="M532" s="25" t="inlineStr">
        <is>
          <t>Open</t>
        </is>
      </c>
      <c r="N532" s="24" t="n">
        <v>4</v>
      </c>
      <c r="O532" s="24" t="inlineStr">
        <is>
          <t>https://africanmarketingconfederation.org/amc-launch-event-zambia-thank-you-2026/::aioseo_multiple_h1_headings</t>
        </is>
      </c>
      <c r="P532" s="24" t="inlineStr">
        <is>
          <t>Multiple H1s can reduce heading hierarchy clarity.</t>
        </is>
      </c>
      <c r="Q532">
        <f>IFERROR(HYPERLINK("#Main!A"&amp;MATCH(A532,Main!A:A,0),"Open"),HYPERLINK("#Main!A1","Open"))</f>
        <v/>
      </c>
      <c r="R532">
        <f>IFERROR(HYPERLINK("#Technical!A"&amp;MATCH(A532,Technical!A:A,0),"Open"),HYPERLINK("#Technical!A1","Open"))</f>
        <v/>
      </c>
    </row>
    <row r="533" ht="30" customHeight="1">
      <c r="A533" s="33" t="inlineStr">
        <is>
          <t>https://africanmarketingconfederation.org/amc-launch-event-zambia-thank-you-2026/</t>
        </is>
      </c>
      <c r="B533" s="6" t="inlineStr">
        <is>
          <t>Readability</t>
        </is>
      </c>
      <c r="C533" s="29" t="inlineStr">
        <is>
          <t>Info</t>
        </is>
      </c>
      <c r="D533" s="6" t="inlineStr">
        <is>
          <t>No question-style headings</t>
        </is>
      </c>
      <c r="E533" s="6" t="n">
        <v>37</v>
      </c>
      <c r="F533" s="6" t="n">
        <v>0</v>
      </c>
      <c r="G533" s="6" t="inlineStr">
        <is>
          <t>&gt;=1 where intent is informational</t>
        </is>
      </c>
      <c r="H533" s="6" t="inlineStr">
        <is>
          <t>Add at least one natural question heading (H2/H3) matching user intent.</t>
        </is>
      </c>
      <c r="I533" s="31" t="inlineStr">
        <is>
          <t>AEO</t>
        </is>
      </c>
      <c r="J533" s="6" t="inlineStr">
        <is>
          <t>Question Heading Count</t>
        </is>
      </c>
      <c r="K533" s="6" t="inlineStr">
        <is>
          <t>No</t>
        </is>
      </c>
      <c r="L533" s="6" t="inlineStr">
        <is>
          <t>Copy Writer</t>
        </is>
      </c>
      <c r="M533" s="25" t="inlineStr">
        <is>
          <t>Open</t>
        </is>
      </c>
      <c r="N533" s="6" t="n">
        <v>4</v>
      </c>
      <c r="O533" s="6" t="inlineStr">
        <is>
          <t>https://africanmarketingconfederation.org/amc-launch-event-zambia-thank-you-2026/::aioseo_no_question-style_headings</t>
        </is>
      </c>
      <c r="P533" s="6" t="inlineStr">
        <is>
          <t>Question headings better align with query phrasing and snippet extraction.</t>
        </is>
      </c>
      <c r="Q533">
        <f>IFERROR(HYPERLINK("#Main!A"&amp;MATCH(A533,Main!A:A,0),"Open"),HYPERLINK("#Main!A1","Open"))</f>
        <v/>
      </c>
      <c r="R533">
        <f>IFERROR(HYPERLINK("#Technical!A"&amp;MATCH(A533,Technical!A:A,0),"Open"),HYPERLINK("#Technical!A1","Open"))</f>
        <v/>
      </c>
    </row>
    <row r="534" ht="30" customHeight="1">
      <c r="A534" s="33" t="inlineStr">
        <is>
          <t>https://africanmarketingconfederation.org/amc-marketing-conference-2024/</t>
        </is>
      </c>
      <c r="B534" s="24" t="inlineStr">
        <is>
          <t>Readability</t>
        </is>
      </c>
      <c r="C534" s="29" t="inlineStr">
        <is>
          <t>Info</t>
        </is>
      </c>
      <c r="D534" s="24" t="inlineStr">
        <is>
          <t>No question-style headings</t>
        </is>
      </c>
      <c r="E534" s="24" t="n">
        <v>37</v>
      </c>
      <c r="F534" s="24" t="n">
        <v>0</v>
      </c>
      <c r="G534" s="24" t="inlineStr">
        <is>
          <t>&gt;=1 where intent is informational</t>
        </is>
      </c>
      <c r="H534" s="24" t="inlineStr">
        <is>
          <t>Add at least one natural question heading (H2/H3) matching user intent.</t>
        </is>
      </c>
      <c r="I534" s="28" t="inlineStr">
        <is>
          <t>AEO</t>
        </is>
      </c>
      <c r="J534" s="24" t="inlineStr">
        <is>
          <t>Question Heading Count</t>
        </is>
      </c>
      <c r="K534" s="24" t="inlineStr">
        <is>
          <t>No</t>
        </is>
      </c>
      <c r="L534" s="24" t="inlineStr">
        <is>
          <t>Copy Writer</t>
        </is>
      </c>
      <c r="M534" s="25" t="inlineStr">
        <is>
          <t>Open</t>
        </is>
      </c>
      <c r="N534" s="24" t="n">
        <v>4</v>
      </c>
      <c r="O534" s="24" t="inlineStr">
        <is>
          <t>https://africanmarketingconfederation.org/amc-marketing-conference-2024/::aioseo_no_question-style_headings</t>
        </is>
      </c>
      <c r="P534" s="24" t="inlineStr">
        <is>
          <t>Question headings better align with query phrasing and snippet extraction.</t>
        </is>
      </c>
      <c r="Q534">
        <f>IFERROR(HYPERLINK("#Main!A"&amp;MATCH(A534,Main!A:A,0),"Open"),HYPERLINK("#Main!A1","Open"))</f>
        <v/>
      </c>
      <c r="R534">
        <f>IFERROR(HYPERLINK("#Technical!A"&amp;MATCH(A534,Technical!A:A,0),"Open"),HYPERLINK("#Technical!A1","Open"))</f>
        <v/>
      </c>
    </row>
    <row r="535" ht="45" customHeight="1">
      <c r="A535" s="33" t="inlineStr">
        <is>
          <t>https://africanmarketingconfederation.org/amc-marketing-conference-2024/amc-conference-2025-ghana-sponsors/</t>
        </is>
      </c>
      <c r="B535" s="6" t="inlineStr">
        <is>
          <t>Readability</t>
        </is>
      </c>
      <c r="C535" s="29" t="inlineStr">
        <is>
          <t>Info</t>
        </is>
      </c>
      <c r="D535" s="6" t="inlineStr">
        <is>
          <t>No question-style headings</t>
        </is>
      </c>
      <c r="E535" s="6" t="n">
        <v>37</v>
      </c>
      <c r="F535" s="6" t="n">
        <v>0</v>
      </c>
      <c r="G535" s="6" t="inlineStr">
        <is>
          <t>&gt;=1 where intent is informational</t>
        </is>
      </c>
      <c r="H535" s="6" t="inlineStr">
        <is>
          <t>Add at least one natural question heading (H2/H3) matching user intent.</t>
        </is>
      </c>
      <c r="I535" s="31" t="inlineStr">
        <is>
          <t>AEO</t>
        </is>
      </c>
      <c r="J535" s="6" t="inlineStr">
        <is>
          <t>Question Heading Count</t>
        </is>
      </c>
      <c r="K535" s="6" t="inlineStr">
        <is>
          <t>No</t>
        </is>
      </c>
      <c r="L535" s="6" t="inlineStr">
        <is>
          <t>Copy Writer</t>
        </is>
      </c>
      <c r="M535" s="25" t="inlineStr">
        <is>
          <t>Open</t>
        </is>
      </c>
      <c r="N535" s="6" t="n">
        <v>4</v>
      </c>
      <c r="O535" s="6" t="inlineStr">
        <is>
          <t>https://africanmarketingconfederation.org/amc-marketing-conference-2024/amc-conference-2025-ghana-sponsors/::aioseo_no_question-style_headings</t>
        </is>
      </c>
      <c r="P535" s="6" t="inlineStr">
        <is>
          <t>Question headings better align with query phrasing and snippet extraction.</t>
        </is>
      </c>
      <c r="Q535">
        <f>IFERROR(HYPERLINK("#Main!A"&amp;MATCH(A535,Main!A:A,0),"Open"),HYPERLINK("#Main!A1","Open"))</f>
        <v/>
      </c>
      <c r="R535">
        <f>IFERROR(HYPERLINK("#Technical!A"&amp;MATCH(A535,Technical!A:A,0),"Open"),HYPERLINK("#Technical!A1","Open"))</f>
        <v/>
      </c>
    </row>
    <row r="536" ht="30" customHeight="1">
      <c r="A536" s="33" t="inlineStr">
        <is>
          <t>https://africanmarketingconfederation.org/amc-marketing-conference-2024/amc-launch-event-2025/</t>
        </is>
      </c>
      <c r="B536" s="24" t="inlineStr">
        <is>
          <t>Readability</t>
        </is>
      </c>
      <c r="C536" s="29" t="inlineStr">
        <is>
          <t>Info</t>
        </is>
      </c>
      <c r="D536" s="24" t="inlineStr">
        <is>
          <t>Low readability score</t>
        </is>
      </c>
      <c r="E536" s="24" t="n">
        <v>37</v>
      </c>
      <c r="F536" s="24" t="n">
        <v>46.97</v>
      </c>
      <c r="G536" s="24" t="inlineStr">
        <is>
          <t>&gt;=50</t>
        </is>
      </c>
      <c r="H536" s="24" t="inlineStr">
        <is>
          <t>Use shorter sentences/paragraphs, clearer transitions, and simpler phrasing in page content.</t>
        </is>
      </c>
      <c r="I536" s="28" t="inlineStr">
        <is>
          <t>Content</t>
        </is>
      </c>
      <c r="J536" s="24" t="inlineStr">
        <is>
          <t>Readability (Rough Flesch)</t>
        </is>
      </c>
      <c r="K536" s="24" t="inlineStr">
        <is>
          <t>No</t>
        </is>
      </c>
      <c r="L536" s="24" t="inlineStr">
        <is>
          <t>Copy Writer</t>
        </is>
      </c>
      <c r="M536" s="25" t="inlineStr">
        <is>
          <t>Open</t>
        </is>
      </c>
      <c r="N536" s="24" t="n">
        <v>4</v>
      </c>
      <c r="O536" s="24" t="inlineStr">
        <is>
          <t>https://africanmarketingconfederation.org/amc-marketing-conference-2024/amc-launch-event-2025/::aioseo_low_readability_score</t>
        </is>
      </c>
      <c r="P536" s="24" t="inlineStr">
        <is>
          <t>Hard-to-read content lowers engagement and comprehension.</t>
        </is>
      </c>
      <c r="Q536">
        <f>IFERROR(HYPERLINK("#Main!A"&amp;MATCH(A536,Main!A:A,0),"Open"),HYPERLINK("#Main!A1","Open"))</f>
        <v/>
      </c>
      <c r="R536">
        <f>IFERROR(HYPERLINK("#Technical!A"&amp;MATCH(A536,Technical!A:A,0),"Open"),HYPERLINK("#Technical!A1","Open"))</f>
        <v/>
      </c>
    </row>
    <row r="537" ht="30" customHeight="1">
      <c r="A537" s="33" t="inlineStr">
        <is>
          <t>https://africanmarketingconfederation.org/amc-marketing-conference-2024/amc-launch-event-2025/</t>
        </is>
      </c>
      <c r="B537" s="6" t="inlineStr">
        <is>
          <t>Readability</t>
        </is>
      </c>
      <c r="C537" s="29" t="inlineStr">
        <is>
          <t>Info</t>
        </is>
      </c>
      <c r="D537" s="6" t="inlineStr">
        <is>
          <t>No question-style headings</t>
        </is>
      </c>
      <c r="E537" s="6" t="n">
        <v>37</v>
      </c>
      <c r="F537" s="6" t="n">
        <v>0</v>
      </c>
      <c r="G537" s="6" t="inlineStr">
        <is>
          <t>&gt;=1 where intent is informational</t>
        </is>
      </c>
      <c r="H537" s="6" t="inlineStr">
        <is>
          <t>Add at least one natural question heading (H2/H3) matching user intent.</t>
        </is>
      </c>
      <c r="I537" s="31" t="inlineStr">
        <is>
          <t>AEO</t>
        </is>
      </c>
      <c r="J537" s="6" t="inlineStr">
        <is>
          <t>Question Heading Count</t>
        </is>
      </c>
      <c r="K537" s="6" t="inlineStr">
        <is>
          <t>No</t>
        </is>
      </c>
      <c r="L537" s="6" t="inlineStr">
        <is>
          <t>Copy Writer</t>
        </is>
      </c>
      <c r="M537" s="25" t="inlineStr">
        <is>
          <t>Open</t>
        </is>
      </c>
      <c r="N537" s="6" t="n">
        <v>4</v>
      </c>
      <c r="O537" s="6" t="inlineStr">
        <is>
          <t>https://africanmarketingconfederation.org/amc-marketing-conference-2024/amc-launch-event-2025/::aioseo_no_question-style_headings</t>
        </is>
      </c>
      <c r="P537" s="6" t="inlineStr">
        <is>
          <t>Question headings better align with query phrasing and snippet extraction.</t>
        </is>
      </c>
      <c r="Q537">
        <f>IFERROR(HYPERLINK("#Main!A"&amp;MATCH(A537,Main!A:A,0),"Open"),HYPERLINK("#Main!A1","Open"))</f>
        <v/>
      </c>
      <c r="R537">
        <f>IFERROR(HYPERLINK("#Technical!A"&amp;MATCH(A537,Technical!A:A,0),"Open"),HYPERLINK("#Technical!A1","Open"))</f>
        <v/>
      </c>
    </row>
    <row r="538" ht="30" customHeight="1">
      <c r="A538" s="33" t="inlineStr">
        <is>
          <t>https://africanmarketingconfederation.org/amc-marketing-conference-2024/amc-preregister-2025/</t>
        </is>
      </c>
      <c r="B538" s="24" t="inlineStr">
        <is>
          <t>Readability</t>
        </is>
      </c>
      <c r="C538" s="29" t="inlineStr">
        <is>
          <t>Info</t>
        </is>
      </c>
      <c r="D538" s="24" t="inlineStr">
        <is>
          <t>No question-style headings</t>
        </is>
      </c>
      <c r="E538" s="24" t="n">
        <v>37</v>
      </c>
      <c r="F538" s="24" t="n">
        <v>0</v>
      </c>
      <c r="G538" s="24" t="inlineStr">
        <is>
          <t>&gt;=1 where intent is informational</t>
        </is>
      </c>
      <c r="H538" s="24" t="inlineStr">
        <is>
          <t>Add at least one natural question heading (H2/H3) matching user intent.</t>
        </is>
      </c>
      <c r="I538" s="28" t="inlineStr">
        <is>
          <t>AEO</t>
        </is>
      </c>
      <c r="J538" s="24" t="inlineStr">
        <is>
          <t>Question Heading Count</t>
        </is>
      </c>
      <c r="K538" s="24" t="inlineStr">
        <is>
          <t>No</t>
        </is>
      </c>
      <c r="L538" s="24" t="inlineStr">
        <is>
          <t>Copy Writer</t>
        </is>
      </c>
      <c r="M538" s="25" t="inlineStr">
        <is>
          <t>Open</t>
        </is>
      </c>
      <c r="N538" s="24" t="n">
        <v>4</v>
      </c>
      <c r="O538" s="24" t="inlineStr">
        <is>
          <t>https://africanmarketingconfederation.org/amc-marketing-conference-2024/amc-preregister-2025/::aioseo_no_question-style_headings</t>
        </is>
      </c>
      <c r="P538" s="24" t="inlineStr">
        <is>
          <t>Question headings better align with query phrasing and snippet extraction.</t>
        </is>
      </c>
      <c r="Q538">
        <f>IFERROR(HYPERLINK("#Main!A"&amp;MATCH(A538,Main!A:A,0),"Open"),HYPERLINK("#Main!A1","Open"))</f>
        <v/>
      </c>
      <c r="R538">
        <f>IFERROR(HYPERLINK("#Technical!A"&amp;MATCH(A538,Technical!A:A,0),"Open"),HYPERLINK("#Technical!A1","Open"))</f>
        <v/>
      </c>
    </row>
    <row r="539" ht="30" customHeight="1">
      <c r="A539" s="33" t="inlineStr">
        <is>
          <t>https://africanmarketingconfederation.org/amc-marketing-conference-2024/amc-programme-2025/</t>
        </is>
      </c>
      <c r="B539" s="6" t="inlineStr">
        <is>
          <t>Readability</t>
        </is>
      </c>
      <c r="C539" s="29" t="inlineStr">
        <is>
          <t>Info</t>
        </is>
      </c>
      <c r="D539" s="6" t="inlineStr">
        <is>
          <t>Multiple H1 headings</t>
        </is>
      </c>
      <c r="E539" s="6" t="n">
        <v>37</v>
      </c>
      <c r="F539" s="6" t="n">
        <v>2</v>
      </c>
      <c r="G539" s="6" t="inlineStr">
        <is>
          <t>Exactly 1 H1</t>
        </is>
      </c>
      <c r="H539" s="6" t="inlineStr">
        <is>
          <t>Keep one primary H1, convert remaining top-level headings to H2/H3 where appropriate.</t>
        </is>
      </c>
      <c r="I539" s="31" t="inlineStr">
        <is>
          <t>Content</t>
        </is>
      </c>
      <c r="J539" s="6" t="inlineStr">
        <is>
          <t>Multiple H1 Flag</t>
        </is>
      </c>
      <c r="K539" s="6" t="inlineStr">
        <is>
          <t>No</t>
        </is>
      </c>
      <c r="L539" s="6" t="inlineStr">
        <is>
          <t>Copy Writer</t>
        </is>
      </c>
      <c r="M539" s="25" t="inlineStr">
        <is>
          <t>Open</t>
        </is>
      </c>
      <c r="N539" s="6" t="n">
        <v>4</v>
      </c>
      <c r="O539" s="6" t="inlineStr">
        <is>
          <t>https://africanmarketingconfederation.org/amc-marketing-conference-2024/amc-programme-2025/::aioseo_multiple_h1_headings</t>
        </is>
      </c>
      <c r="P539" s="6" t="inlineStr">
        <is>
          <t>Multiple H1s can reduce heading hierarchy clarity.</t>
        </is>
      </c>
      <c r="Q539">
        <f>IFERROR(HYPERLINK("#Main!A"&amp;MATCH(A539,Main!A:A,0),"Open"),HYPERLINK("#Main!A1","Open"))</f>
        <v/>
      </c>
      <c r="R539">
        <f>IFERROR(HYPERLINK("#Technical!A"&amp;MATCH(A539,Technical!A:A,0),"Open"),HYPERLINK("#Technical!A1","Open"))</f>
        <v/>
      </c>
    </row>
    <row r="540" ht="30" customHeight="1">
      <c r="A540" s="33" t="inlineStr">
        <is>
          <t>https://africanmarketingconfederation.org/amc-marketing-conference-2024/amc-programme-2025/</t>
        </is>
      </c>
      <c r="B540" s="24" t="inlineStr">
        <is>
          <t>Readability</t>
        </is>
      </c>
      <c r="C540" s="29" t="inlineStr">
        <is>
          <t>Info</t>
        </is>
      </c>
      <c r="D540" s="24" t="inlineStr">
        <is>
          <t>No question-style headings</t>
        </is>
      </c>
      <c r="E540" s="24" t="n">
        <v>37</v>
      </c>
      <c r="F540" s="24" t="n">
        <v>0</v>
      </c>
      <c r="G540" s="24" t="inlineStr">
        <is>
          <t>&gt;=1 where intent is informational</t>
        </is>
      </c>
      <c r="H540" s="24" t="inlineStr">
        <is>
          <t>Add at least one natural question heading (H2/H3) matching user intent.</t>
        </is>
      </c>
      <c r="I540" s="28" t="inlineStr">
        <is>
          <t>AEO</t>
        </is>
      </c>
      <c r="J540" s="24" t="inlineStr">
        <is>
          <t>Question Heading Count</t>
        </is>
      </c>
      <c r="K540" s="24" t="inlineStr">
        <is>
          <t>No</t>
        </is>
      </c>
      <c r="L540" s="24" t="inlineStr">
        <is>
          <t>Copy Writer</t>
        </is>
      </c>
      <c r="M540" s="25" t="inlineStr">
        <is>
          <t>Open</t>
        </is>
      </c>
      <c r="N540" s="24" t="n">
        <v>4</v>
      </c>
      <c r="O540" s="24" t="inlineStr">
        <is>
          <t>https://africanmarketingconfederation.org/amc-marketing-conference-2024/amc-programme-2025/::aioseo_no_question-style_headings</t>
        </is>
      </c>
      <c r="P540" s="24" t="inlineStr">
        <is>
          <t>Question headings better align with query phrasing and snippet extraction.</t>
        </is>
      </c>
      <c r="Q540">
        <f>IFERROR(HYPERLINK("#Main!A"&amp;MATCH(A540,Main!A:A,0),"Open"),HYPERLINK("#Main!A1","Open"))</f>
        <v/>
      </c>
      <c r="R540">
        <f>IFERROR(HYPERLINK("#Technical!A"&amp;MATCH(A540,Technical!A:A,0),"Open"),HYPERLINK("#Technical!A1","Open"))</f>
        <v/>
      </c>
    </row>
    <row r="541" ht="45" customHeight="1">
      <c r="A541" s="33" t="inlineStr">
        <is>
          <t>https://africanmarketingconfederation.org/amc-marketing-conference-2024/amc-speakers-presentations-2024/</t>
        </is>
      </c>
      <c r="B541" s="6" t="inlineStr">
        <is>
          <t>Readability</t>
        </is>
      </c>
      <c r="C541" s="29" t="inlineStr">
        <is>
          <t>Info</t>
        </is>
      </c>
      <c r="D541" s="6" t="inlineStr">
        <is>
          <t>Multiple H1 headings</t>
        </is>
      </c>
      <c r="E541" s="6" t="n">
        <v>37</v>
      </c>
      <c r="F541" s="6" t="n">
        <v>4</v>
      </c>
      <c r="G541" s="6" t="inlineStr">
        <is>
          <t>Exactly 1 H1</t>
        </is>
      </c>
      <c r="H541" s="6" t="inlineStr">
        <is>
          <t>Keep one primary H1, convert remaining top-level headings to H2/H3 where appropriate.</t>
        </is>
      </c>
      <c r="I541" s="31" t="inlineStr">
        <is>
          <t>Content</t>
        </is>
      </c>
      <c r="J541" s="6" t="inlineStr">
        <is>
          <t>Multiple H1 Flag</t>
        </is>
      </c>
      <c r="K541" s="6" t="inlineStr">
        <is>
          <t>No</t>
        </is>
      </c>
      <c r="L541" s="6" t="inlineStr">
        <is>
          <t>Copy Writer</t>
        </is>
      </c>
      <c r="M541" s="25" t="inlineStr">
        <is>
          <t>Open</t>
        </is>
      </c>
      <c r="N541" s="6" t="n">
        <v>4</v>
      </c>
      <c r="O541" s="6" t="inlineStr">
        <is>
          <t>https://africanmarketingconfederation.org/amc-marketing-conference-2024/amc-speakers-presentations-2024/::aioseo_multiple_h1_headings</t>
        </is>
      </c>
      <c r="P541" s="6" t="inlineStr">
        <is>
          <t>Multiple H1s can reduce heading hierarchy clarity.</t>
        </is>
      </c>
      <c r="Q541">
        <f>IFERROR(HYPERLINK("#Main!A"&amp;MATCH(A541,Main!A:A,0),"Open"),HYPERLINK("#Main!A1","Open"))</f>
        <v/>
      </c>
      <c r="R541">
        <f>IFERROR(HYPERLINK("#Technical!A"&amp;MATCH(A541,Technical!A:A,0),"Open"),HYPERLINK("#Technical!A1","Open"))</f>
        <v/>
      </c>
    </row>
    <row r="542" ht="45" customHeight="1">
      <c r="A542" s="33" t="inlineStr">
        <is>
          <t>https://africanmarketingconfederation.org/amc-marketing-conference-2024/amc-speakers-presentations-2024/</t>
        </is>
      </c>
      <c r="B542" s="24" t="inlineStr">
        <is>
          <t>Readability</t>
        </is>
      </c>
      <c r="C542" s="29" t="inlineStr">
        <is>
          <t>Info</t>
        </is>
      </c>
      <c r="D542" s="24" t="inlineStr">
        <is>
          <t>No question-style headings</t>
        </is>
      </c>
      <c r="E542" s="24" t="n">
        <v>37</v>
      </c>
      <c r="F542" s="24" t="n">
        <v>0</v>
      </c>
      <c r="G542" s="24" t="inlineStr">
        <is>
          <t>&gt;=1 where intent is informational</t>
        </is>
      </c>
      <c r="H542" s="24" t="inlineStr">
        <is>
          <t>Add at least one natural question heading (H2/H3) matching user intent.</t>
        </is>
      </c>
      <c r="I542" s="28" t="inlineStr">
        <is>
          <t>AEO</t>
        </is>
      </c>
      <c r="J542" s="24" t="inlineStr">
        <is>
          <t>Question Heading Count</t>
        </is>
      </c>
      <c r="K542" s="24" t="inlineStr">
        <is>
          <t>No</t>
        </is>
      </c>
      <c r="L542" s="24" t="inlineStr">
        <is>
          <t>Copy Writer</t>
        </is>
      </c>
      <c r="M542" s="25" t="inlineStr">
        <is>
          <t>Open</t>
        </is>
      </c>
      <c r="N542" s="24" t="n">
        <v>4</v>
      </c>
      <c r="O542" s="24" t="inlineStr">
        <is>
          <t>https://africanmarketingconfederation.org/amc-marketing-conference-2024/amc-speakers-presentations-2024/::aioseo_no_question-style_headings</t>
        </is>
      </c>
      <c r="P542" s="24" t="inlineStr">
        <is>
          <t>Question headings better align with query phrasing and snippet extraction.</t>
        </is>
      </c>
      <c r="Q542">
        <f>IFERROR(HYPERLINK("#Main!A"&amp;MATCH(A542,Main!A:A,0),"Open"),HYPERLINK("#Main!A1","Open"))</f>
        <v/>
      </c>
      <c r="R542">
        <f>IFERROR(HYPERLINK("#Technical!A"&amp;MATCH(A542,Technical!A:A,0),"Open"),HYPERLINK("#Technical!A1","Open"))</f>
        <v/>
      </c>
    </row>
    <row r="543" ht="30" customHeight="1">
      <c r="A543" s="33" t="inlineStr">
        <is>
          <t>https://africanmarketingconfederation.org/amc-marketing-conference-2024/awards-2025/</t>
        </is>
      </c>
      <c r="B543" s="6" t="inlineStr">
        <is>
          <t>Readability</t>
        </is>
      </c>
      <c r="C543" s="29" t="inlineStr">
        <is>
          <t>Info</t>
        </is>
      </c>
      <c r="D543" s="6" t="inlineStr">
        <is>
          <t>No question-style headings</t>
        </is>
      </c>
      <c r="E543" s="6" t="n">
        <v>37</v>
      </c>
      <c r="F543" s="6" t="n">
        <v>0</v>
      </c>
      <c r="G543" s="6" t="inlineStr">
        <is>
          <t>&gt;=1 where intent is informational</t>
        </is>
      </c>
      <c r="H543" s="6" t="inlineStr">
        <is>
          <t>Add at least one natural question heading (H2/H3) matching user intent.</t>
        </is>
      </c>
      <c r="I543" s="31" t="inlineStr">
        <is>
          <t>AEO</t>
        </is>
      </c>
      <c r="J543" s="6" t="inlineStr">
        <is>
          <t>Question Heading Count</t>
        </is>
      </c>
      <c r="K543" s="6" t="inlineStr">
        <is>
          <t>No</t>
        </is>
      </c>
      <c r="L543" s="6" t="inlineStr">
        <is>
          <t>Copy Writer</t>
        </is>
      </c>
      <c r="M543" s="25" t="inlineStr">
        <is>
          <t>Open</t>
        </is>
      </c>
      <c r="N543" s="6" t="n">
        <v>4</v>
      </c>
      <c r="O543" s="6" t="inlineStr">
        <is>
          <t>https://africanmarketingconfederation.org/amc-marketing-conference-2024/awards-2025/::aioseo_no_question-style_headings</t>
        </is>
      </c>
      <c r="P543" s="6" t="inlineStr">
        <is>
          <t>Question headings better align with query phrasing and snippet extraction.</t>
        </is>
      </c>
      <c r="Q543">
        <f>IFERROR(HYPERLINK("#Main!A"&amp;MATCH(A543,Main!A:A,0),"Open"),HYPERLINK("#Main!A1","Open"))</f>
        <v/>
      </c>
      <c r="R543">
        <f>IFERROR(HYPERLINK("#Technical!A"&amp;MATCH(A543,Technical!A:A,0),"Open"),HYPERLINK("#Technical!A1","Open"))</f>
        <v/>
      </c>
    </row>
    <row r="544" ht="30" customHeight="1">
      <c r="A544" s="33" t="inlineStr">
        <is>
          <t>https://africanmarketingconfederation.org/amc-marketing-conference-2024/programme-2024/</t>
        </is>
      </c>
      <c r="B544" s="24" t="inlineStr">
        <is>
          <t>Readability</t>
        </is>
      </c>
      <c r="C544" s="29" t="inlineStr">
        <is>
          <t>Info</t>
        </is>
      </c>
      <c r="D544" s="24" t="inlineStr">
        <is>
          <t>No question-style headings</t>
        </is>
      </c>
      <c r="E544" s="24" t="n">
        <v>37</v>
      </c>
      <c r="F544" s="24" t="n">
        <v>0</v>
      </c>
      <c r="G544" s="24" t="inlineStr">
        <is>
          <t>&gt;=1 where intent is informational</t>
        </is>
      </c>
      <c r="H544" s="24" t="inlineStr">
        <is>
          <t>Add at least one natural question heading (H2/H3) matching user intent.</t>
        </is>
      </c>
      <c r="I544" s="28" t="inlineStr">
        <is>
          <t>AEO</t>
        </is>
      </c>
      <c r="J544" s="24" t="inlineStr">
        <is>
          <t>Question Heading Count</t>
        </is>
      </c>
      <c r="K544" s="24" t="inlineStr">
        <is>
          <t>No</t>
        </is>
      </c>
      <c r="L544" s="24" t="inlineStr">
        <is>
          <t>Copy Writer</t>
        </is>
      </c>
      <c r="M544" s="25" t="inlineStr">
        <is>
          <t>Open</t>
        </is>
      </c>
      <c r="N544" s="24" t="n">
        <v>4</v>
      </c>
      <c r="O544" s="24" t="inlineStr">
        <is>
          <t>https://africanmarketingconfederation.org/amc-marketing-conference-2024/programme-2024/::aioseo_no_question-style_headings</t>
        </is>
      </c>
      <c r="P544" s="24" t="inlineStr">
        <is>
          <t>Question headings better align with query phrasing and snippet extraction.</t>
        </is>
      </c>
      <c r="Q544">
        <f>IFERROR(HYPERLINK("#Main!A"&amp;MATCH(A544,Main!A:A,0),"Open"),HYPERLINK("#Main!A1","Open"))</f>
        <v/>
      </c>
      <c r="R544">
        <f>IFERROR(HYPERLINK("#Technical!A"&amp;MATCH(A544,Technical!A:A,0),"Open"),HYPERLINK("#Technical!A1","Open"))</f>
        <v/>
      </c>
    </row>
    <row r="545" ht="30" customHeight="1">
      <c r="A545" s="33" t="inlineStr">
        <is>
          <t>https://africanmarketingconfederation.org/amc-marketing-conference-2024/speakers-2024/</t>
        </is>
      </c>
      <c r="B545" s="6" t="inlineStr">
        <is>
          <t>Readability</t>
        </is>
      </c>
      <c r="C545" s="29" t="inlineStr">
        <is>
          <t>Info</t>
        </is>
      </c>
      <c r="D545" s="6" t="inlineStr">
        <is>
          <t>No question-style headings</t>
        </is>
      </c>
      <c r="E545" s="6" t="n">
        <v>37</v>
      </c>
      <c r="F545" s="6" t="n">
        <v>0</v>
      </c>
      <c r="G545" s="6" t="inlineStr">
        <is>
          <t>&gt;=1 where intent is informational</t>
        </is>
      </c>
      <c r="H545" s="6" t="inlineStr">
        <is>
          <t>Add at least one natural question heading (H2/H3) matching user intent.</t>
        </is>
      </c>
      <c r="I545" s="31" t="inlineStr">
        <is>
          <t>AEO</t>
        </is>
      </c>
      <c r="J545" s="6" t="inlineStr">
        <is>
          <t>Question Heading Count</t>
        </is>
      </c>
      <c r="K545" s="6" t="inlineStr">
        <is>
          <t>No</t>
        </is>
      </c>
      <c r="L545" s="6" t="inlineStr">
        <is>
          <t>Copy Writer</t>
        </is>
      </c>
      <c r="M545" s="25" t="inlineStr">
        <is>
          <t>Open</t>
        </is>
      </c>
      <c r="N545" s="6" t="n">
        <v>4</v>
      </c>
      <c r="O545" s="6" t="inlineStr">
        <is>
          <t>https://africanmarketingconfederation.org/amc-marketing-conference-2024/speakers-2024/::aioseo_no_question-style_headings</t>
        </is>
      </c>
      <c r="P545" s="6" t="inlineStr">
        <is>
          <t>Question headings better align with query phrasing and snippet extraction.</t>
        </is>
      </c>
      <c r="Q545">
        <f>IFERROR(HYPERLINK("#Main!A"&amp;MATCH(A545,Main!A:A,0),"Open"),HYPERLINK("#Main!A1","Open"))</f>
        <v/>
      </c>
      <c r="R545">
        <f>IFERROR(HYPERLINK("#Technical!A"&amp;MATCH(A545,Technical!A:A,0),"Open"),HYPERLINK("#Technical!A1","Open"))</f>
        <v/>
      </c>
    </row>
    <row r="546" ht="30" customHeight="1">
      <c r="A546" s="33" t="inlineStr">
        <is>
          <t>https://africanmarketingconfederation.org/amc-marketing-conference-2024/testimony-thank-you-page/</t>
        </is>
      </c>
      <c r="B546" s="24" t="inlineStr">
        <is>
          <t>Readability</t>
        </is>
      </c>
      <c r="C546" s="29" t="inlineStr">
        <is>
          <t>Info</t>
        </is>
      </c>
      <c r="D546" s="24" t="inlineStr">
        <is>
          <t>Multiple H1 headings</t>
        </is>
      </c>
      <c r="E546" s="24" t="n">
        <v>37</v>
      </c>
      <c r="F546" s="24" t="n">
        <v>4</v>
      </c>
      <c r="G546" s="24" t="inlineStr">
        <is>
          <t>Exactly 1 H1</t>
        </is>
      </c>
      <c r="H546" s="24" t="inlineStr">
        <is>
          <t>Keep one primary H1, convert remaining top-level headings to H2/H3 where appropriate.</t>
        </is>
      </c>
      <c r="I546" s="28" t="inlineStr">
        <is>
          <t>Content</t>
        </is>
      </c>
      <c r="J546" s="24" t="inlineStr">
        <is>
          <t>Multiple H1 Flag</t>
        </is>
      </c>
      <c r="K546" s="24" t="inlineStr">
        <is>
          <t>No</t>
        </is>
      </c>
      <c r="L546" s="24" t="inlineStr">
        <is>
          <t>Copy Writer</t>
        </is>
      </c>
      <c r="M546" s="25" t="inlineStr">
        <is>
          <t>Open</t>
        </is>
      </c>
      <c r="N546" s="24" t="n">
        <v>4</v>
      </c>
      <c r="O546" s="24" t="inlineStr">
        <is>
          <t>https://africanmarketingconfederation.org/amc-marketing-conference-2024/testimony-thank-you-page/::aioseo_multiple_h1_headings</t>
        </is>
      </c>
      <c r="P546" s="24" t="inlineStr">
        <is>
          <t>Multiple H1s can reduce heading hierarchy clarity.</t>
        </is>
      </c>
      <c r="Q546">
        <f>IFERROR(HYPERLINK("#Main!A"&amp;MATCH(A546,Main!A:A,0),"Open"),HYPERLINK("#Main!A1","Open"))</f>
        <v/>
      </c>
      <c r="R546">
        <f>IFERROR(HYPERLINK("#Technical!A"&amp;MATCH(A546,Technical!A:A,0),"Open"),HYPERLINK("#Technical!A1","Open"))</f>
        <v/>
      </c>
    </row>
    <row r="547" ht="30" customHeight="1">
      <c r="A547" s="33" t="inlineStr">
        <is>
          <t>https://africanmarketingconfederation.org/amc-marketing-conference-2024/testimony-thank-you-page/</t>
        </is>
      </c>
      <c r="B547" s="6" t="inlineStr">
        <is>
          <t>Readability</t>
        </is>
      </c>
      <c r="C547" s="29" t="inlineStr">
        <is>
          <t>Info</t>
        </is>
      </c>
      <c r="D547" s="6" t="inlineStr">
        <is>
          <t>No question-style headings</t>
        </is>
      </c>
      <c r="E547" s="6" t="n">
        <v>37</v>
      </c>
      <c r="F547" s="6" t="n">
        <v>0</v>
      </c>
      <c r="G547" s="6" t="inlineStr">
        <is>
          <t>&gt;=1 where intent is informational</t>
        </is>
      </c>
      <c r="H547" s="6" t="inlineStr">
        <is>
          <t>Add at least one natural question heading (H2/H3) matching user intent.</t>
        </is>
      </c>
      <c r="I547" s="31" t="inlineStr">
        <is>
          <t>AEO</t>
        </is>
      </c>
      <c r="J547" s="6" t="inlineStr">
        <is>
          <t>Question Heading Count</t>
        </is>
      </c>
      <c r="K547" s="6" t="inlineStr">
        <is>
          <t>No</t>
        </is>
      </c>
      <c r="L547" s="6" t="inlineStr">
        <is>
          <t>Copy Writer</t>
        </is>
      </c>
      <c r="M547" s="25" t="inlineStr">
        <is>
          <t>Open</t>
        </is>
      </c>
      <c r="N547" s="6" t="n">
        <v>4</v>
      </c>
      <c r="O547" s="6" t="inlineStr">
        <is>
          <t>https://africanmarketingconfederation.org/amc-marketing-conference-2024/testimony-thank-you-page/::aioseo_no_question-style_headings</t>
        </is>
      </c>
      <c r="P547" s="6" t="inlineStr">
        <is>
          <t>Question headings better align with query phrasing and snippet extraction.</t>
        </is>
      </c>
      <c r="Q547">
        <f>IFERROR(HYPERLINK("#Main!A"&amp;MATCH(A547,Main!A:A,0),"Open"),HYPERLINK("#Main!A1","Open"))</f>
        <v/>
      </c>
      <c r="R547">
        <f>IFERROR(HYPERLINK("#Technical!A"&amp;MATCH(A547,Technical!A:A,0),"Open"),HYPERLINK("#Technical!A1","Open"))</f>
        <v/>
      </c>
    </row>
    <row r="548" ht="30" customHeight="1">
      <c r="A548" s="33" t="inlineStr">
        <is>
          <t>https://africanmarketingconfederation.org/amc-masterclass-bookings/</t>
        </is>
      </c>
      <c r="B548" s="24" t="inlineStr">
        <is>
          <t>Readability</t>
        </is>
      </c>
      <c r="C548" s="29" t="inlineStr">
        <is>
          <t>Info</t>
        </is>
      </c>
      <c r="D548" s="24" t="inlineStr">
        <is>
          <t>No question-style headings</t>
        </is>
      </c>
      <c r="E548" s="24" t="n">
        <v>37</v>
      </c>
      <c r="F548" s="24" t="n">
        <v>0</v>
      </c>
      <c r="G548" s="24" t="inlineStr">
        <is>
          <t>&gt;=1 where intent is informational</t>
        </is>
      </c>
      <c r="H548" s="24" t="inlineStr">
        <is>
          <t>Add at least one natural question heading (H2/H3) matching user intent.</t>
        </is>
      </c>
      <c r="I548" s="28" t="inlineStr">
        <is>
          <t>AEO</t>
        </is>
      </c>
      <c r="J548" s="24" t="inlineStr">
        <is>
          <t>Question Heading Count</t>
        </is>
      </c>
      <c r="K548" s="24" t="inlineStr">
        <is>
          <t>No</t>
        </is>
      </c>
      <c r="L548" s="24" t="inlineStr">
        <is>
          <t>Copy Writer</t>
        </is>
      </c>
      <c r="M548" s="25" t="inlineStr">
        <is>
          <t>Open</t>
        </is>
      </c>
      <c r="N548" s="24" t="n">
        <v>4</v>
      </c>
      <c r="O548" s="24" t="inlineStr">
        <is>
          <t>https://africanmarketingconfederation.org/amc-masterclass-bookings/::aioseo_no_question-style_headings</t>
        </is>
      </c>
      <c r="P548" s="24" t="inlineStr">
        <is>
          <t>Question headings better align with query phrasing and snippet extraction.</t>
        </is>
      </c>
      <c r="Q548">
        <f>IFERROR(HYPERLINK("#Main!A"&amp;MATCH(A548,Main!A:A,0),"Open"),HYPERLINK("#Main!A1","Open"))</f>
        <v/>
      </c>
      <c r="R548">
        <f>IFERROR(HYPERLINK("#Technical!A"&amp;MATCH(A548,Technical!A:A,0),"Open"),HYPERLINK("#Technical!A1","Open"))</f>
        <v/>
      </c>
    </row>
    <row r="549" ht="30" customHeight="1">
      <c r="A549" s="33" t="inlineStr">
        <is>
          <t>https://africanmarketingconfederation.org/amc-masterclass-thank-you/</t>
        </is>
      </c>
      <c r="B549" s="6" t="inlineStr">
        <is>
          <t>Readability</t>
        </is>
      </c>
      <c r="C549" s="29" t="inlineStr">
        <is>
          <t>Info</t>
        </is>
      </c>
      <c r="D549" s="6" t="inlineStr">
        <is>
          <t>No question-style headings</t>
        </is>
      </c>
      <c r="E549" s="6" t="n">
        <v>37</v>
      </c>
      <c r="F549" s="6" t="n">
        <v>0</v>
      </c>
      <c r="G549" s="6" t="inlineStr">
        <is>
          <t>&gt;=1 where intent is informational</t>
        </is>
      </c>
      <c r="H549" s="6" t="inlineStr">
        <is>
          <t>Add at least one natural question heading (H2/H3) matching user intent.</t>
        </is>
      </c>
      <c r="I549" s="31" t="inlineStr">
        <is>
          <t>AEO</t>
        </is>
      </c>
      <c r="J549" s="6" t="inlineStr">
        <is>
          <t>Question Heading Count</t>
        </is>
      </c>
      <c r="K549" s="6" t="inlineStr">
        <is>
          <t>No</t>
        </is>
      </c>
      <c r="L549" s="6" t="inlineStr">
        <is>
          <t>Copy Writer</t>
        </is>
      </c>
      <c r="M549" s="25" t="inlineStr">
        <is>
          <t>Open</t>
        </is>
      </c>
      <c r="N549" s="6" t="n">
        <v>4</v>
      </c>
      <c r="O549" s="6" t="inlineStr">
        <is>
          <t>https://africanmarketingconfederation.org/amc-masterclass-thank-you/::aioseo_no_question-style_headings</t>
        </is>
      </c>
      <c r="P549" s="6" t="inlineStr">
        <is>
          <t>Question headings better align with query phrasing and snippet extraction.</t>
        </is>
      </c>
      <c r="Q549">
        <f>IFERROR(HYPERLINK("#Main!A"&amp;MATCH(A549,Main!A:A,0),"Open"),HYPERLINK("#Main!A1","Open"))</f>
        <v/>
      </c>
      <c r="R549">
        <f>IFERROR(HYPERLINK("#Technical!A"&amp;MATCH(A549,Technical!A:A,0),"Open"),HYPERLINK("#Technical!A1","Open"))</f>
        <v/>
      </c>
    </row>
    <row r="550" ht="30" customHeight="1">
      <c r="A550" s="33" t="inlineStr">
        <is>
          <t>https://africanmarketingconfederation.org/amc-masterclass/</t>
        </is>
      </c>
      <c r="B550" s="24" t="inlineStr">
        <is>
          <t>Readability</t>
        </is>
      </c>
      <c r="C550" s="29" t="inlineStr">
        <is>
          <t>Info</t>
        </is>
      </c>
      <c r="D550" s="24" t="inlineStr">
        <is>
          <t>No question-style headings</t>
        </is>
      </c>
      <c r="E550" s="24" t="n">
        <v>37</v>
      </c>
      <c r="F550" s="24" t="n">
        <v>0</v>
      </c>
      <c r="G550" s="24" t="inlineStr">
        <is>
          <t>&gt;=1 where intent is informational</t>
        </is>
      </c>
      <c r="H550" s="24" t="inlineStr">
        <is>
          <t>Add at least one natural question heading (H2/H3) matching user intent.</t>
        </is>
      </c>
      <c r="I550" s="28" t="inlineStr">
        <is>
          <t>AEO</t>
        </is>
      </c>
      <c r="J550" s="24" t="inlineStr">
        <is>
          <t>Question Heading Count</t>
        </is>
      </c>
      <c r="K550" s="24" t="inlineStr">
        <is>
          <t>No</t>
        </is>
      </c>
      <c r="L550" s="24" t="inlineStr">
        <is>
          <t>Copy Writer</t>
        </is>
      </c>
      <c r="M550" s="25" t="inlineStr">
        <is>
          <t>Open</t>
        </is>
      </c>
      <c r="N550" s="24" t="n">
        <v>4</v>
      </c>
      <c r="O550" s="24" t="inlineStr">
        <is>
          <t>https://africanmarketingconfederation.org/amc-masterclass/::aioseo_no_question-style_headings</t>
        </is>
      </c>
      <c r="P550" s="24" t="inlineStr">
        <is>
          <t>Question headings better align with query phrasing and snippet extraction.</t>
        </is>
      </c>
      <c r="Q550">
        <f>IFERROR(HYPERLINK("#Main!A"&amp;MATCH(A550,Main!A:A,0),"Open"),HYPERLINK("#Main!A1","Open"))</f>
        <v/>
      </c>
      <c r="R550">
        <f>IFERROR(HYPERLINK("#Technical!A"&amp;MATCH(A550,Technical!A:A,0),"Open"),HYPERLINK("#Technical!A1","Open"))</f>
        <v/>
      </c>
    </row>
    <row r="551" ht="30" customHeight="1">
      <c r="A551" s="33" t="inlineStr">
        <is>
          <t>https://africanmarketingconfederation.org/amc-relaunch-programme/</t>
        </is>
      </c>
      <c r="B551" s="6" t="inlineStr">
        <is>
          <t>Readability</t>
        </is>
      </c>
      <c r="C551" s="29" t="inlineStr">
        <is>
          <t>Info</t>
        </is>
      </c>
      <c r="D551" s="6" t="inlineStr">
        <is>
          <t>No question-style headings</t>
        </is>
      </c>
      <c r="E551" s="6" t="n">
        <v>37</v>
      </c>
      <c r="F551" s="6" t="n">
        <v>0</v>
      </c>
      <c r="G551" s="6" t="inlineStr">
        <is>
          <t>&gt;=1 where intent is informational</t>
        </is>
      </c>
      <c r="H551" s="6" t="inlineStr">
        <is>
          <t>Add at least one natural question heading (H2/H3) matching user intent.</t>
        </is>
      </c>
      <c r="I551" s="31" t="inlineStr">
        <is>
          <t>AEO</t>
        </is>
      </c>
      <c r="J551" s="6" t="inlineStr">
        <is>
          <t>Question Heading Count</t>
        </is>
      </c>
      <c r="K551" s="6" t="inlineStr">
        <is>
          <t>No</t>
        </is>
      </c>
      <c r="L551" s="6" t="inlineStr">
        <is>
          <t>Copy Writer</t>
        </is>
      </c>
      <c r="M551" s="25" t="inlineStr">
        <is>
          <t>Open</t>
        </is>
      </c>
      <c r="N551" s="6" t="n">
        <v>4</v>
      </c>
      <c r="O551" s="6" t="inlineStr">
        <is>
          <t>https://africanmarketingconfederation.org/amc-relaunch-programme/::aioseo_no_question-style_headings</t>
        </is>
      </c>
      <c r="P551" s="6" t="inlineStr">
        <is>
          <t>Question headings better align with query phrasing and snippet extraction.</t>
        </is>
      </c>
      <c r="Q551">
        <f>IFERROR(HYPERLINK("#Main!A"&amp;MATCH(A551,Main!A:A,0),"Open"),HYPERLINK("#Main!A1","Open"))</f>
        <v/>
      </c>
      <c r="R551">
        <f>IFERROR(HYPERLINK("#Technical!A"&amp;MATCH(A551,Technical!A:A,0),"Open"),HYPERLINK("#Technical!A1","Open"))</f>
        <v/>
      </c>
    </row>
    <row r="552" ht="30" customHeight="1">
      <c r="A552" s="33" t="inlineStr">
        <is>
          <t>https://africanmarketingconfederation.org/amc-sign-up-now-form-2025/</t>
        </is>
      </c>
      <c r="B552" s="24" t="inlineStr">
        <is>
          <t>Readability</t>
        </is>
      </c>
      <c r="C552" s="29" t="inlineStr">
        <is>
          <t>Info</t>
        </is>
      </c>
      <c r="D552" s="24" t="inlineStr">
        <is>
          <t>No question-style headings</t>
        </is>
      </c>
      <c r="E552" s="24" t="n">
        <v>37</v>
      </c>
      <c r="F552" s="24" t="n">
        <v>0</v>
      </c>
      <c r="G552" s="24" t="inlineStr">
        <is>
          <t>&gt;=1 where intent is informational</t>
        </is>
      </c>
      <c r="H552" s="24" t="inlineStr">
        <is>
          <t>Add at least one natural question heading (H2/H3) matching user intent.</t>
        </is>
      </c>
      <c r="I552" s="28" t="inlineStr">
        <is>
          <t>AEO</t>
        </is>
      </c>
      <c r="J552" s="24" t="inlineStr">
        <is>
          <t>Question Heading Count</t>
        </is>
      </c>
      <c r="K552" s="24" t="inlineStr">
        <is>
          <t>No</t>
        </is>
      </c>
      <c r="L552" s="24" t="inlineStr">
        <is>
          <t>Copy Writer</t>
        </is>
      </c>
      <c r="M552" s="25" t="inlineStr">
        <is>
          <t>Open</t>
        </is>
      </c>
      <c r="N552" s="24" t="n">
        <v>4</v>
      </c>
      <c r="O552" s="24" t="inlineStr">
        <is>
          <t>https://africanmarketingconfederation.org/amc-sign-up-now-form-2025/::aioseo_no_question-style_headings</t>
        </is>
      </c>
      <c r="P552" s="24" t="inlineStr">
        <is>
          <t>Question headings better align with query phrasing and snippet extraction.</t>
        </is>
      </c>
      <c r="Q552">
        <f>IFERROR(HYPERLINK("#Main!A"&amp;MATCH(A552,Main!A:A,0),"Open"),HYPERLINK("#Main!A1","Open"))</f>
        <v/>
      </c>
      <c r="R552">
        <f>IFERROR(HYPERLINK("#Technical!A"&amp;MATCH(A552,Technical!A:A,0),"Open"),HYPERLINK("#Technical!A1","Open"))</f>
        <v/>
      </c>
    </row>
    <row r="553" ht="30" customHeight="1">
      <c r="A553" s="33" t="inlineStr">
        <is>
          <t>https://africanmarketingconfederation.org/amc-sponsors-2025/</t>
        </is>
      </c>
      <c r="B553" s="6" t="inlineStr">
        <is>
          <t>Readability</t>
        </is>
      </c>
      <c r="C553" s="29" t="inlineStr">
        <is>
          <t>Info</t>
        </is>
      </c>
      <c r="D553" s="6" t="inlineStr">
        <is>
          <t>No question-style headings</t>
        </is>
      </c>
      <c r="E553" s="6" t="n">
        <v>37</v>
      </c>
      <c r="F553" s="6" t="n">
        <v>0</v>
      </c>
      <c r="G553" s="6" t="inlineStr">
        <is>
          <t>&gt;=1 where intent is informational</t>
        </is>
      </c>
      <c r="H553" s="6" t="inlineStr">
        <is>
          <t>Add at least one natural question heading (H2/H3) matching user intent.</t>
        </is>
      </c>
      <c r="I553" s="31" t="inlineStr">
        <is>
          <t>AEO</t>
        </is>
      </c>
      <c r="J553" s="6" t="inlineStr">
        <is>
          <t>Question Heading Count</t>
        </is>
      </c>
      <c r="K553" s="6" t="inlineStr">
        <is>
          <t>No</t>
        </is>
      </c>
      <c r="L553" s="6" t="inlineStr">
        <is>
          <t>Copy Writer</t>
        </is>
      </c>
      <c r="M553" s="25" t="inlineStr">
        <is>
          <t>Open</t>
        </is>
      </c>
      <c r="N553" s="6" t="n">
        <v>4</v>
      </c>
      <c r="O553" s="6" t="inlineStr">
        <is>
          <t>https://africanmarketingconfederation.org/amc-sponsors-2025/::aioseo_no_question-style_headings</t>
        </is>
      </c>
      <c r="P553" s="6" t="inlineStr">
        <is>
          <t>Question headings better align with query phrasing and snippet extraction.</t>
        </is>
      </c>
      <c r="Q553">
        <f>IFERROR(HYPERLINK("#Main!A"&amp;MATCH(A553,Main!A:A,0),"Open"),HYPERLINK("#Main!A1","Open"))</f>
        <v/>
      </c>
      <c r="R553">
        <f>IFERROR(HYPERLINK("#Technical!A"&amp;MATCH(A553,Technical!A:A,0),"Open"),HYPERLINK("#Technical!A1","Open"))</f>
        <v/>
      </c>
    </row>
    <row r="554" ht="30" customHeight="1">
      <c r="A554" s="33" t="inlineStr">
        <is>
          <t>https://africanmarketingconfederation.org/amc-testimony-page-2024/</t>
        </is>
      </c>
      <c r="B554" s="24" t="inlineStr">
        <is>
          <t>Readability</t>
        </is>
      </c>
      <c r="C554" s="29" t="inlineStr">
        <is>
          <t>Info</t>
        </is>
      </c>
      <c r="D554" s="24" t="inlineStr">
        <is>
          <t>Low readability score</t>
        </is>
      </c>
      <c r="E554" s="24" t="n">
        <v>37</v>
      </c>
      <c r="F554" s="24" t="n">
        <v>49</v>
      </c>
      <c r="G554" s="24" t="inlineStr">
        <is>
          <t>&gt;=50</t>
        </is>
      </c>
      <c r="H554" s="24" t="inlineStr">
        <is>
          <t>Use shorter sentences/paragraphs, clearer transitions, and simpler phrasing in page content.</t>
        </is>
      </c>
      <c r="I554" s="28" t="inlineStr">
        <is>
          <t>Content</t>
        </is>
      </c>
      <c r="J554" s="24" t="inlineStr">
        <is>
          <t>Readability (Rough Flesch)</t>
        </is>
      </c>
      <c r="K554" s="24" t="inlineStr">
        <is>
          <t>No</t>
        </is>
      </c>
      <c r="L554" s="24" t="inlineStr">
        <is>
          <t>Copy Writer</t>
        </is>
      </c>
      <c r="M554" s="25" t="inlineStr">
        <is>
          <t>Open</t>
        </is>
      </c>
      <c r="N554" s="24" t="n">
        <v>4</v>
      </c>
      <c r="O554" s="24" t="inlineStr">
        <is>
          <t>https://africanmarketingconfederation.org/amc-testimony-page-2024/::aioseo_low_readability_score</t>
        </is>
      </c>
      <c r="P554" s="24" t="inlineStr">
        <is>
          <t>Hard-to-read content lowers engagement and comprehension.</t>
        </is>
      </c>
      <c r="Q554">
        <f>IFERROR(HYPERLINK("#Main!A"&amp;MATCH(A554,Main!A:A,0),"Open"),HYPERLINK("#Main!A1","Open"))</f>
        <v/>
      </c>
      <c r="R554">
        <f>IFERROR(HYPERLINK("#Technical!A"&amp;MATCH(A554,Technical!A:A,0),"Open"),HYPERLINK("#Technical!A1","Open"))</f>
        <v/>
      </c>
    </row>
    <row r="555" ht="30" customHeight="1">
      <c r="A555" s="33" t="inlineStr">
        <is>
          <t>https://africanmarketingconfederation.org/amc-testimony-page-2024/</t>
        </is>
      </c>
      <c r="B555" s="6" t="inlineStr">
        <is>
          <t>Readability</t>
        </is>
      </c>
      <c r="C555" s="29" t="inlineStr">
        <is>
          <t>Info</t>
        </is>
      </c>
      <c r="D555" s="6" t="inlineStr">
        <is>
          <t>No question-style headings</t>
        </is>
      </c>
      <c r="E555" s="6" t="n">
        <v>37</v>
      </c>
      <c r="F555" s="6" t="n">
        <v>0</v>
      </c>
      <c r="G555" s="6" t="inlineStr">
        <is>
          <t>&gt;=1 where intent is informational</t>
        </is>
      </c>
      <c r="H555" s="6" t="inlineStr">
        <is>
          <t>Add at least one natural question heading (H2/H3) matching user intent.</t>
        </is>
      </c>
      <c r="I555" s="31" t="inlineStr">
        <is>
          <t>AEO</t>
        </is>
      </c>
      <c r="J555" s="6" t="inlineStr">
        <is>
          <t>Question Heading Count</t>
        </is>
      </c>
      <c r="K555" s="6" t="inlineStr">
        <is>
          <t>No</t>
        </is>
      </c>
      <c r="L555" s="6" t="inlineStr">
        <is>
          <t>Copy Writer</t>
        </is>
      </c>
      <c r="M555" s="25" t="inlineStr">
        <is>
          <t>Open</t>
        </is>
      </c>
      <c r="N555" s="6" t="n">
        <v>4</v>
      </c>
      <c r="O555" s="6" t="inlineStr">
        <is>
          <t>https://africanmarketingconfederation.org/amc-testimony-page-2024/::aioseo_no_question-style_headings</t>
        </is>
      </c>
      <c r="P555" s="6" t="inlineStr">
        <is>
          <t>Question headings better align with query phrasing and snippet extraction.</t>
        </is>
      </c>
      <c r="Q555">
        <f>IFERROR(HYPERLINK("#Main!A"&amp;MATCH(A555,Main!A:A,0),"Open"),HYPERLINK("#Main!A1","Open"))</f>
        <v/>
      </c>
      <c r="R555">
        <f>IFERROR(HYPERLINK("#Technical!A"&amp;MATCH(A555,Technical!A:A,0),"Open"),HYPERLINK("#Technical!A1","Open"))</f>
        <v/>
      </c>
    </row>
    <row r="556" ht="30" customHeight="1">
      <c r="A556" s="33" t="inlineStr">
        <is>
          <t>https://africanmarketingconfederation.org/awards-2026-1/</t>
        </is>
      </c>
      <c r="B556" s="24" t="inlineStr">
        <is>
          <t>Readability</t>
        </is>
      </c>
      <c r="C556" s="29" t="inlineStr">
        <is>
          <t>Info</t>
        </is>
      </c>
      <c r="D556" s="24" t="inlineStr">
        <is>
          <t>Multiple H1 headings</t>
        </is>
      </c>
      <c r="E556" s="24" t="n">
        <v>37</v>
      </c>
      <c r="F556" s="24" t="n">
        <v>3</v>
      </c>
      <c r="G556" s="24" t="inlineStr">
        <is>
          <t>Exactly 1 H1</t>
        </is>
      </c>
      <c r="H556" s="24" t="inlineStr">
        <is>
          <t>Keep one primary H1, convert remaining top-level headings to H2/H3 where appropriate.</t>
        </is>
      </c>
      <c r="I556" s="28" t="inlineStr">
        <is>
          <t>Content</t>
        </is>
      </c>
      <c r="J556" s="24" t="inlineStr">
        <is>
          <t>Multiple H1 Flag</t>
        </is>
      </c>
      <c r="K556" s="24" t="inlineStr">
        <is>
          <t>No</t>
        </is>
      </c>
      <c r="L556" s="24" t="inlineStr">
        <is>
          <t>Copy Writer</t>
        </is>
      </c>
      <c r="M556" s="25" t="inlineStr">
        <is>
          <t>Open</t>
        </is>
      </c>
      <c r="N556" s="24" t="n">
        <v>4</v>
      </c>
      <c r="O556" s="24" t="inlineStr">
        <is>
          <t>https://africanmarketingconfederation.org/awards-2026-1/::aioseo_multiple_h1_headings</t>
        </is>
      </c>
      <c r="P556" s="24" t="inlineStr">
        <is>
          <t>Multiple H1s can reduce heading hierarchy clarity.</t>
        </is>
      </c>
      <c r="Q556">
        <f>IFERROR(HYPERLINK("#Main!A"&amp;MATCH(A556,Main!A:A,0),"Open"),HYPERLINK("#Main!A1","Open"))</f>
        <v/>
      </c>
      <c r="R556">
        <f>IFERROR(HYPERLINK("#Technical!A"&amp;MATCH(A556,Technical!A:A,0),"Open"),HYPERLINK("#Technical!A1","Open"))</f>
        <v/>
      </c>
    </row>
    <row r="557" ht="30" customHeight="1">
      <c r="A557" s="33" t="inlineStr">
        <is>
          <t>https://africanmarketingconfederation.org/awards-2026-1/</t>
        </is>
      </c>
      <c r="B557" s="6" t="inlineStr">
        <is>
          <t>Readability</t>
        </is>
      </c>
      <c r="C557" s="29" t="inlineStr">
        <is>
          <t>Info</t>
        </is>
      </c>
      <c r="D557" s="6" t="inlineStr">
        <is>
          <t>No question-style headings</t>
        </is>
      </c>
      <c r="E557" s="6" t="n">
        <v>37</v>
      </c>
      <c r="F557" s="6" t="n">
        <v>0</v>
      </c>
      <c r="G557" s="6" t="inlineStr">
        <is>
          <t>&gt;=1 where intent is informational</t>
        </is>
      </c>
      <c r="H557" s="6" t="inlineStr">
        <is>
          <t>Add at least one natural question heading (H2/H3) matching user intent.</t>
        </is>
      </c>
      <c r="I557" s="31" t="inlineStr">
        <is>
          <t>AEO</t>
        </is>
      </c>
      <c r="J557" s="6" t="inlineStr">
        <is>
          <t>Question Heading Count</t>
        </is>
      </c>
      <c r="K557" s="6" t="inlineStr">
        <is>
          <t>No</t>
        </is>
      </c>
      <c r="L557" s="6" t="inlineStr">
        <is>
          <t>Copy Writer</t>
        </is>
      </c>
      <c r="M557" s="25" t="inlineStr">
        <is>
          <t>Open</t>
        </is>
      </c>
      <c r="N557" s="6" t="n">
        <v>4</v>
      </c>
      <c r="O557" s="6" t="inlineStr">
        <is>
          <t>https://africanmarketingconfederation.org/awards-2026-1/::aioseo_no_question-style_headings</t>
        </is>
      </c>
      <c r="P557" s="6" t="inlineStr">
        <is>
          <t>Question headings better align with query phrasing and snippet extraction.</t>
        </is>
      </c>
      <c r="Q557">
        <f>IFERROR(HYPERLINK("#Main!A"&amp;MATCH(A557,Main!A:A,0),"Open"),HYPERLINK("#Main!A1","Open"))</f>
        <v/>
      </c>
      <c r="R557">
        <f>IFERROR(HYPERLINK("#Technical!A"&amp;MATCH(A557,Technical!A:A,0),"Open"),HYPERLINK("#Technical!A1","Open"))</f>
        <v/>
      </c>
    </row>
    <row r="558" ht="30" customHeight="1">
      <c r="A558" s="33" t="inlineStr">
        <is>
          <t>https://africanmarketingconfederation.org/awards-2026-test/</t>
        </is>
      </c>
      <c r="B558" s="24" t="inlineStr">
        <is>
          <t>Readability</t>
        </is>
      </c>
      <c r="C558" s="29" t="inlineStr">
        <is>
          <t>Info</t>
        </is>
      </c>
      <c r="D558" s="24" t="inlineStr">
        <is>
          <t>Multiple H1 headings</t>
        </is>
      </c>
      <c r="E558" s="24" t="n">
        <v>37</v>
      </c>
      <c r="F558" s="24" t="n">
        <v>3</v>
      </c>
      <c r="G558" s="24" t="inlineStr">
        <is>
          <t>Exactly 1 H1</t>
        </is>
      </c>
      <c r="H558" s="24" t="inlineStr">
        <is>
          <t>Keep one primary H1, convert remaining top-level headings to H2/H3 where appropriate.</t>
        </is>
      </c>
      <c r="I558" s="28" t="inlineStr">
        <is>
          <t>Content</t>
        </is>
      </c>
      <c r="J558" s="24" t="inlineStr">
        <is>
          <t>Multiple H1 Flag</t>
        </is>
      </c>
      <c r="K558" s="24" t="inlineStr">
        <is>
          <t>No</t>
        </is>
      </c>
      <c r="L558" s="24" t="inlineStr">
        <is>
          <t>Copy Writer</t>
        </is>
      </c>
      <c r="M558" s="25" t="inlineStr">
        <is>
          <t>Open</t>
        </is>
      </c>
      <c r="N558" s="24" t="n">
        <v>4</v>
      </c>
      <c r="O558" s="24" t="inlineStr">
        <is>
          <t>https://africanmarketingconfederation.org/awards-2026-test/::aioseo_multiple_h1_headings</t>
        </is>
      </c>
      <c r="P558" s="24" t="inlineStr">
        <is>
          <t>Multiple H1s can reduce heading hierarchy clarity.</t>
        </is>
      </c>
      <c r="Q558">
        <f>IFERROR(HYPERLINK("#Main!A"&amp;MATCH(A558,Main!A:A,0),"Open"),HYPERLINK("#Main!A1","Open"))</f>
        <v/>
      </c>
      <c r="R558">
        <f>IFERROR(HYPERLINK("#Technical!A"&amp;MATCH(A558,Technical!A:A,0),"Open"),HYPERLINK("#Technical!A1","Open"))</f>
        <v/>
      </c>
    </row>
    <row r="559" ht="30" customHeight="1">
      <c r="A559" s="33" t="inlineStr">
        <is>
          <t>https://africanmarketingconfederation.org/awards-2026-test/</t>
        </is>
      </c>
      <c r="B559" s="6" t="inlineStr">
        <is>
          <t>Readability</t>
        </is>
      </c>
      <c r="C559" s="29" t="inlineStr">
        <is>
          <t>Info</t>
        </is>
      </c>
      <c r="D559" s="6" t="inlineStr">
        <is>
          <t>No question-style headings</t>
        </is>
      </c>
      <c r="E559" s="6" t="n">
        <v>37</v>
      </c>
      <c r="F559" s="6" t="n">
        <v>0</v>
      </c>
      <c r="G559" s="6" t="inlineStr">
        <is>
          <t>&gt;=1 where intent is informational</t>
        </is>
      </c>
      <c r="H559" s="6" t="inlineStr">
        <is>
          <t>Add at least one natural question heading (H2/H3) matching user intent.</t>
        </is>
      </c>
      <c r="I559" s="31" t="inlineStr">
        <is>
          <t>AEO</t>
        </is>
      </c>
      <c r="J559" s="6" t="inlineStr">
        <is>
          <t>Question Heading Count</t>
        </is>
      </c>
      <c r="K559" s="6" t="inlineStr">
        <is>
          <t>No</t>
        </is>
      </c>
      <c r="L559" s="6" t="inlineStr">
        <is>
          <t>Copy Writer</t>
        </is>
      </c>
      <c r="M559" s="25" t="inlineStr">
        <is>
          <t>Open</t>
        </is>
      </c>
      <c r="N559" s="6" t="n">
        <v>4</v>
      </c>
      <c r="O559" s="6" t="inlineStr">
        <is>
          <t>https://africanmarketingconfederation.org/awards-2026-test/::aioseo_no_question-style_headings</t>
        </is>
      </c>
      <c r="P559" s="6" t="inlineStr">
        <is>
          <t>Question headings better align with query phrasing and snippet extraction.</t>
        </is>
      </c>
      <c r="Q559">
        <f>IFERROR(HYPERLINK("#Main!A"&amp;MATCH(A559,Main!A:A,0),"Open"),HYPERLINK("#Main!A1","Open"))</f>
        <v/>
      </c>
      <c r="R559">
        <f>IFERROR(HYPERLINK("#Technical!A"&amp;MATCH(A559,Technical!A:A,0),"Open"),HYPERLINK("#Technical!A1","Open"))</f>
        <v/>
      </c>
    </row>
    <row r="560" ht="30" customHeight="1">
      <c r="A560" s="33" t="inlineStr">
        <is>
          <t>https://africanmarketingconfederation.org/awards-2026/</t>
        </is>
      </c>
      <c r="B560" s="24" t="inlineStr">
        <is>
          <t>Readability</t>
        </is>
      </c>
      <c r="C560" s="29" t="inlineStr">
        <is>
          <t>Info</t>
        </is>
      </c>
      <c r="D560" s="24" t="inlineStr">
        <is>
          <t>Multiple H1 headings</t>
        </is>
      </c>
      <c r="E560" s="24" t="n">
        <v>37</v>
      </c>
      <c r="F560" s="24" t="n">
        <v>3</v>
      </c>
      <c r="G560" s="24" t="inlineStr">
        <is>
          <t>Exactly 1 H1</t>
        </is>
      </c>
      <c r="H560" s="24" t="inlineStr">
        <is>
          <t>Keep one primary H1, convert remaining top-level headings to H2/H3 where appropriate.</t>
        </is>
      </c>
      <c r="I560" s="28" t="inlineStr">
        <is>
          <t>Content</t>
        </is>
      </c>
      <c r="J560" s="24" t="inlineStr">
        <is>
          <t>Multiple H1 Flag</t>
        </is>
      </c>
      <c r="K560" s="24" t="inlineStr">
        <is>
          <t>No</t>
        </is>
      </c>
      <c r="L560" s="24" t="inlineStr">
        <is>
          <t>Copy Writer</t>
        </is>
      </c>
      <c r="M560" s="25" t="inlineStr">
        <is>
          <t>Open</t>
        </is>
      </c>
      <c r="N560" s="24" t="n">
        <v>4</v>
      </c>
      <c r="O560" s="24" t="inlineStr">
        <is>
          <t>https://africanmarketingconfederation.org/awards-2026/::aioseo_multiple_h1_headings</t>
        </is>
      </c>
      <c r="P560" s="24" t="inlineStr">
        <is>
          <t>Multiple H1s can reduce heading hierarchy clarity.</t>
        </is>
      </c>
      <c r="Q560">
        <f>IFERROR(HYPERLINK("#Main!A"&amp;MATCH(A560,Main!A:A,0),"Open"),HYPERLINK("#Main!A1","Open"))</f>
        <v/>
      </c>
      <c r="R560">
        <f>IFERROR(HYPERLINK("#Technical!A"&amp;MATCH(A560,Technical!A:A,0),"Open"),HYPERLINK("#Technical!A1","Open"))</f>
        <v/>
      </c>
    </row>
    <row r="561" ht="30" customHeight="1">
      <c r="A561" s="33" t="inlineStr">
        <is>
          <t>https://africanmarketingconfederation.org/awards-2026/</t>
        </is>
      </c>
      <c r="B561" s="6" t="inlineStr">
        <is>
          <t>Readability</t>
        </is>
      </c>
      <c r="C561" s="29" t="inlineStr">
        <is>
          <t>Info</t>
        </is>
      </c>
      <c r="D561" s="6" t="inlineStr">
        <is>
          <t>No question-style headings</t>
        </is>
      </c>
      <c r="E561" s="6" t="n">
        <v>37</v>
      </c>
      <c r="F561" s="6" t="n">
        <v>0</v>
      </c>
      <c r="G561" s="6" t="inlineStr">
        <is>
          <t>&gt;=1 where intent is informational</t>
        </is>
      </c>
      <c r="H561" s="6" t="inlineStr">
        <is>
          <t>Add at least one natural question heading (H2/H3) matching user intent.</t>
        </is>
      </c>
      <c r="I561" s="31" t="inlineStr">
        <is>
          <t>AEO</t>
        </is>
      </c>
      <c r="J561" s="6" t="inlineStr">
        <is>
          <t>Question Heading Count</t>
        </is>
      </c>
      <c r="K561" s="6" t="inlineStr">
        <is>
          <t>No</t>
        </is>
      </c>
      <c r="L561" s="6" t="inlineStr">
        <is>
          <t>Copy Writer</t>
        </is>
      </c>
      <c r="M561" s="25" t="inlineStr">
        <is>
          <t>Open</t>
        </is>
      </c>
      <c r="N561" s="6" t="n">
        <v>4</v>
      </c>
      <c r="O561" s="6" t="inlineStr">
        <is>
          <t>https://africanmarketingconfederation.org/awards-2026/::aioseo_no_question-style_headings</t>
        </is>
      </c>
      <c r="P561" s="6" t="inlineStr">
        <is>
          <t>Question headings better align with query phrasing and snippet extraction.</t>
        </is>
      </c>
      <c r="Q561">
        <f>IFERROR(HYPERLINK("#Main!A"&amp;MATCH(A561,Main!A:A,0),"Open"),HYPERLINK("#Main!A1","Open"))</f>
        <v/>
      </c>
      <c r="R561">
        <f>IFERROR(HYPERLINK("#Technical!A"&amp;MATCH(A561,Technical!A:A,0),"Open"),HYPERLINK("#Technical!A1","Open"))</f>
        <v/>
      </c>
    </row>
    <row r="562" ht="30" customHeight="1">
      <c r="A562" s="33" t="inlineStr">
        <is>
          <t>https://africanmarketingconfederation.org/certified-professional-marketer-africa/</t>
        </is>
      </c>
      <c r="B562" s="24" t="inlineStr">
        <is>
          <t>Readability</t>
        </is>
      </c>
      <c r="C562" s="29" t="inlineStr">
        <is>
          <t>Info</t>
        </is>
      </c>
      <c r="D562" s="24" t="inlineStr">
        <is>
          <t>No question-style headings</t>
        </is>
      </c>
      <c r="E562" s="24" t="n">
        <v>37</v>
      </c>
      <c r="F562" s="24" t="n">
        <v>0</v>
      </c>
      <c r="G562" s="24" t="inlineStr">
        <is>
          <t>&gt;=1 where intent is informational</t>
        </is>
      </c>
      <c r="H562" s="24" t="inlineStr">
        <is>
          <t>Add at least one natural question heading (H2/H3) matching user intent.</t>
        </is>
      </c>
      <c r="I562" s="28" t="inlineStr">
        <is>
          <t>AEO</t>
        </is>
      </c>
      <c r="J562" s="24" t="inlineStr">
        <is>
          <t>Question Heading Count</t>
        </is>
      </c>
      <c r="K562" s="24" t="inlineStr">
        <is>
          <t>No</t>
        </is>
      </c>
      <c r="L562" s="24" t="inlineStr">
        <is>
          <t>Copy Writer</t>
        </is>
      </c>
      <c r="M562" s="25" t="inlineStr">
        <is>
          <t>Open</t>
        </is>
      </c>
      <c r="N562" s="24" t="n">
        <v>4</v>
      </c>
      <c r="O562" s="24" t="inlineStr">
        <is>
          <t>https://africanmarketingconfederation.org/certified-professional-marketer-africa/::aioseo_no_question-style_headings</t>
        </is>
      </c>
      <c r="P562" s="24" t="inlineStr">
        <is>
          <t>Question headings better align with query phrasing and snippet extraction.</t>
        </is>
      </c>
      <c r="Q562">
        <f>IFERROR(HYPERLINK("#Main!A"&amp;MATCH(A562,Main!A:A,0),"Open"),HYPERLINK("#Main!A1","Open"))</f>
        <v/>
      </c>
      <c r="R562">
        <f>IFERROR(HYPERLINK("#Technical!A"&amp;MATCH(A562,Technical!A:A,0),"Open"),HYPERLINK("#Technical!A1","Open"))</f>
        <v/>
      </c>
    </row>
    <row r="563" ht="30" customHeight="1">
      <c r="A563" s="33" t="inlineStr">
        <is>
          <t>https://africanmarketingconfederation.org/chartered-marketer-africa-final-submission-fee/</t>
        </is>
      </c>
      <c r="B563" s="6" t="inlineStr">
        <is>
          <t>Readability</t>
        </is>
      </c>
      <c r="C563" s="29" t="inlineStr">
        <is>
          <t>Info</t>
        </is>
      </c>
      <c r="D563" s="6" t="inlineStr">
        <is>
          <t>No question-style headings</t>
        </is>
      </c>
      <c r="E563" s="6" t="n">
        <v>37</v>
      </c>
      <c r="F563" s="6" t="n">
        <v>0</v>
      </c>
      <c r="G563" s="6" t="inlineStr">
        <is>
          <t>&gt;=1 where intent is informational</t>
        </is>
      </c>
      <c r="H563" s="6" t="inlineStr">
        <is>
          <t>Add at least one natural question heading (H2/H3) matching user intent.</t>
        </is>
      </c>
      <c r="I563" s="31" t="inlineStr">
        <is>
          <t>AEO</t>
        </is>
      </c>
      <c r="J563" s="6" t="inlineStr">
        <is>
          <t>Question Heading Count</t>
        </is>
      </c>
      <c r="K563" s="6" t="inlineStr">
        <is>
          <t>No</t>
        </is>
      </c>
      <c r="L563" s="6" t="inlineStr">
        <is>
          <t>Copy Writer</t>
        </is>
      </c>
      <c r="M563" s="25" t="inlineStr">
        <is>
          <t>Open</t>
        </is>
      </c>
      <c r="N563" s="6" t="n">
        <v>4</v>
      </c>
      <c r="O563" s="6" t="inlineStr">
        <is>
          <t>https://africanmarketingconfederation.org/chartered-marketer-africa-final-submission-fee/::aioseo_no_question-style_headings</t>
        </is>
      </c>
      <c r="P563" s="6" t="inlineStr">
        <is>
          <t>Question headings better align with query phrasing and snippet extraction.</t>
        </is>
      </c>
      <c r="Q563">
        <f>IFERROR(HYPERLINK("#Main!A"&amp;MATCH(A563,Main!A:A,0),"Open"),HYPERLINK("#Main!A1","Open"))</f>
        <v/>
      </c>
      <c r="R563">
        <f>IFERROR(HYPERLINK("#Technical!A"&amp;MATCH(A563,Technical!A:A,0),"Open"),HYPERLINK("#Technical!A1","Open"))</f>
        <v/>
      </c>
    </row>
    <row r="564" ht="30" customHeight="1">
      <c r="A564" s="33" t="inlineStr">
        <is>
          <t>https://africanmarketingconfederation.org/chartered-marketer-africa-programme-fee/</t>
        </is>
      </c>
      <c r="B564" s="24" t="inlineStr">
        <is>
          <t>Readability</t>
        </is>
      </c>
      <c r="C564" s="29" t="inlineStr">
        <is>
          <t>Info</t>
        </is>
      </c>
      <c r="D564" s="24" t="inlineStr">
        <is>
          <t>No question-style headings</t>
        </is>
      </c>
      <c r="E564" s="24" t="n">
        <v>37</v>
      </c>
      <c r="F564" s="24" t="n">
        <v>0</v>
      </c>
      <c r="G564" s="24" t="inlineStr">
        <is>
          <t>&gt;=1 where intent is informational</t>
        </is>
      </c>
      <c r="H564" s="24" t="inlineStr">
        <is>
          <t>Add at least one natural question heading (H2/H3) matching user intent.</t>
        </is>
      </c>
      <c r="I564" s="28" t="inlineStr">
        <is>
          <t>AEO</t>
        </is>
      </c>
      <c r="J564" s="24" t="inlineStr">
        <is>
          <t>Question Heading Count</t>
        </is>
      </c>
      <c r="K564" s="24" t="inlineStr">
        <is>
          <t>No</t>
        </is>
      </c>
      <c r="L564" s="24" t="inlineStr">
        <is>
          <t>Copy Writer</t>
        </is>
      </c>
      <c r="M564" s="25" t="inlineStr">
        <is>
          <t>Open</t>
        </is>
      </c>
      <c r="N564" s="24" t="n">
        <v>4</v>
      </c>
      <c r="O564" s="24" t="inlineStr">
        <is>
          <t>https://africanmarketingconfederation.org/chartered-marketer-africa-programme-fee/::aioseo_no_question-style_headings</t>
        </is>
      </c>
      <c r="P564" s="24" t="inlineStr">
        <is>
          <t>Question headings better align with query phrasing and snippet extraction.</t>
        </is>
      </c>
      <c r="Q564">
        <f>IFERROR(HYPERLINK("#Main!A"&amp;MATCH(A564,Main!A:A,0),"Open"),HYPERLINK("#Main!A1","Open"))</f>
        <v/>
      </c>
      <c r="R564">
        <f>IFERROR(HYPERLINK("#Technical!A"&amp;MATCH(A564,Technical!A:A,0),"Open"),HYPERLINK("#Technical!A1","Open"))</f>
        <v/>
      </c>
    </row>
    <row r="565" ht="30" customHeight="1">
      <c r="A565" s="33" t="inlineStr">
        <is>
          <t>https://africanmarketingconfederation.org/chartered-marketer-africa-thank-you/</t>
        </is>
      </c>
      <c r="B565" s="6" t="inlineStr">
        <is>
          <t>Readability</t>
        </is>
      </c>
      <c r="C565" s="29" t="inlineStr">
        <is>
          <t>Info</t>
        </is>
      </c>
      <c r="D565" s="6" t="inlineStr">
        <is>
          <t>No question-style headings</t>
        </is>
      </c>
      <c r="E565" s="6" t="n">
        <v>37</v>
      </c>
      <c r="F565" s="6" t="n">
        <v>0</v>
      </c>
      <c r="G565" s="6" t="inlineStr">
        <is>
          <t>&gt;=1 where intent is informational</t>
        </is>
      </c>
      <c r="H565" s="6" t="inlineStr">
        <is>
          <t>Add at least one natural question heading (H2/H3) matching user intent.</t>
        </is>
      </c>
      <c r="I565" s="31" t="inlineStr">
        <is>
          <t>AEO</t>
        </is>
      </c>
      <c r="J565" s="6" t="inlineStr">
        <is>
          <t>Question Heading Count</t>
        </is>
      </c>
      <c r="K565" s="6" t="inlineStr">
        <is>
          <t>No</t>
        </is>
      </c>
      <c r="L565" s="6" t="inlineStr">
        <is>
          <t>Copy Writer</t>
        </is>
      </c>
      <c r="M565" s="25" t="inlineStr">
        <is>
          <t>Open</t>
        </is>
      </c>
      <c r="N565" s="6" t="n">
        <v>4</v>
      </c>
      <c r="O565" s="6" t="inlineStr">
        <is>
          <t>https://africanmarketingconfederation.org/chartered-marketer-africa-thank-you/::aioseo_no_question-style_headings</t>
        </is>
      </c>
      <c r="P565" s="6" t="inlineStr">
        <is>
          <t>Question headings better align with query phrasing and snippet extraction.</t>
        </is>
      </c>
      <c r="Q565">
        <f>IFERROR(HYPERLINK("#Main!A"&amp;MATCH(A565,Main!A:A,0),"Open"),HYPERLINK("#Main!A1","Open"))</f>
        <v/>
      </c>
      <c r="R565">
        <f>IFERROR(HYPERLINK("#Technical!A"&amp;MATCH(A565,Technical!A:A,0),"Open"),HYPERLINK("#Technical!A1","Open"))</f>
        <v/>
      </c>
    </row>
    <row r="566" ht="30" customHeight="1">
      <c r="A566" s="33" t="inlineStr">
        <is>
          <t>https://africanmarketingconfederation.org/chartered-marketer-africa/</t>
        </is>
      </c>
      <c r="B566" s="24" t="inlineStr">
        <is>
          <t>Readability</t>
        </is>
      </c>
      <c r="C566" s="29" t="inlineStr">
        <is>
          <t>Info</t>
        </is>
      </c>
      <c r="D566" s="24" t="inlineStr">
        <is>
          <t>No question-style headings</t>
        </is>
      </c>
      <c r="E566" s="24" t="n">
        <v>37</v>
      </c>
      <c r="F566" s="24" t="n">
        <v>0</v>
      </c>
      <c r="G566" s="24" t="inlineStr">
        <is>
          <t>&gt;=1 where intent is informational</t>
        </is>
      </c>
      <c r="H566" s="24" t="inlineStr">
        <is>
          <t>Add at least one natural question heading (H2/H3) matching user intent.</t>
        </is>
      </c>
      <c r="I566" s="28" t="inlineStr">
        <is>
          <t>AEO</t>
        </is>
      </c>
      <c r="J566" s="24" t="inlineStr">
        <is>
          <t>Question Heading Count</t>
        </is>
      </c>
      <c r="K566" s="24" t="inlineStr">
        <is>
          <t>No</t>
        </is>
      </c>
      <c r="L566" s="24" t="inlineStr">
        <is>
          <t>Copy Writer</t>
        </is>
      </c>
      <c r="M566" s="25" t="inlineStr">
        <is>
          <t>Open</t>
        </is>
      </c>
      <c r="N566" s="24" t="n">
        <v>4</v>
      </c>
      <c r="O566" s="24" t="inlineStr">
        <is>
          <t>https://africanmarketingconfederation.org/chartered-marketer-africa/::aioseo_no_question-style_headings</t>
        </is>
      </c>
      <c r="P566" s="24" t="inlineStr">
        <is>
          <t>Question headings better align with query phrasing and snippet extraction.</t>
        </is>
      </c>
      <c r="Q566">
        <f>IFERROR(HYPERLINK("#Main!A"&amp;MATCH(A566,Main!A:A,0),"Open"),HYPERLINK("#Main!A1","Open"))</f>
        <v/>
      </c>
      <c r="R566">
        <f>IFERROR(HYPERLINK("#Technical!A"&amp;MATCH(A566,Technical!A:A,0),"Open"),HYPERLINK("#Technical!A1","Open"))</f>
        <v/>
      </c>
    </row>
    <row r="567" ht="30" customHeight="1">
      <c r="A567" s="33" t="inlineStr">
        <is>
          <t>https://africanmarketingconfederation.org/checkout/</t>
        </is>
      </c>
      <c r="B567" s="6" t="inlineStr">
        <is>
          <t>Readability</t>
        </is>
      </c>
      <c r="C567" s="29" t="inlineStr">
        <is>
          <t>Info</t>
        </is>
      </c>
      <c r="D567" s="6" t="inlineStr">
        <is>
          <t>No question-style headings</t>
        </is>
      </c>
      <c r="E567" s="6" t="n">
        <v>37</v>
      </c>
      <c r="F567" s="6" t="n">
        <v>0</v>
      </c>
      <c r="G567" s="6" t="inlineStr">
        <is>
          <t>&gt;=1 where intent is informational</t>
        </is>
      </c>
      <c r="H567" s="6" t="inlineStr">
        <is>
          <t>Add at least one natural question heading (H2/H3) matching user intent.</t>
        </is>
      </c>
      <c r="I567" s="31" t="inlineStr">
        <is>
          <t>AEO</t>
        </is>
      </c>
      <c r="J567" s="6" t="inlineStr">
        <is>
          <t>Question Heading Count</t>
        </is>
      </c>
      <c r="K567" s="6" t="inlineStr">
        <is>
          <t>No</t>
        </is>
      </c>
      <c r="L567" s="6" t="inlineStr">
        <is>
          <t>Copy Writer</t>
        </is>
      </c>
      <c r="M567" s="25" t="inlineStr">
        <is>
          <t>Open</t>
        </is>
      </c>
      <c r="N567" s="6" t="n">
        <v>4</v>
      </c>
      <c r="O567" s="6" t="inlineStr">
        <is>
          <t>https://africanmarketingconfederation.org/checkout/::aioseo_no_question-style_headings</t>
        </is>
      </c>
      <c r="P567" s="6" t="inlineStr">
        <is>
          <t>Question headings better align with query phrasing and snippet extraction.</t>
        </is>
      </c>
      <c r="Q567">
        <f>IFERROR(HYPERLINK("#Main!A"&amp;MATCH(A567,Main!A:A,0),"Open"),HYPERLINK("#Main!A1","Open"))</f>
        <v/>
      </c>
      <c r="R567">
        <f>IFERROR(HYPERLINK("#Technical!A"&amp;MATCH(A567,Technical!A:A,0),"Open"),HYPERLINK("#Technical!A1","Open"))</f>
        <v/>
      </c>
    </row>
    <row r="568" ht="30" customHeight="1">
      <c r="A568" s="33" t="inlineStr">
        <is>
          <t>https://africanmarketingconfederation.org/conference-faq-2025/</t>
        </is>
      </c>
      <c r="B568" s="24" t="inlineStr">
        <is>
          <t>Readability</t>
        </is>
      </c>
      <c r="C568" s="29" t="inlineStr">
        <is>
          <t>Info</t>
        </is>
      </c>
      <c r="D568" s="24" t="inlineStr">
        <is>
          <t>No question-style headings</t>
        </is>
      </c>
      <c r="E568" s="24" t="n">
        <v>37</v>
      </c>
      <c r="F568" s="24" t="n">
        <v>0</v>
      </c>
      <c r="G568" s="24" t="inlineStr">
        <is>
          <t>&gt;=1 where intent is informational</t>
        </is>
      </c>
      <c r="H568" s="24" t="inlineStr">
        <is>
          <t>Add at least one natural question heading (H2/H3) matching user intent.</t>
        </is>
      </c>
      <c r="I568" s="28" t="inlineStr">
        <is>
          <t>AEO</t>
        </is>
      </c>
      <c r="J568" s="24" t="inlineStr">
        <is>
          <t>Question Heading Count</t>
        </is>
      </c>
      <c r="K568" s="24" t="inlineStr">
        <is>
          <t>No</t>
        </is>
      </c>
      <c r="L568" s="24" t="inlineStr">
        <is>
          <t>Copy Writer</t>
        </is>
      </c>
      <c r="M568" s="25" t="inlineStr">
        <is>
          <t>Open</t>
        </is>
      </c>
      <c r="N568" s="24" t="n">
        <v>4</v>
      </c>
      <c r="O568" s="24" t="inlineStr">
        <is>
          <t>https://africanmarketingconfederation.org/conference-faq-2025/::aioseo_no_question-style_headings</t>
        </is>
      </c>
      <c r="P568" s="24" t="inlineStr">
        <is>
          <t>Question headings better align with query phrasing and snippet extraction.</t>
        </is>
      </c>
      <c r="Q568">
        <f>IFERROR(HYPERLINK("#Main!A"&amp;MATCH(A568,Main!A:A,0),"Open"),HYPERLINK("#Main!A1","Open"))</f>
        <v/>
      </c>
      <c r="R568">
        <f>IFERROR(HYPERLINK("#Technical!A"&amp;MATCH(A568,Technical!A:A,0),"Open"),HYPERLINK("#Technical!A1","Open"))</f>
        <v/>
      </c>
    </row>
    <row r="569" ht="30" customHeight="1">
      <c r="A569" s="33" t="inlineStr">
        <is>
          <t>https://africanmarketingconfederation.org/conference-registrations-2024/</t>
        </is>
      </c>
      <c r="B569" s="6" t="inlineStr">
        <is>
          <t>Readability</t>
        </is>
      </c>
      <c r="C569" s="29" t="inlineStr">
        <is>
          <t>Info</t>
        </is>
      </c>
      <c r="D569" s="6" t="inlineStr">
        <is>
          <t>No question-style headings</t>
        </is>
      </c>
      <c r="E569" s="6" t="n">
        <v>37</v>
      </c>
      <c r="F569" s="6" t="n">
        <v>0</v>
      </c>
      <c r="G569" s="6" t="inlineStr">
        <is>
          <t>&gt;=1 where intent is informational</t>
        </is>
      </c>
      <c r="H569" s="6" t="inlineStr">
        <is>
          <t>Add at least one natural question heading (H2/H3) matching user intent.</t>
        </is>
      </c>
      <c r="I569" s="31" t="inlineStr">
        <is>
          <t>AEO</t>
        </is>
      </c>
      <c r="J569" s="6" t="inlineStr">
        <is>
          <t>Question Heading Count</t>
        </is>
      </c>
      <c r="K569" s="6" t="inlineStr">
        <is>
          <t>No</t>
        </is>
      </c>
      <c r="L569" s="6" t="inlineStr">
        <is>
          <t>Copy Writer</t>
        </is>
      </c>
      <c r="M569" s="25" t="inlineStr">
        <is>
          <t>Open</t>
        </is>
      </c>
      <c r="N569" s="6" t="n">
        <v>4</v>
      </c>
      <c r="O569" s="6" t="inlineStr">
        <is>
          <t>https://africanmarketingconfederation.org/conference-registrations-2024/::aioseo_no_question-style_headings</t>
        </is>
      </c>
      <c r="P569" s="6" t="inlineStr">
        <is>
          <t>Question headings better align with query phrasing and snippet extraction.</t>
        </is>
      </c>
      <c r="Q569">
        <f>IFERROR(HYPERLINK("#Main!A"&amp;MATCH(A569,Main!A:A,0),"Open"),HYPERLINK("#Main!A1","Open"))</f>
        <v/>
      </c>
      <c r="R569">
        <f>IFERROR(HYPERLINK("#Technical!A"&amp;MATCH(A569,Technical!A:A,0),"Open"),HYPERLINK("#Technical!A1","Open"))</f>
        <v/>
      </c>
    </row>
    <row r="570" ht="30" customHeight="1">
      <c r="A570" s="33" t="inlineStr">
        <is>
          <t>https://africanmarketingconfederation.org/contact-us/</t>
        </is>
      </c>
      <c r="B570" s="24" t="inlineStr">
        <is>
          <t>Readability</t>
        </is>
      </c>
      <c r="C570" s="29" t="inlineStr">
        <is>
          <t>Info</t>
        </is>
      </c>
      <c r="D570" s="24" t="inlineStr">
        <is>
          <t>Multiple H1 headings</t>
        </is>
      </c>
      <c r="E570" s="24" t="n">
        <v>37</v>
      </c>
      <c r="F570" s="24" t="n">
        <v>2</v>
      </c>
      <c r="G570" s="24" t="inlineStr">
        <is>
          <t>Exactly 1 H1</t>
        </is>
      </c>
      <c r="H570" s="24" t="inlineStr">
        <is>
          <t>Keep one primary H1, convert remaining top-level headings to H2/H3 where appropriate.</t>
        </is>
      </c>
      <c r="I570" s="28" t="inlineStr">
        <is>
          <t>Content</t>
        </is>
      </c>
      <c r="J570" s="24" t="inlineStr">
        <is>
          <t>Multiple H1 Flag</t>
        </is>
      </c>
      <c r="K570" s="24" t="inlineStr">
        <is>
          <t>No</t>
        </is>
      </c>
      <c r="L570" s="24" t="inlineStr">
        <is>
          <t>Copy Writer</t>
        </is>
      </c>
      <c r="M570" s="25" t="inlineStr">
        <is>
          <t>Open</t>
        </is>
      </c>
      <c r="N570" s="24" t="n">
        <v>4</v>
      </c>
      <c r="O570" s="24" t="inlineStr">
        <is>
          <t>https://africanmarketingconfederation.org/contact-us/::aioseo_multiple_h1_headings</t>
        </is>
      </c>
      <c r="P570" s="24" t="inlineStr">
        <is>
          <t>Multiple H1s can reduce heading hierarchy clarity.</t>
        </is>
      </c>
      <c r="Q570">
        <f>IFERROR(HYPERLINK("#Main!A"&amp;MATCH(A570,Main!A:A,0),"Open"),HYPERLINK("#Main!A1","Open"))</f>
        <v/>
      </c>
      <c r="R570">
        <f>IFERROR(HYPERLINK("#Technical!A"&amp;MATCH(A570,Technical!A:A,0),"Open"),HYPERLINK("#Technical!A1","Open"))</f>
        <v/>
      </c>
    </row>
    <row r="571" ht="30" customHeight="1">
      <c r="A571" s="33" t="inlineStr">
        <is>
          <t>https://africanmarketingconfederation.org/contact-us/</t>
        </is>
      </c>
      <c r="B571" s="6" t="inlineStr">
        <is>
          <t>Readability</t>
        </is>
      </c>
      <c r="C571" s="29" t="inlineStr">
        <is>
          <t>Info</t>
        </is>
      </c>
      <c r="D571" s="6" t="inlineStr">
        <is>
          <t>No question-style headings</t>
        </is>
      </c>
      <c r="E571" s="6" t="n">
        <v>37</v>
      </c>
      <c r="F571" s="6" t="n">
        <v>0</v>
      </c>
      <c r="G571" s="6" t="inlineStr">
        <is>
          <t>&gt;=1 where intent is informational</t>
        </is>
      </c>
      <c r="H571" s="6" t="inlineStr">
        <is>
          <t>Add at least one natural question heading (H2/H3) matching user intent.</t>
        </is>
      </c>
      <c r="I571" s="31" t="inlineStr">
        <is>
          <t>AEO</t>
        </is>
      </c>
      <c r="J571" s="6" t="inlineStr">
        <is>
          <t>Question Heading Count</t>
        </is>
      </c>
      <c r="K571" s="6" t="inlineStr">
        <is>
          <t>No</t>
        </is>
      </c>
      <c r="L571" s="6" t="inlineStr">
        <is>
          <t>Copy Writer</t>
        </is>
      </c>
      <c r="M571" s="25" t="inlineStr">
        <is>
          <t>Open</t>
        </is>
      </c>
      <c r="N571" s="6" t="n">
        <v>4</v>
      </c>
      <c r="O571" s="6" t="inlineStr">
        <is>
          <t>https://africanmarketingconfederation.org/contact-us/::aioseo_no_question-style_headings</t>
        </is>
      </c>
      <c r="P571" s="6" t="inlineStr">
        <is>
          <t>Question headings better align with query phrasing and snippet extraction.</t>
        </is>
      </c>
      <c r="Q571">
        <f>IFERROR(HYPERLINK("#Main!A"&amp;MATCH(A571,Main!A:A,0),"Open"),HYPERLINK("#Main!A1","Open"))</f>
        <v/>
      </c>
      <c r="R571">
        <f>IFERROR(HYPERLINK("#Technical!A"&amp;MATCH(A571,Technical!A:A,0),"Open"),HYPERLINK("#Technical!A1","Open"))</f>
        <v/>
      </c>
    </row>
    <row r="572" ht="30" customHeight="1">
      <c r="A572" s="33" t="inlineStr">
        <is>
          <t>https://africanmarketingconfederation.org/download-brochure/</t>
        </is>
      </c>
      <c r="B572" s="24" t="inlineStr">
        <is>
          <t>Readability</t>
        </is>
      </c>
      <c r="C572" s="29" t="inlineStr">
        <is>
          <t>Info</t>
        </is>
      </c>
      <c r="D572" s="24" t="inlineStr">
        <is>
          <t>No question-style headings</t>
        </is>
      </c>
      <c r="E572" s="24" t="n">
        <v>37</v>
      </c>
      <c r="F572" s="24" t="n">
        <v>0</v>
      </c>
      <c r="G572" s="24" t="inlineStr">
        <is>
          <t>&gt;=1 where intent is informational</t>
        </is>
      </c>
      <c r="H572" s="24" t="inlineStr">
        <is>
          <t>Add at least one natural question heading (H2/H3) matching user intent.</t>
        </is>
      </c>
      <c r="I572" s="28" t="inlineStr">
        <is>
          <t>AEO</t>
        </is>
      </c>
      <c r="J572" s="24" t="inlineStr">
        <is>
          <t>Question Heading Count</t>
        </is>
      </c>
      <c r="K572" s="24" t="inlineStr">
        <is>
          <t>No</t>
        </is>
      </c>
      <c r="L572" s="24" t="inlineStr">
        <is>
          <t>Copy Writer</t>
        </is>
      </c>
      <c r="M572" s="25" t="inlineStr">
        <is>
          <t>Open</t>
        </is>
      </c>
      <c r="N572" s="24" t="n">
        <v>4</v>
      </c>
      <c r="O572" s="24" t="inlineStr">
        <is>
          <t>https://africanmarketingconfederation.org/download-brochure/::aioseo_no_question-style_headings</t>
        </is>
      </c>
      <c r="P572" s="24" t="inlineStr">
        <is>
          <t>Question headings better align with query phrasing and snippet extraction.</t>
        </is>
      </c>
      <c r="Q572">
        <f>IFERROR(HYPERLINK("#Main!A"&amp;MATCH(A572,Main!A:A,0),"Open"),HYPERLINK("#Main!A1","Open"))</f>
        <v/>
      </c>
      <c r="R572">
        <f>IFERROR(HYPERLINK("#Technical!A"&amp;MATCH(A572,Technical!A:A,0),"Open"),HYPERLINK("#Technical!A1","Open"))</f>
        <v/>
      </c>
    </row>
    <row r="573" ht="30" customHeight="1">
      <c r="A573" s="33" t="inlineStr">
        <is>
          <t>https://africanmarketingconfederation.org/download-prospectus-2024/</t>
        </is>
      </c>
      <c r="B573" s="6" t="inlineStr">
        <is>
          <t>Readability</t>
        </is>
      </c>
      <c r="C573" s="29" t="inlineStr">
        <is>
          <t>Info</t>
        </is>
      </c>
      <c r="D573" s="6" t="inlineStr">
        <is>
          <t>No question-style headings</t>
        </is>
      </c>
      <c r="E573" s="6" t="n">
        <v>37</v>
      </c>
      <c r="F573" s="6" t="n">
        <v>0</v>
      </c>
      <c r="G573" s="6" t="inlineStr">
        <is>
          <t>&gt;=1 where intent is informational</t>
        </is>
      </c>
      <c r="H573" s="6" t="inlineStr">
        <is>
          <t>Add at least one natural question heading (H2/H3) matching user intent.</t>
        </is>
      </c>
      <c r="I573" s="31" t="inlineStr">
        <is>
          <t>AEO</t>
        </is>
      </c>
      <c r="J573" s="6" t="inlineStr">
        <is>
          <t>Question Heading Count</t>
        </is>
      </c>
      <c r="K573" s="6" t="inlineStr">
        <is>
          <t>No</t>
        </is>
      </c>
      <c r="L573" s="6" t="inlineStr">
        <is>
          <t>Copy Writer</t>
        </is>
      </c>
      <c r="M573" s="25" t="inlineStr">
        <is>
          <t>Open</t>
        </is>
      </c>
      <c r="N573" s="6" t="n">
        <v>4</v>
      </c>
      <c r="O573" s="6" t="inlineStr">
        <is>
          <t>https://africanmarketingconfederation.org/download-prospectus-2024/::aioseo_no_question-style_headings</t>
        </is>
      </c>
      <c r="P573" s="6" t="inlineStr">
        <is>
          <t>Question headings better align with query phrasing and snippet extraction.</t>
        </is>
      </c>
      <c r="Q573">
        <f>IFERROR(HYPERLINK("#Main!A"&amp;MATCH(A573,Main!A:A,0),"Open"),HYPERLINK("#Main!A1","Open"))</f>
        <v/>
      </c>
      <c r="R573">
        <f>IFERROR(HYPERLINK("#Technical!A"&amp;MATCH(A573,Technical!A:A,0),"Open"),HYPERLINK("#Technical!A1","Open"))</f>
        <v/>
      </c>
    </row>
    <row r="574" ht="30" customHeight="1">
      <c r="A574" s="33" t="inlineStr">
        <is>
          <t>https://africanmarketingconfederation.org/education/</t>
        </is>
      </c>
      <c r="B574" s="24" t="inlineStr">
        <is>
          <t>Readability</t>
        </is>
      </c>
      <c r="C574" s="29" t="inlineStr">
        <is>
          <t>Info</t>
        </is>
      </c>
      <c r="D574" s="24" t="inlineStr">
        <is>
          <t>No question-style headings</t>
        </is>
      </c>
      <c r="E574" s="24" t="n">
        <v>37</v>
      </c>
      <c r="F574" s="24" t="n">
        <v>0</v>
      </c>
      <c r="G574" s="24" t="inlineStr">
        <is>
          <t>&gt;=1 where intent is informational</t>
        </is>
      </c>
      <c r="H574" s="24" t="inlineStr">
        <is>
          <t>Add at least one natural question heading (H2/H3) matching user intent.</t>
        </is>
      </c>
      <c r="I574" s="28" t="inlineStr">
        <is>
          <t>AEO</t>
        </is>
      </c>
      <c r="J574" s="24" t="inlineStr">
        <is>
          <t>Question Heading Count</t>
        </is>
      </c>
      <c r="K574" s="24" t="inlineStr">
        <is>
          <t>No</t>
        </is>
      </c>
      <c r="L574" s="24" t="inlineStr">
        <is>
          <t>Copy Writer</t>
        </is>
      </c>
      <c r="M574" s="25" t="inlineStr">
        <is>
          <t>Open</t>
        </is>
      </c>
      <c r="N574" s="24" t="n">
        <v>4</v>
      </c>
      <c r="O574" s="24" t="inlineStr">
        <is>
          <t>https://africanmarketingconfederation.org/education/::aioseo_no_question-style_headings</t>
        </is>
      </c>
      <c r="P574" s="24" t="inlineStr">
        <is>
          <t>Question headings better align with query phrasing and snippet extraction.</t>
        </is>
      </c>
      <c r="Q574">
        <f>IFERROR(HYPERLINK("#Main!A"&amp;MATCH(A574,Main!A:A,0),"Open"),HYPERLINK("#Main!A1","Open"))</f>
        <v/>
      </c>
      <c r="R574">
        <f>IFERROR(HYPERLINK("#Technical!A"&amp;MATCH(A574,Technical!A:A,0),"Open"),HYPERLINK("#Technical!A1","Open"))</f>
        <v/>
      </c>
    </row>
    <row r="575" ht="30" customHeight="1">
      <c r="A575" s="33" t="inlineStr">
        <is>
          <t>https://africanmarketingconfederation.org/elementor-16548/</t>
        </is>
      </c>
      <c r="B575" s="6" t="inlineStr">
        <is>
          <t>Readability</t>
        </is>
      </c>
      <c r="C575" s="29" t="inlineStr">
        <is>
          <t>Info</t>
        </is>
      </c>
      <c r="D575" s="6" t="inlineStr">
        <is>
          <t>No question-style headings</t>
        </is>
      </c>
      <c r="E575" s="6" t="n">
        <v>37</v>
      </c>
      <c r="F575" s="6" t="n">
        <v>0</v>
      </c>
      <c r="G575" s="6" t="inlineStr">
        <is>
          <t>&gt;=1 where intent is informational</t>
        </is>
      </c>
      <c r="H575" s="6" t="inlineStr">
        <is>
          <t>Add at least one natural question heading (H2/H3) matching user intent.</t>
        </is>
      </c>
      <c r="I575" s="31" t="inlineStr">
        <is>
          <t>AEO</t>
        </is>
      </c>
      <c r="J575" s="6" t="inlineStr">
        <is>
          <t>Question Heading Count</t>
        </is>
      </c>
      <c r="K575" s="6" t="inlineStr">
        <is>
          <t>No</t>
        </is>
      </c>
      <c r="L575" s="6" t="inlineStr">
        <is>
          <t>Copy Writer</t>
        </is>
      </c>
      <c r="M575" s="25" t="inlineStr">
        <is>
          <t>Open</t>
        </is>
      </c>
      <c r="N575" s="6" t="n">
        <v>4</v>
      </c>
      <c r="O575" s="6" t="inlineStr">
        <is>
          <t>https://africanmarketingconfederation.org/elementor-16548/::aioseo_no_question-style_headings</t>
        </is>
      </c>
      <c r="P575" s="6" t="inlineStr">
        <is>
          <t>Question headings better align with query phrasing and snippet extraction.</t>
        </is>
      </c>
      <c r="Q575">
        <f>IFERROR(HYPERLINK("#Main!A"&amp;MATCH(A575,Main!A:A,0),"Open"),HYPERLINK("#Main!A1","Open"))</f>
        <v/>
      </c>
      <c r="R575">
        <f>IFERROR(HYPERLINK("#Technical!A"&amp;MATCH(A575,Technical!A:A,0),"Open"),HYPERLINK("#Technical!A1","Open"))</f>
        <v/>
      </c>
    </row>
    <row r="576" ht="30" customHeight="1">
      <c r="A576" s="33" t="inlineStr">
        <is>
          <t>https://africanmarketingconfederation.org/elementor-20341/</t>
        </is>
      </c>
      <c r="B576" s="24" t="inlineStr">
        <is>
          <t>Readability</t>
        </is>
      </c>
      <c r="C576" s="29" t="inlineStr">
        <is>
          <t>Info</t>
        </is>
      </c>
      <c r="D576" s="24" t="inlineStr">
        <is>
          <t>No question-style headings</t>
        </is>
      </c>
      <c r="E576" s="24" t="n">
        <v>37</v>
      </c>
      <c r="F576" s="24" t="n">
        <v>0</v>
      </c>
      <c r="G576" s="24" t="inlineStr">
        <is>
          <t>&gt;=1 where intent is informational</t>
        </is>
      </c>
      <c r="H576" s="24" t="inlineStr">
        <is>
          <t>Add at least one natural question heading (H2/H3) matching user intent.</t>
        </is>
      </c>
      <c r="I576" s="28" t="inlineStr">
        <is>
          <t>AEO</t>
        </is>
      </c>
      <c r="J576" s="24" t="inlineStr">
        <is>
          <t>Question Heading Count</t>
        </is>
      </c>
      <c r="K576" s="24" t="inlineStr">
        <is>
          <t>No</t>
        </is>
      </c>
      <c r="L576" s="24" t="inlineStr">
        <is>
          <t>Copy Writer</t>
        </is>
      </c>
      <c r="M576" s="25" t="inlineStr">
        <is>
          <t>Open</t>
        </is>
      </c>
      <c r="N576" s="24" t="n">
        <v>4</v>
      </c>
      <c r="O576" s="24" t="inlineStr">
        <is>
          <t>https://africanmarketingconfederation.org/elementor-20341/::aioseo_no_question-style_headings</t>
        </is>
      </c>
      <c r="P576" s="24" t="inlineStr">
        <is>
          <t>Question headings better align with query phrasing and snippet extraction.</t>
        </is>
      </c>
      <c r="Q576">
        <f>IFERROR(HYPERLINK("#Main!A"&amp;MATCH(A576,Main!A:A,0),"Open"),HYPERLINK("#Main!A1","Open"))</f>
        <v/>
      </c>
      <c r="R576">
        <f>IFERROR(HYPERLINK("#Technical!A"&amp;MATCH(A576,Technical!A:A,0),"Open"),HYPERLINK("#Technical!A1","Open"))</f>
        <v/>
      </c>
    </row>
    <row r="577" ht="30" customHeight="1">
      <c r="A577" s="33" t="inlineStr">
        <is>
          <t>https://africanmarketingconfederation.org/elementor-31820/</t>
        </is>
      </c>
      <c r="B577" s="6" t="inlineStr">
        <is>
          <t>Readability</t>
        </is>
      </c>
      <c r="C577" s="29" t="inlineStr">
        <is>
          <t>Info</t>
        </is>
      </c>
      <c r="D577" s="6" t="inlineStr">
        <is>
          <t>No question-style headings</t>
        </is>
      </c>
      <c r="E577" s="6" t="n">
        <v>37</v>
      </c>
      <c r="F577" s="6" t="n">
        <v>0</v>
      </c>
      <c r="G577" s="6" t="inlineStr">
        <is>
          <t>&gt;=1 where intent is informational</t>
        </is>
      </c>
      <c r="H577" s="6" t="inlineStr">
        <is>
          <t>Add at least one natural question heading (H2/H3) matching user intent.</t>
        </is>
      </c>
      <c r="I577" s="31" t="inlineStr">
        <is>
          <t>AEO</t>
        </is>
      </c>
      <c r="J577" s="6" t="inlineStr">
        <is>
          <t>Question Heading Count</t>
        </is>
      </c>
      <c r="K577" s="6" t="inlineStr">
        <is>
          <t>No</t>
        </is>
      </c>
      <c r="L577" s="6" t="inlineStr">
        <is>
          <t>Copy Writer</t>
        </is>
      </c>
      <c r="M577" s="25" t="inlineStr">
        <is>
          <t>Open</t>
        </is>
      </c>
      <c r="N577" s="6" t="n">
        <v>4</v>
      </c>
      <c r="O577" s="6" t="inlineStr">
        <is>
          <t>https://africanmarketingconfederation.org/elementor-31820/::aioseo_no_question-style_headings</t>
        </is>
      </c>
      <c r="P577" s="6" t="inlineStr">
        <is>
          <t>Question headings better align with query phrasing and snippet extraction.</t>
        </is>
      </c>
      <c r="Q577">
        <f>IFERROR(HYPERLINK("#Main!A"&amp;MATCH(A577,Main!A:A,0),"Open"),HYPERLINK("#Main!A1","Open"))</f>
        <v/>
      </c>
      <c r="R577">
        <f>IFERROR(HYPERLINK("#Technical!A"&amp;MATCH(A577,Technical!A:A,0),"Open"),HYPERLINK("#Technical!A1","Open"))</f>
        <v/>
      </c>
    </row>
    <row r="578" ht="30" customHeight="1">
      <c r="A578" s="33" t="inlineStr">
        <is>
          <t>https://africanmarketingconfederation.org/general-enquiry-form-thank-you/</t>
        </is>
      </c>
      <c r="B578" s="24" t="inlineStr">
        <is>
          <t>Readability</t>
        </is>
      </c>
      <c r="C578" s="29" t="inlineStr">
        <is>
          <t>Info</t>
        </is>
      </c>
      <c r="D578" s="24" t="inlineStr">
        <is>
          <t>No question-style headings</t>
        </is>
      </c>
      <c r="E578" s="24" t="n">
        <v>37</v>
      </c>
      <c r="F578" s="24" t="n">
        <v>0</v>
      </c>
      <c r="G578" s="24" t="inlineStr">
        <is>
          <t>&gt;=1 where intent is informational</t>
        </is>
      </c>
      <c r="H578" s="24" t="inlineStr">
        <is>
          <t>Add at least one natural question heading (H2/H3) matching user intent.</t>
        </is>
      </c>
      <c r="I578" s="28" t="inlineStr">
        <is>
          <t>AEO</t>
        </is>
      </c>
      <c r="J578" s="24" t="inlineStr">
        <is>
          <t>Question Heading Count</t>
        </is>
      </c>
      <c r="K578" s="24" t="inlineStr">
        <is>
          <t>No</t>
        </is>
      </c>
      <c r="L578" s="24" t="inlineStr">
        <is>
          <t>Copy Writer</t>
        </is>
      </c>
      <c r="M578" s="25" t="inlineStr">
        <is>
          <t>Open</t>
        </is>
      </c>
      <c r="N578" s="24" t="n">
        <v>4</v>
      </c>
      <c r="O578" s="24" t="inlineStr">
        <is>
          <t>https://africanmarketingconfederation.org/general-enquiry-form-thank-you/::aioseo_no_question-style_headings</t>
        </is>
      </c>
      <c r="P578" s="24" t="inlineStr">
        <is>
          <t>Question headings better align with query phrasing and snippet extraction.</t>
        </is>
      </c>
      <c r="Q578">
        <f>IFERROR(HYPERLINK("#Main!A"&amp;MATCH(A578,Main!A:A,0),"Open"),HYPERLINK("#Main!A1","Open"))</f>
        <v/>
      </c>
      <c r="R578">
        <f>IFERROR(HYPERLINK("#Technical!A"&amp;MATCH(A578,Technical!A:A,0),"Open"),HYPERLINK("#Technical!A1","Open"))</f>
        <v/>
      </c>
    </row>
    <row r="579" ht="30" customHeight="1">
      <c r="A579" s="33" t="inlineStr">
        <is>
          <t>https://africanmarketingconfederation.org/launch-event-2026-amc-conference/</t>
        </is>
      </c>
      <c r="B579" s="6" t="inlineStr">
        <is>
          <t>Readability</t>
        </is>
      </c>
      <c r="C579" s="29" t="inlineStr">
        <is>
          <t>Info</t>
        </is>
      </c>
      <c r="D579" s="6" t="inlineStr">
        <is>
          <t>No question-style headings</t>
        </is>
      </c>
      <c r="E579" s="6" t="n">
        <v>37</v>
      </c>
      <c r="F579" s="6" t="n">
        <v>0</v>
      </c>
      <c r="G579" s="6" t="inlineStr">
        <is>
          <t>&gt;=1 where intent is informational</t>
        </is>
      </c>
      <c r="H579" s="6" t="inlineStr">
        <is>
          <t>Add at least one natural question heading (H2/H3) matching user intent.</t>
        </is>
      </c>
      <c r="I579" s="31" t="inlineStr">
        <is>
          <t>AEO</t>
        </is>
      </c>
      <c r="J579" s="6" t="inlineStr">
        <is>
          <t>Question Heading Count</t>
        </is>
      </c>
      <c r="K579" s="6" t="inlineStr">
        <is>
          <t>No</t>
        </is>
      </c>
      <c r="L579" s="6" t="inlineStr">
        <is>
          <t>Copy Writer</t>
        </is>
      </c>
      <c r="M579" s="25" t="inlineStr">
        <is>
          <t>Open</t>
        </is>
      </c>
      <c r="N579" s="6" t="n">
        <v>4</v>
      </c>
      <c r="O579" s="6" t="inlineStr">
        <is>
          <t>https://africanmarketingconfederation.org/launch-event-2026-amc-conference/::aioseo_no_question-style_headings</t>
        </is>
      </c>
      <c r="P579" s="6" t="inlineStr">
        <is>
          <t>Question headings better align with query phrasing and snippet extraction.</t>
        </is>
      </c>
      <c r="Q579">
        <f>IFERROR(HYPERLINK("#Main!A"&amp;MATCH(A579,Main!A:A,0),"Open"),HYPERLINK("#Main!A1","Open"))</f>
        <v/>
      </c>
      <c r="R579">
        <f>IFERROR(HYPERLINK("#Technical!A"&amp;MATCH(A579,Technical!A:A,0),"Open"),HYPERLINK("#Technical!A1","Open"))</f>
        <v/>
      </c>
    </row>
    <row r="580" ht="30" customHeight="1">
      <c r="A580" s="33" t="inlineStr">
        <is>
          <t>https://africanmarketingconfederation.org/members/</t>
        </is>
      </c>
      <c r="B580" s="24" t="inlineStr">
        <is>
          <t>Readability</t>
        </is>
      </c>
      <c r="C580" s="29" t="inlineStr">
        <is>
          <t>Info</t>
        </is>
      </c>
      <c r="D580" s="24" t="inlineStr">
        <is>
          <t>No question-style headings</t>
        </is>
      </c>
      <c r="E580" s="24" t="n">
        <v>37</v>
      </c>
      <c r="F580" s="24" t="n">
        <v>0</v>
      </c>
      <c r="G580" s="24" t="inlineStr">
        <is>
          <t>&gt;=1 where intent is informational</t>
        </is>
      </c>
      <c r="H580" s="24" t="inlineStr">
        <is>
          <t>Add at least one natural question heading (H2/H3) matching user intent.</t>
        </is>
      </c>
      <c r="I580" s="28" t="inlineStr">
        <is>
          <t>AEO</t>
        </is>
      </c>
      <c r="J580" s="24" t="inlineStr">
        <is>
          <t>Question Heading Count</t>
        </is>
      </c>
      <c r="K580" s="24" t="inlineStr">
        <is>
          <t>No</t>
        </is>
      </c>
      <c r="L580" s="24" t="inlineStr">
        <is>
          <t>Copy Writer</t>
        </is>
      </c>
      <c r="M580" s="25" t="inlineStr">
        <is>
          <t>Open</t>
        </is>
      </c>
      <c r="N580" s="24" t="n">
        <v>4</v>
      </c>
      <c r="O580" s="24" t="inlineStr">
        <is>
          <t>https://africanmarketingconfederation.org/members/::aioseo_no_question-style_headings</t>
        </is>
      </c>
      <c r="P580" s="24" t="inlineStr">
        <is>
          <t>Question headings better align with query phrasing and snippet extraction.</t>
        </is>
      </c>
      <c r="Q580">
        <f>IFERROR(HYPERLINK("#Main!A"&amp;MATCH(A580,Main!A:A,0),"Open"),HYPERLINK("#Main!A1","Open"))</f>
        <v/>
      </c>
      <c r="R580">
        <f>IFERROR(HYPERLINK("#Technical!A"&amp;MATCH(A580,Technical!A:A,0),"Open"),HYPERLINK("#Technical!A1","Open"))</f>
        <v/>
      </c>
    </row>
    <row r="581" ht="30" customHeight="1">
      <c r="A581" s="33" t="inlineStr">
        <is>
          <t>https://africanmarketingconfederation.org/news-articles/</t>
        </is>
      </c>
      <c r="B581" s="6" t="inlineStr">
        <is>
          <t>Readability</t>
        </is>
      </c>
      <c r="C581" s="29" t="inlineStr">
        <is>
          <t>Info</t>
        </is>
      </c>
      <c r="D581" s="6" t="inlineStr">
        <is>
          <t>No question-style headings</t>
        </is>
      </c>
      <c r="E581" s="6" t="n">
        <v>37</v>
      </c>
      <c r="F581" s="6" t="n">
        <v>0</v>
      </c>
      <c r="G581" s="6" t="inlineStr">
        <is>
          <t>&gt;=1 where intent is informational</t>
        </is>
      </c>
      <c r="H581" s="6" t="inlineStr">
        <is>
          <t>Add at least one natural question heading (H2/H3) matching user intent.</t>
        </is>
      </c>
      <c r="I581" s="31" t="inlineStr">
        <is>
          <t>AEO</t>
        </is>
      </c>
      <c r="J581" s="6" t="inlineStr">
        <is>
          <t>Question Heading Count</t>
        </is>
      </c>
      <c r="K581" s="6" t="inlineStr">
        <is>
          <t>No</t>
        </is>
      </c>
      <c r="L581" s="6" t="inlineStr">
        <is>
          <t>Copy Writer</t>
        </is>
      </c>
      <c r="M581" s="25" t="inlineStr">
        <is>
          <t>Open</t>
        </is>
      </c>
      <c r="N581" s="6" t="n">
        <v>4</v>
      </c>
      <c r="O581" s="6" t="inlineStr">
        <is>
          <t>https://africanmarketingconfederation.org/news-articles/::aioseo_no_question-style_headings</t>
        </is>
      </c>
      <c r="P581" s="6" t="inlineStr">
        <is>
          <t>Question headings better align with query phrasing and snippet extraction.</t>
        </is>
      </c>
      <c r="Q581">
        <f>IFERROR(HYPERLINK("#Main!A"&amp;MATCH(A581,Main!A:A,0),"Open"),HYPERLINK("#Main!A1","Open"))</f>
        <v/>
      </c>
      <c r="R581">
        <f>IFERROR(HYPERLINK("#Technical!A"&amp;MATCH(A581,Technical!A:A,0),"Open"),HYPERLINK("#Technical!A1","Open"))</f>
        <v/>
      </c>
    </row>
    <row r="582" ht="30" customHeight="1">
      <c r="A582" s="33" t="inlineStr">
        <is>
          <t>https://africanmarketingconfederation.org/privacy-policy/</t>
        </is>
      </c>
      <c r="B582" s="24" t="inlineStr">
        <is>
          <t>Readability</t>
        </is>
      </c>
      <c r="C582" s="29" t="inlineStr">
        <is>
          <t>Info</t>
        </is>
      </c>
      <c r="D582" s="24" t="inlineStr">
        <is>
          <t>Multiple H1 headings</t>
        </is>
      </c>
      <c r="E582" s="24" t="n">
        <v>37</v>
      </c>
      <c r="F582" s="24" t="n">
        <v>2</v>
      </c>
      <c r="G582" s="24" t="inlineStr">
        <is>
          <t>Exactly 1 H1</t>
        </is>
      </c>
      <c r="H582" s="24" t="inlineStr">
        <is>
          <t>Keep one primary H1, convert remaining top-level headings to H2/H3 where appropriate.</t>
        </is>
      </c>
      <c r="I582" s="28" t="inlineStr">
        <is>
          <t>Content</t>
        </is>
      </c>
      <c r="J582" s="24" t="inlineStr">
        <is>
          <t>Multiple H1 Flag</t>
        </is>
      </c>
      <c r="K582" s="24" t="inlineStr">
        <is>
          <t>No</t>
        </is>
      </c>
      <c r="L582" s="24" t="inlineStr">
        <is>
          <t>Copy Writer</t>
        </is>
      </c>
      <c r="M582" s="25" t="inlineStr">
        <is>
          <t>Open</t>
        </is>
      </c>
      <c r="N582" s="24" t="n">
        <v>4</v>
      </c>
      <c r="O582" s="24" t="inlineStr">
        <is>
          <t>https://africanmarketingconfederation.org/privacy-policy/::aioseo_multiple_h1_headings</t>
        </is>
      </c>
      <c r="P582" s="24" t="inlineStr">
        <is>
          <t>Multiple H1s can reduce heading hierarchy clarity.</t>
        </is>
      </c>
      <c r="Q582">
        <f>IFERROR(HYPERLINK("#Main!A"&amp;MATCH(A582,Main!A:A,0),"Open"),HYPERLINK("#Main!A1","Open"))</f>
        <v/>
      </c>
      <c r="R582">
        <f>IFERROR(HYPERLINK("#Technical!A"&amp;MATCH(A582,Technical!A:A,0),"Open"),HYPERLINK("#Technical!A1","Open"))</f>
        <v/>
      </c>
    </row>
    <row r="583" ht="30" customHeight="1">
      <c r="A583" s="33" t="inlineStr">
        <is>
          <t>https://africanmarketingconfederation.org/privacy-policy/</t>
        </is>
      </c>
      <c r="B583" s="6" t="inlineStr">
        <is>
          <t>Readability</t>
        </is>
      </c>
      <c r="C583" s="29" t="inlineStr">
        <is>
          <t>Info</t>
        </is>
      </c>
      <c r="D583" s="6" t="inlineStr">
        <is>
          <t>No question-style headings</t>
        </is>
      </c>
      <c r="E583" s="6" t="n">
        <v>37</v>
      </c>
      <c r="F583" s="6" t="n">
        <v>0</v>
      </c>
      <c r="G583" s="6" t="inlineStr">
        <is>
          <t>&gt;=1 where intent is informational</t>
        </is>
      </c>
      <c r="H583" s="6" t="inlineStr">
        <is>
          <t>Add at least one natural question heading (H2/H3) matching user intent.</t>
        </is>
      </c>
      <c r="I583" s="31" t="inlineStr">
        <is>
          <t>AEO</t>
        </is>
      </c>
      <c r="J583" s="6" t="inlineStr">
        <is>
          <t>Question Heading Count</t>
        </is>
      </c>
      <c r="K583" s="6" t="inlineStr">
        <is>
          <t>No</t>
        </is>
      </c>
      <c r="L583" s="6" t="inlineStr">
        <is>
          <t>Copy Writer</t>
        </is>
      </c>
      <c r="M583" s="25" t="inlineStr">
        <is>
          <t>Open</t>
        </is>
      </c>
      <c r="N583" s="6" t="n">
        <v>4</v>
      </c>
      <c r="O583" s="6" t="inlineStr">
        <is>
          <t>https://africanmarketingconfederation.org/privacy-policy/::aioseo_no_question-style_headings</t>
        </is>
      </c>
      <c r="P583" s="6" t="inlineStr">
        <is>
          <t>Question headings better align with query phrasing and snippet extraction.</t>
        </is>
      </c>
      <c r="Q583">
        <f>IFERROR(HYPERLINK("#Main!A"&amp;MATCH(A583,Main!A:A,0),"Open"),HYPERLINK("#Main!A1","Open"))</f>
        <v/>
      </c>
      <c r="R583">
        <f>IFERROR(HYPERLINK("#Technical!A"&amp;MATCH(A583,Technical!A:A,0),"Open"),HYPERLINK("#Technical!A1","Open"))</f>
        <v/>
      </c>
    </row>
    <row r="584" ht="30" customHeight="1">
      <c r="A584" s="33" t="inlineStr">
        <is>
          <t>https://africanmarketingconfederation.org/publication-download-list/</t>
        </is>
      </c>
      <c r="B584" s="24" t="inlineStr">
        <is>
          <t>Readability</t>
        </is>
      </c>
      <c r="C584" s="29" t="inlineStr">
        <is>
          <t>Info</t>
        </is>
      </c>
      <c r="D584" s="24" t="inlineStr">
        <is>
          <t>No question-style headings</t>
        </is>
      </c>
      <c r="E584" s="24" t="n">
        <v>37</v>
      </c>
      <c r="F584" s="24" t="n">
        <v>0</v>
      </c>
      <c r="G584" s="24" t="inlineStr">
        <is>
          <t>&gt;=1 where intent is informational</t>
        </is>
      </c>
      <c r="H584" s="24" t="inlineStr">
        <is>
          <t>Add at least one natural question heading (H2/H3) matching user intent.</t>
        </is>
      </c>
      <c r="I584" s="28" t="inlineStr">
        <is>
          <t>AEO</t>
        </is>
      </c>
      <c r="J584" s="24" t="inlineStr">
        <is>
          <t>Question Heading Count</t>
        </is>
      </c>
      <c r="K584" s="24" t="inlineStr">
        <is>
          <t>No</t>
        </is>
      </c>
      <c r="L584" s="24" t="inlineStr">
        <is>
          <t>Copy Writer</t>
        </is>
      </c>
      <c r="M584" s="25" t="inlineStr">
        <is>
          <t>Open</t>
        </is>
      </c>
      <c r="N584" s="24" t="n">
        <v>4</v>
      </c>
      <c r="O584" s="24" t="inlineStr">
        <is>
          <t>https://africanmarketingconfederation.org/publication-download-list/::aioseo_no_question-style_headings</t>
        </is>
      </c>
      <c r="P584" s="24" t="inlineStr">
        <is>
          <t>Question headings better align with query phrasing and snippet extraction.</t>
        </is>
      </c>
      <c r="Q584">
        <f>IFERROR(HYPERLINK("#Main!A"&amp;MATCH(A584,Main!A:A,0),"Open"),HYPERLINK("#Main!A1","Open"))</f>
        <v/>
      </c>
      <c r="R584">
        <f>IFERROR(HYPERLINK("#Technical!A"&amp;MATCH(A584,Technical!A:A,0),"Open"),HYPERLINK("#Technical!A1","Open"))</f>
        <v/>
      </c>
    </row>
    <row r="585" ht="30" customHeight="1">
      <c r="A585" s="33" t="inlineStr">
        <is>
          <t>https://africanmarketingconfederation.org/publications-2/</t>
        </is>
      </c>
      <c r="B585" s="6" t="inlineStr">
        <is>
          <t>Readability</t>
        </is>
      </c>
      <c r="C585" s="29" t="inlineStr">
        <is>
          <t>Info</t>
        </is>
      </c>
      <c r="D585" s="6" t="inlineStr">
        <is>
          <t>No question-style headings</t>
        </is>
      </c>
      <c r="E585" s="6" t="n">
        <v>37</v>
      </c>
      <c r="F585" s="6" t="n">
        <v>0</v>
      </c>
      <c r="G585" s="6" t="inlineStr">
        <is>
          <t>&gt;=1 where intent is informational</t>
        </is>
      </c>
      <c r="H585" s="6" t="inlineStr">
        <is>
          <t>Add at least one natural question heading (H2/H3) matching user intent.</t>
        </is>
      </c>
      <c r="I585" s="31" t="inlineStr">
        <is>
          <t>AEO</t>
        </is>
      </c>
      <c r="J585" s="6" t="inlineStr">
        <is>
          <t>Question Heading Count</t>
        </is>
      </c>
      <c r="K585" s="6" t="inlineStr">
        <is>
          <t>No</t>
        </is>
      </c>
      <c r="L585" s="6" t="inlineStr">
        <is>
          <t>Copy Writer</t>
        </is>
      </c>
      <c r="M585" s="25" t="inlineStr">
        <is>
          <t>Open</t>
        </is>
      </c>
      <c r="N585" s="6" t="n">
        <v>4</v>
      </c>
      <c r="O585" s="6" t="inlineStr">
        <is>
          <t>https://africanmarketingconfederation.org/publications-2/::aioseo_no_question-style_headings</t>
        </is>
      </c>
      <c r="P585" s="6" t="inlineStr">
        <is>
          <t>Question headings better align with query phrasing and snippet extraction.</t>
        </is>
      </c>
      <c r="Q585">
        <f>IFERROR(HYPERLINK("#Main!A"&amp;MATCH(A585,Main!A:A,0),"Open"),HYPERLINK("#Main!A1","Open"))</f>
        <v/>
      </c>
      <c r="R585">
        <f>IFERROR(HYPERLINK("#Technical!A"&amp;MATCH(A585,Technical!A:A,0),"Open"),HYPERLINK("#Technical!A1","Open"))</f>
        <v/>
      </c>
    </row>
    <row r="586" ht="30" customHeight="1">
      <c r="A586" s="33" t="inlineStr">
        <is>
          <t>https://africanmarketingconfederation.org/speakers-2025/</t>
        </is>
      </c>
      <c r="B586" s="24" t="inlineStr">
        <is>
          <t>Readability</t>
        </is>
      </c>
      <c r="C586" s="29" t="inlineStr">
        <is>
          <t>Info</t>
        </is>
      </c>
      <c r="D586" s="24" t="inlineStr">
        <is>
          <t>Multiple H1 headings</t>
        </is>
      </c>
      <c r="E586" s="24" t="n">
        <v>37</v>
      </c>
      <c r="F586" s="24" t="n">
        <v>9</v>
      </c>
      <c r="G586" s="24" t="inlineStr">
        <is>
          <t>Exactly 1 H1</t>
        </is>
      </c>
      <c r="H586" s="24" t="inlineStr">
        <is>
          <t>Keep one primary H1, convert remaining top-level headings to H2/H3 where appropriate.</t>
        </is>
      </c>
      <c r="I586" s="28" t="inlineStr">
        <is>
          <t>Content</t>
        </is>
      </c>
      <c r="J586" s="24" t="inlineStr">
        <is>
          <t>Multiple H1 Flag</t>
        </is>
      </c>
      <c r="K586" s="24" t="inlineStr">
        <is>
          <t>No</t>
        </is>
      </c>
      <c r="L586" s="24" t="inlineStr">
        <is>
          <t>Copy Writer</t>
        </is>
      </c>
      <c r="M586" s="25" t="inlineStr">
        <is>
          <t>Open</t>
        </is>
      </c>
      <c r="N586" s="24" t="n">
        <v>4</v>
      </c>
      <c r="O586" s="24" t="inlineStr">
        <is>
          <t>https://africanmarketingconfederation.org/speakers-2025/::aioseo_multiple_h1_headings</t>
        </is>
      </c>
      <c r="P586" s="24" t="inlineStr">
        <is>
          <t>Multiple H1s can reduce heading hierarchy clarity.</t>
        </is>
      </c>
      <c r="Q586">
        <f>IFERROR(HYPERLINK("#Main!A"&amp;MATCH(A586,Main!A:A,0),"Open"),HYPERLINK("#Main!A1","Open"))</f>
        <v/>
      </c>
      <c r="R586">
        <f>IFERROR(HYPERLINK("#Technical!A"&amp;MATCH(A586,Technical!A:A,0),"Open"),HYPERLINK("#Technical!A1","Open"))</f>
        <v/>
      </c>
    </row>
    <row r="587" ht="30" customHeight="1">
      <c r="A587" s="33" t="inlineStr">
        <is>
          <t>https://africanmarketingconfederation.org/speakers-2025/</t>
        </is>
      </c>
      <c r="B587" s="6" t="inlineStr">
        <is>
          <t>Readability</t>
        </is>
      </c>
      <c r="C587" s="29" t="inlineStr">
        <is>
          <t>Info</t>
        </is>
      </c>
      <c r="D587" s="6" t="inlineStr">
        <is>
          <t>No question-style headings</t>
        </is>
      </c>
      <c r="E587" s="6" t="n">
        <v>37</v>
      </c>
      <c r="F587" s="6" t="n">
        <v>0</v>
      </c>
      <c r="G587" s="6" t="inlineStr">
        <is>
          <t>&gt;=1 where intent is informational</t>
        </is>
      </c>
      <c r="H587" s="6" t="inlineStr">
        <is>
          <t>Add at least one natural question heading (H2/H3) matching user intent.</t>
        </is>
      </c>
      <c r="I587" s="31" t="inlineStr">
        <is>
          <t>AEO</t>
        </is>
      </c>
      <c r="J587" s="6" t="inlineStr">
        <is>
          <t>Question Heading Count</t>
        </is>
      </c>
      <c r="K587" s="6" t="inlineStr">
        <is>
          <t>No</t>
        </is>
      </c>
      <c r="L587" s="6" t="inlineStr">
        <is>
          <t>Copy Writer</t>
        </is>
      </c>
      <c r="M587" s="25" t="inlineStr">
        <is>
          <t>Open</t>
        </is>
      </c>
      <c r="N587" s="6" t="n">
        <v>4</v>
      </c>
      <c r="O587" s="6" t="inlineStr">
        <is>
          <t>https://africanmarketingconfederation.org/speakers-2025/::aioseo_no_question-style_headings</t>
        </is>
      </c>
      <c r="P587" s="6" t="inlineStr">
        <is>
          <t>Question headings better align with query phrasing and snippet extraction.</t>
        </is>
      </c>
      <c r="Q587">
        <f>IFERROR(HYPERLINK("#Main!A"&amp;MATCH(A587,Main!A:A,0),"Open"),HYPERLINK("#Main!A1","Open"))</f>
        <v/>
      </c>
      <c r="R587">
        <f>IFERROR(HYPERLINK("#Technical!A"&amp;MATCH(A587,Technical!A:A,0),"Open"),HYPERLINK("#Technical!A1","Open"))</f>
        <v/>
      </c>
    </row>
    <row r="588" ht="30" customHeight="1">
      <c r="A588" s="33" t="inlineStr">
        <is>
          <t>https://africanmarketingconfederation.org/speakers/</t>
        </is>
      </c>
      <c r="B588" s="24" t="inlineStr">
        <is>
          <t>Readability</t>
        </is>
      </c>
      <c r="C588" s="29" t="inlineStr">
        <is>
          <t>Info</t>
        </is>
      </c>
      <c r="D588" s="24" t="inlineStr">
        <is>
          <t>No question-style headings</t>
        </is>
      </c>
      <c r="E588" s="24" t="n">
        <v>37</v>
      </c>
      <c r="F588" s="24" t="n">
        <v>0</v>
      </c>
      <c r="G588" s="24" t="inlineStr">
        <is>
          <t>&gt;=1 where intent is informational</t>
        </is>
      </c>
      <c r="H588" s="24" t="inlineStr">
        <is>
          <t>Add at least one natural question heading (H2/H3) matching user intent.</t>
        </is>
      </c>
      <c r="I588" s="28" t="inlineStr">
        <is>
          <t>AEO</t>
        </is>
      </c>
      <c r="J588" s="24" t="inlineStr">
        <is>
          <t>Question Heading Count</t>
        </is>
      </c>
      <c r="K588" s="24" t="inlineStr">
        <is>
          <t>No</t>
        </is>
      </c>
      <c r="L588" s="24" t="inlineStr">
        <is>
          <t>Copy Writer</t>
        </is>
      </c>
      <c r="M588" s="25" t="inlineStr">
        <is>
          <t>Open</t>
        </is>
      </c>
      <c r="N588" s="24" t="n">
        <v>4</v>
      </c>
      <c r="O588" s="24" t="inlineStr">
        <is>
          <t>https://africanmarketingconfederation.org/speakers/::aioseo_no_question-style_headings</t>
        </is>
      </c>
      <c r="P588" s="24" t="inlineStr">
        <is>
          <t>Question headings better align with query phrasing and snippet extraction.</t>
        </is>
      </c>
      <c r="Q588">
        <f>IFERROR(HYPERLINK("#Main!A"&amp;MATCH(A588,Main!A:A,0),"Open"),HYPERLINK("#Main!A1","Open"))</f>
        <v/>
      </c>
      <c r="R588">
        <f>IFERROR(HYPERLINK("#Technical!A"&amp;MATCH(A588,Technical!A:A,0),"Open"),HYPERLINK("#Technical!A1","Open"))</f>
        <v/>
      </c>
    </row>
    <row r="589" ht="30" customHeight="1">
      <c r="A589" s="33" t="inlineStr">
        <is>
          <t>https://africanmarketingconfederation.org/sub-committees/</t>
        </is>
      </c>
      <c r="B589" s="6" t="inlineStr">
        <is>
          <t>Readability</t>
        </is>
      </c>
      <c r="C589" s="29" t="inlineStr">
        <is>
          <t>Info</t>
        </is>
      </c>
      <c r="D589" s="6" t="inlineStr">
        <is>
          <t>No question-style headings</t>
        </is>
      </c>
      <c r="E589" s="6" t="n">
        <v>37</v>
      </c>
      <c r="F589" s="6" t="n">
        <v>0</v>
      </c>
      <c r="G589" s="6" t="inlineStr">
        <is>
          <t>&gt;=1 where intent is informational</t>
        </is>
      </c>
      <c r="H589" s="6" t="inlineStr">
        <is>
          <t>Add at least one natural question heading (H2/H3) matching user intent.</t>
        </is>
      </c>
      <c r="I589" s="31" t="inlineStr">
        <is>
          <t>AEO</t>
        </is>
      </c>
      <c r="J589" s="6" t="inlineStr">
        <is>
          <t>Question Heading Count</t>
        </is>
      </c>
      <c r="K589" s="6" t="inlineStr">
        <is>
          <t>No</t>
        </is>
      </c>
      <c r="L589" s="6" t="inlineStr">
        <is>
          <t>Copy Writer</t>
        </is>
      </c>
      <c r="M589" s="25" t="inlineStr">
        <is>
          <t>Open</t>
        </is>
      </c>
      <c r="N589" s="6" t="n">
        <v>4</v>
      </c>
      <c r="O589" s="6" t="inlineStr">
        <is>
          <t>https://africanmarketingconfederation.org/sub-committees/::aioseo_no_question-style_headings</t>
        </is>
      </c>
      <c r="P589" s="6" t="inlineStr">
        <is>
          <t>Question headings better align with query phrasing and snippet extraction.</t>
        </is>
      </c>
      <c r="Q589">
        <f>IFERROR(HYPERLINK("#Main!A"&amp;MATCH(A589,Main!A:A,0),"Open"),HYPERLINK("#Main!A1","Open"))</f>
        <v/>
      </c>
      <c r="R589">
        <f>IFERROR(HYPERLINK("#Technical!A"&amp;MATCH(A589,Technical!A:A,0),"Open"),HYPERLINK("#Technical!A1","Open"))</f>
        <v/>
      </c>
    </row>
    <row r="590" ht="30" customHeight="1">
      <c r="A590" s="33" t="inlineStr">
        <is>
          <t>https://africanmarketingconfederation.org/subscribe/</t>
        </is>
      </c>
      <c r="B590" s="24" t="inlineStr">
        <is>
          <t>Readability</t>
        </is>
      </c>
      <c r="C590" s="29" t="inlineStr">
        <is>
          <t>Info</t>
        </is>
      </c>
      <c r="D590" s="24" t="inlineStr">
        <is>
          <t>No question-style headings</t>
        </is>
      </c>
      <c r="E590" s="24" t="n">
        <v>37</v>
      </c>
      <c r="F590" s="24" t="n">
        <v>0</v>
      </c>
      <c r="G590" s="24" t="inlineStr">
        <is>
          <t>&gt;=1 where intent is informational</t>
        </is>
      </c>
      <c r="H590" s="24" t="inlineStr">
        <is>
          <t>Add at least one natural question heading (H2/H3) matching user intent.</t>
        </is>
      </c>
      <c r="I590" s="28" t="inlineStr">
        <is>
          <t>AEO</t>
        </is>
      </c>
      <c r="J590" s="24" t="inlineStr">
        <is>
          <t>Question Heading Count</t>
        </is>
      </c>
      <c r="K590" s="24" t="inlineStr">
        <is>
          <t>No</t>
        </is>
      </c>
      <c r="L590" s="24" t="inlineStr">
        <is>
          <t>Copy Writer</t>
        </is>
      </c>
      <c r="M590" s="25" t="inlineStr">
        <is>
          <t>Open</t>
        </is>
      </c>
      <c r="N590" s="24" t="n">
        <v>4</v>
      </c>
      <c r="O590" s="24" t="inlineStr">
        <is>
          <t>https://africanmarketingconfederation.org/subscribe/::aioseo_no_question-style_headings</t>
        </is>
      </c>
      <c r="P590" s="24" t="inlineStr">
        <is>
          <t>Question headings better align with query phrasing and snippet extraction.</t>
        </is>
      </c>
      <c r="Q590">
        <f>IFERROR(HYPERLINK("#Main!A"&amp;MATCH(A590,Main!A:A,0),"Open"),HYPERLINK("#Main!A1","Open"))</f>
        <v/>
      </c>
      <c r="R590">
        <f>IFERROR(HYPERLINK("#Technical!A"&amp;MATCH(A590,Technical!A:A,0),"Open"),HYPERLINK("#Technical!A1","Open"))</f>
        <v/>
      </c>
    </row>
    <row r="591" ht="30" customHeight="1">
      <c r="A591" s="33" t="inlineStr">
        <is>
          <t>https://africanmarketingconfederation.org/test-homeslider/</t>
        </is>
      </c>
      <c r="B591" s="6" t="inlineStr">
        <is>
          <t>Readability</t>
        </is>
      </c>
      <c r="C591" s="29" t="inlineStr">
        <is>
          <t>Info</t>
        </is>
      </c>
      <c r="D591" s="6" t="inlineStr">
        <is>
          <t>No question-style headings</t>
        </is>
      </c>
      <c r="E591" s="6" t="n">
        <v>37</v>
      </c>
      <c r="F591" s="6" t="n">
        <v>0</v>
      </c>
      <c r="G591" s="6" t="inlineStr">
        <is>
          <t>&gt;=1 where intent is informational</t>
        </is>
      </c>
      <c r="H591" s="6" t="inlineStr">
        <is>
          <t>Add at least one natural question heading (H2/H3) matching user intent.</t>
        </is>
      </c>
      <c r="I591" s="31" t="inlineStr">
        <is>
          <t>AEO</t>
        </is>
      </c>
      <c r="J591" s="6" t="inlineStr">
        <is>
          <t>Question Heading Count</t>
        </is>
      </c>
      <c r="K591" s="6" t="inlineStr">
        <is>
          <t>No</t>
        </is>
      </c>
      <c r="L591" s="6" t="inlineStr">
        <is>
          <t>Copy Writer</t>
        </is>
      </c>
      <c r="M591" s="25" t="inlineStr">
        <is>
          <t>Open</t>
        </is>
      </c>
      <c r="N591" s="6" t="n">
        <v>4</v>
      </c>
      <c r="O591" s="6" t="inlineStr">
        <is>
          <t>https://africanmarketingconfederation.org/test-homeslider/::aioseo_no_question-style_headings</t>
        </is>
      </c>
      <c r="P591" s="6" t="inlineStr">
        <is>
          <t>Question headings better align with query phrasing and snippet extraction.</t>
        </is>
      </c>
      <c r="Q591">
        <f>IFERROR(HYPERLINK("#Main!A"&amp;MATCH(A591,Main!A:A,0),"Open"),HYPERLINK("#Main!A1","Open"))</f>
        <v/>
      </c>
      <c r="R591">
        <f>IFERROR(HYPERLINK("#Technical!A"&amp;MATCH(A591,Technical!A:A,0),"Open"),HYPERLINK("#Technical!A1","Open"))</f>
        <v/>
      </c>
    </row>
    <row r="592" ht="30" customHeight="1">
      <c r="A592" s="33" t="inlineStr">
        <is>
          <t>https://africanmarketingconfederation.org/test-payment-gate/</t>
        </is>
      </c>
      <c r="B592" s="24" t="inlineStr">
        <is>
          <t>Readability</t>
        </is>
      </c>
      <c r="C592" s="29" t="inlineStr">
        <is>
          <t>Info</t>
        </is>
      </c>
      <c r="D592" s="24" t="inlineStr">
        <is>
          <t>No question-style headings</t>
        </is>
      </c>
      <c r="E592" s="24" t="n">
        <v>37</v>
      </c>
      <c r="F592" s="24" t="n">
        <v>0</v>
      </c>
      <c r="G592" s="24" t="inlineStr">
        <is>
          <t>&gt;=1 where intent is informational</t>
        </is>
      </c>
      <c r="H592" s="24" t="inlineStr">
        <is>
          <t>Add at least one natural question heading (H2/H3) matching user intent.</t>
        </is>
      </c>
      <c r="I592" s="28" t="inlineStr">
        <is>
          <t>AEO</t>
        </is>
      </c>
      <c r="J592" s="24" t="inlineStr">
        <is>
          <t>Question Heading Count</t>
        </is>
      </c>
      <c r="K592" s="24" t="inlineStr">
        <is>
          <t>No</t>
        </is>
      </c>
      <c r="L592" s="24" t="inlineStr">
        <is>
          <t>Copy Writer</t>
        </is>
      </c>
      <c r="M592" s="25" t="inlineStr">
        <is>
          <t>Open</t>
        </is>
      </c>
      <c r="N592" s="24" t="n">
        <v>4</v>
      </c>
      <c r="O592" s="24" t="inlineStr">
        <is>
          <t>https://africanmarketingconfederation.org/test-payment-gate/::aioseo_no_question-style_headings</t>
        </is>
      </c>
      <c r="P592" s="24" t="inlineStr">
        <is>
          <t>Question headings better align with query phrasing and snippet extraction.</t>
        </is>
      </c>
      <c r="Q592">
        <f>IFERROR(HYPERLINK("#Main!A"&amp;MATCH(A592,Main!A:A,0),"Open"),HYPERLINK("#Main!A1","Open"))</f>
        <v/>
      </c>
      <c r="R592">
        <f>IFERROR(HYPERLINK("#Technical!A"&amp;MATCH(A592,Technical!A:A,0),"Open"),HYPERLINK("#Technical!A1","Open"))</f>
        <v/>
      </c>
    </row>
    <row r="593" ht="30" customHeight="1">
      <c r="A593" s="33" t="inlineStr">
        <is>
          <t>https://africanmarketingconfederation.org/thank-you-for-registering-2024-registrations-kenya/</t>
        </is>
      </c>
      <c r="B593" s="6" t="inlineStr">
        <is>
          <t>Readability</t>
        </is>
      </c>
      <c r="C593" s="29" t="inlineStr">
        <is>
          <t>Info</t>
        </is>
      </c>
      <c r="D593" s="6" t="inlineStr">
        <is>
          <t>No question-style headings</t>
        </is>
      </c>
      <c r="E593" s="6" t="n">
        <v>37</v>
      </c>
      <c r="F593" s="6" t="n">
        <v>0</v>
      </c>
      <c r="G593" s="6" t="inlineStr">
        <is>
          <t>&gt;=1 where intent is informational</t>
        </is>
      </c>
      <c r="H593" s="6" t="inlineStr">
        <is>
          <t>Add at least one natural question heading (H2/H3) matching user intent.</t>
        </is>
      </c>
      <c r="I593" s="31" t="inlineStr">
        <is>
          <t>AEO</t>
        </is>
      </c>
      <c r="J593" s="6" t="inlineStr">
        <is>
          <t>Question Heading Count</t>
        </is>
      </c>
      <c r="K593" s="6" t="inlineStr">
        <is>
          <t>No</t>
        </is>
      </c>
      <c r="L593" s="6" t="inlineStr">
        <is>
          <t>Copy Writer</t>
        </is>
      </c>
      <c r="M593" s="25" t="inlineStr">
        <is>
          <t>Open</t>
        </is>
      </c>
      <c r="N593" s="6" t="n">
        <v>4</v>
      </c>
      <c r="O593" s="6" t="inlineStr">
        <is>
          <t>https://africanmarketingconfederation.org/thank-you-for-registering-2024-registrations-kenya/::aioseo_no_question-style_headings</t>
        </is>
      </c>
      <c r="P593" s="6" t="inlineStr">
        <is>
          <t>Question headings better align with query phrasing and snippet extraction.</t>
        </is>
      </c>
      <c r="Q593">
        <f>IFERROR(HYPERLINK("#Main!A"&amp;MATCH(A593,Main!A:A,0),"Open"),HYPERLINK("#Main!A1","Open"))</f>
        <v/>
      </c>
      <c r="R593">
        <f>IFERROR(HYPERLINK("#Technical!A"&amp;MATCH(A593,Technical!A:A,0),"Open"),HYPERLINK("#Technical!A1","Open"))</f>
        <v/>
      </c>
    </row>
    <row r="594" ht="30" customHeight="1">
      <c r="A594" s="33" t="inlineStr">
        <is>
          <t>https://africanmarketingconfederation.org/thank-you-for-registering-2024-registrations/</t>
        </is>
      </c>
      <c r="B594" s="24" t="inlineStr">
        <is>
          <t>Readability</t>
        </is>
      </c>
      <c r="C594" s="29" t="inlineStr">
        <is>
          <t>Info</t>
        </is>
      </c>
      <c r="D594" s="24" t="inlineStr">
        <is>
          <t>No question-style headings</t>
        </is>
      </c>
      <c r="E594" s="24" t="n">
        <v>37</v>
      </c>
      <c r="F594" s="24" t="n">
        <v>0</v>
      </c>
      <c r="G594" s="24" t="inlineStr">
        <is>
          <t>&gt;=1 where intent is informational</t>
        </is>
      </c>
      <c r="H594" s="24" t="inlineStr">
        <is>
          <t>Add at least one natural question heading (H2/H3) matching user intent.</t>
        </is>
      </c>
      <c r="I594" s="28" t="inlineStr">
        <is>
          <t>AEO</t>
        </is>
      </c>
      <c r="J594" s="24" t="inlineStr">
        <is>
          <t>Question Heading Count</t>
        </is>
      </c>
      <c r="K594" s="24" t="inlineStr">
        <is>
          <t>No</t>
        </is>
      </c>
      <c r="L594" s="24" t="inlineStr">
        <is>
          <t>Copy Writer</t>
        </is>
      </c>
      <c r="M594" s="25" t="inlineStr">
        <is>
          <t>Open</t>
        </is>
      </c>
      <c r="N594" s="24" t="n">
        <v>4</v>
      </c>
      <c r="O594" s="24" t="inlineStr">
        <is>
          <t>https://africanmarketingconfederation.org/thank-you-for-registering-2024-registrations/::aioseo_no_question-style_headings</t>
        </is>
      </c>
      <c r="P594" s="24" t="inlineStr">
        <is>
          <t>Question headings better align with query phrasing and snippet extraction.</t>
        </is>
      </c>
      <c r="Q594">
        <f>IFERROR(HYPERLINK("#Main!A"&amp;MATCH(A594,Main!A:A,0),"Open"),HYPERLINK("#Main!A1","Open"))</f>
        <v/>
      </c>
      <c r="R594">
        <f>IFERROR(HYPERLINK("#Technical!A"&amp;MATCH(A594,Technical!A:A,0),"Open"),HYPERLINK("#Technical!A1","Open"))</f>
        <v/>
      </c>
    </row>
    <row r="595" ht="30" customHeight="1">
      <c r="A595" s="33" t="inlineStr">
        <is>
          <t>https://africanmarketingconfederation.org/thank-you-for-subscribing/</t>
        </is>
      </c>
      <c r="B595" s="6" t="inlineStr">
        <is>
          <t>Readability</t>
        </is>
      </c>
      <c r="C595" s="29" t="inlineStr">
        <is>
          <t>Info</t>
        </is>
      </c>
      <c r="D595" s="6" t="inlineStr">
        <is>
          <t>No question-style headings</t>
        </is>
      </c>
      <c r="E595" s="6" t="n">
        <v>37</v>
      </c>
      <c r="F595" s="6" t="n">
        <v>0</v>
      </c>
      <c r="G595" s="6" t="inlineStr">
        <is>
          <t>&gt;=1 where intent is informational</t>
        </is>
      </c>
      <c r="H595" s="6" t="inlineStr">
        <is>
          <t>Add at least one natural question heading (H2/H3) matching user intent.</t>
        </is>
      </c>
      <c r="I595" s="31" t="inlineStr">
        <is>
          <t>AEO</t>
        </is>
      </c>
      <c r="J595" s="6" t="inlineStr">
        <is>
          <t>Question Heading Count</t>
        </is>
      </c>
      <c r="K595" s="6" t="inlineStr">
        <is>
          <t>No</t>
        </is>
      </c>
      <c r="L595" s="6" t="inlineStr">
        <is>
          <t>Copy Writer</t>
        </is>
      </c>
      <c r="M595" s="25" t="inlineStr">
        <is>
          <t>Open</t>
        </is>
      </c>
      <c r="N595" s="6" t="n">
        <v>4</v>
      </c>
      <c r="O595" s="6" t="inlineStr">
        <is>
          <t>https://africanmarketingconfederation.org/thank-you-for-subscribing/::aioseo_no_question-style_headings</t>
        </is>
      </c>
      <c r="P595" s="6" t="inlineStr">
        <is>
          <t>Question headings better align with query phrasing and snippet extraction.</t>
        </is>
      </c>
      <c r="Q595">
        <f>IFERROR(HYPERLINK("#Main!A"&amp;MATCH(A595,Main!A:A,0),"Open"),HYPERLINK("#Main!A1","Open"))</f>
        <v/>
      </c>
      <c r="R595">
        <f>IFERROR(HYPERLINK("#Technical!A"&amp;MATCH(A595,Technical!A:A,0),"Open"),HYPERLINK("#Technical!A1","Open"))</f>
        <v/>
      </c>
    </row>
    <row r="596" ht="30" customHeight="1">
      <c r="A596" s="33" t="inlineStr">
        <is>
          <t>https://africanmarketingconfederation.org/thank-you-for-the-nomination-2024/</t>
        </is>
      </c>
      <c r="B596" s="24" t="inlineStr">
        <is>
          <t>Readability</t>
        </is>
      </c>
      <c r="C596" s="29" t="inlineStr">
        <is>
          <t>Info</t>
        </is>
      </c>
      <c r="D596" s="24" t="inlineStr">
        <is>
          <t>No question-style headings</t>
        </is>
      </c>
      <c r="E596" s="24" t="n">
        <v>37</v>
      </c>
      <c r="F596" s="24" t="n">
        <v>0</v>
      </c>
      <c r="G596" s="24" t="inlineStr">
        <is>
          <t>&gt;=1 where intent is informational</t>
        </is>
      </c>
      <c r="H596" s="24" t="inlineStr">
        <is>
          <t>Add at least one natural question heading (H2/H3) matching user intent.</t>
        </is>
      </c>
      <c r="I596" s="28" t="inlineStr">
        <is>
          <t>AEO</t>
        </is>
      </c>
      <c r="J596" s="24" t="inlineStr">
        <is>
          <t>Question Heading Count</t>
        </is>
      </c>
      <c r="K596" s="24" t="inlineStr">
        <is>
          <t>No</t>
        </is>
      </c>
      <c r="L596" s="24" t="inlineStr">
        <is>
          <t>Copy Writer</t>
        </is>
      </c>
      <c r="M596" s="25" t="inlineStr">
        <is>
          <t>Open</t>
        </is>
      </c>
      <c r="N596" s="24" t="n">
        <v>4</v>
      </c>
      <c r="O596" s="24" t="inlineStr">
        <is>
          <t>https://africanmarketingconfederation.org/thank-you-for-the-nomination-2024/::aioseo_no_question-style_headings</t>
        </is>
      </c>
      <c r="P596" s="24" t="inlineStr">
        <is>
          <t>Question headings better align with query phrasing and snippet extraction.</t>
        </is>
      </c>
      <c r="Q596">
        <f>IFERROR(HYPERLINK("#Main!A"&amp;MATCH(A596,Main!A:A,0),"Open"),HYPERLINK("#Main!A1","Open"))</f>
        <v/>
      </c>
      <c r="R596">
        <f>IFERROR(HYPERLINK("#Technical!A"&amp;MATCH(A596,Technical!A:A,0),"Open"),HYPERLINK("#Technical!A1","Open"))</f>
        <v/>
      </c>
    </row>
    <row r="597" ht="30" customHeight="1">
      <c r="A597" s="33" t="inlineStr">
        <is>
          <t>https://africanmarketingconfederation.org/thank-you-for-the-submission-2024/</t>
        </is>
      </c>
      <c r="B597" s="6" t="inlineStr">
        <is>
          <t>Readability</t>
        </is>
      </c>
      <c r="C597" s="29" t="inlineStr">
        <is>
          <t>Info</t>
        </is>
      </c>
      <c r="D597" s="6" t="inlineStr">
        <is>
          <t>No question-style headings</t>
        </is>
      </c>
      <c r="E597" s="6" t="n">
        <v>37</v>
      </c>
      <c r="F597" s="6" t="n">
        <v>0</v>
      </c>
      <c r="G597" s="6" t="inlineStr">
        <is>
          <t>&gt;=1 where intent is informational</t>
        </is>
      </c>
      <c r="H597" s="6" t="inlineStr">
        <is>
          <t>Add at least one natural question heading (H2/H3) matching user intent.</t>
        </is>
      </c>
      <c r="I597" s="31" t="inlineStr">
        <is>
          <t>AEO</t>
        </is>
      </c>
      <c r="J597" s="6" t="inlineStr">
        <is>
          <t>Question Heading Count</t>
        </is>
      </c>
      <c r="K597" s="6" t="inlineStr">
        <is>
          <t>No</t>
        </is>
      </c>
      <c r="L597" s="6" t="inlineStr">
        <is>
          <t>Copy Writer</t>
        </is>
      </c>
      <c r="M597" s="25" t="inlineStr">
        <is>
          <t>Open</t>
        </is>
      </c>
      <c r="N597" s="6" t="n">
        <v>4</v>
      </c>
      <c r="O597" s="6" t="inlineStr">
        <is>
          <t>https://africanmarketingconfederation.org/thank-you-for-the-submission-2024/::aioseo_no_question-style_headings</t>
        </is>
      </c>
      <c r="P597" s="6" t="inlineStr">
        <is>
          <t>Question headings better align with query phrasing and snippet extraction.</t>
        </is>
      </c>
      <c r="Q597">
        <f>IFERROR(HYPERLINK("#Main!A"&amp;MATCH(A597,Main!A:A,0),"Open"),HYPERLINK("#Main!A1","Open"))</f>
        <v/>
      </c>
      <c r="R597">
        <f>IFERROR(HYPERLINK("#Technical!A"&amp;MATCH(A597,Technical!A:A,0),"Open"),HYPERLINK("#Technical!A1","Open"))</f>
        <v/>
      </c>
    </row>
    <row r="598" ht="30" customHeight="1">
      <c r="A598" s="33" t="inlineStr">
        <is>
          <t>https://africanmarketingconfederation.org/upcoming-events/</t>
        </is>
      </c>
      <c r="B598" s="24" t="inlineStr">
        <is>
          <t>Readability</t>
        </is>
      </c>
      <c r="C598" s="29" t="inlineStr">
        <is>
          <t>Info</t>
        </is>
      </c>
      <c r="D598" s="24" t="inlineStr">
        <is>
          <t>No question-style headings</t>
        </is>
      </c>
      <c r="E598" s="24" t="n">
        <v>37</v>
      </c>
      <c r="F598" s="24" t="n">
        <v>0</v>
      </c>
      <c r="G598" s="24" t="inlineStr">
        <is>
          <t>&gt;=1 where intent is informational</t>
        </is>
      </c>
      <c r="H598" s="24" t="inlineStr">
        <is>
          <t>Add at least one natural question heading (H2/H3) matching user intent.</t>
        </is>
      </c>
      <c r="I598" s="28" t="inlineStr">
        <is>
          <t>AEO</t>
        </is>
      </c>
      <c r="J598" s="24" t="inlineStr">
        <is>
          <t>Question Heading Count</t>
        </is>
      </c>
      <c r="K598" s="24" t="inlineStr">
        <is>
          <t>No</t>
        </is>
      </c>
      <c r="L598" s="24" t="inlineStr">
        <is>
          <t>Copy Writer</t>
        </is>
      </c>
      <c r="M598" s="25" t="inlineStr">
        <is>
          <t>Open</t>
        </is>
      </c>
      <c r="N598" s="24" t="n">
        <v>4</v>
      </c>
      <c r="O598" s="24" t="inlineStr">
        <is>
          <t>https://africanmarketingconfederation.org/upcoming-events/::aioseo_no_question-style_headings</t>
        </is>
      </c>
      <c r="P598" s="24" t="inlineStr">
        <is>
          <t>Question headings better align with query phrasing and snippet extraction.</t>
        </is>
      </c>
      <c r="Q598">
        <f>IFERROR(HYPERLINK("#Main!A"&amp;MATCH(A598,Main!A:A,0),"Open"),HYPERLINK("#Main!A1","Open"))</f>
        <v/>
      </c>
      <c r="R598">
        <f>IFERROR(HYPERLINK("#Technical!A"&amp;MATCH(A598,Technical!A:A,0),"Open"),HYPERLINK("#Technical!A1","Open"))</f>
        <v/>
      </c>
    </row>
    <row r="599" ht="30" customHeight="1">
      <c r="A599" s="33" t="inlineStr">
        <is>
          <t>https://africanmarketingconfederation.org/virtual-programme/</t>
        </is>
      </c>
      <c r="B599" s="6" t="inlineStr">
        <is>
          <t>Readability</t>
        </is>
      </c>
      <c r="C599" s="29" t="inlineStr">
        <is>
          <t>Info</t>
        </is>
      </c>
      <c r="D599" s="6" t="inlineStr">
        <is>
          <t>No question-style headings</t>
        </is>
      </c>
      <c r="E599" s="6" t="n">
        <v>37</v>
      </c>
      <c r="F599" s="6" t="n">
        <v>0</v>
      </c>
      <c r="G599" s="6" t="inlineStr">
        <is>
          <t>&gt;=1 where intent is informational</t>
        </is>
      </c>
      <c r="H599" s="6" t="inlineStr">
        <is>
          <t>Add at least one natural question heading (H2/H3) matching user intent.</t>
        </is>
      </c>
      <c r="I599" s="31" t="inlineStr">
        <is>
          <t>AEO</t>
        </is>
      </c>
      <c r="J599" s="6" t="inlineStr">
        <is>
          <t>Question Heading Count</t>
        </is>
      </c>
      <c r="K599" s="6" t="inlineStr">
        <is>
          <t>No</t>
        </is>
      </c>
      <c r="L599" s="6" t="inlineStr">
        <is>
          <t>Copy Writer</t>
        </is>
      </c>
      <c r="M599" s="25" t="inlineStr">
        <is>
          <t>Open</t>
        </is>
      </c>
      <c r="N599" s="6" t="n">
        <v>4</v>
      </c>
      <c r="O599" s="6" t="inlineStr">
        <is>
          <t>https://africanmarketingconfederation.org/virtual-programme/::aioseo_no_question-style_headings</t>
        </is>
      </c>
      <c r="P599" s="6" t="inlineStr">
        <is>
          <t>Question headings better align with query phrasing and snippet extraction.</t>
        </is>
      </c>
      <c r="Q599">
        <f>IFERROR(HYPERLINK("#Main!A"&amp;MATCH(A599,Main!A:A,0),"Open"),HYPERLINK("#Main!A1","Open"))</f>
        <v/>
      </c>
      <c r="R599">
        <f>IFERROR(HYPERLINK("#Technical!A"&amp;MATCH(A599,Technical!A:A,0),"Open"),HYPERLINK("#Technical!A1","Open"))</f>
        <v/>
      </c>
    </row>
    <row r="600" ht="45" customHeight="1">
      <c r="A600" s="33" t="inlineStr">
        <is>
          <t>https://africanmarketingconfederation.org/</t>
        </is>
      </c>
      <c r="B600" s="24" t="inlineStr">
        <is>
          <t>Schema</t>
        </is>
      </c>
      <c r="C600" s="29" t="inlineStr">
        <is>
          <t>Info</t>
        </is>
      </c>
      <c r="D600" s="24" t="inlineStr">
        <is>
          <t>No FAQ/QA schema</t>
        </is>
      </c>
      <c r="E600" s="24" t="n">
        <v>37</v>
      </c>
      <c r="F600" s="24" t="b">
        <v>0</v>
      </c>
      <c r="G600" s="24" t="inlineStr">
        <is>
          <t>True when page has Q&amp;A intent</t>
        </is>
      </c>
      <c r="H600" s="24" t="inlineStr">
        <is>
          <t>If content is Q&amp;A style, add FAQPage/QAPage schema in AIOSEO and keep markup aligned with on-page content.</t>
        </is>
      </c>
      <c r="I600" s="28" t="inlineStr">
        <is>
          <t>AEO</t>
        </is>
      </c>
      <c r="J600" s="24" t="inlineStr">
        <is>
          <t>QAPage/FAQ Schema Present</t>
        </is>
      </c>
      <c r="K600" s="24" t="inlineStr">
        <is>
          <t>No</t>
        </is>
      </c>
      <c r="L600" s="24" t="inlineStr">
        <is>
          <t>Copy Writer</t>
        </is>
      </c>
      <c r="M600" s="25" t="inlineStr">
        <is>
          <t>Open</t>
        </is>
      </c>
      <c r="N600" s="24" t="n">
        <v>4</v>
      </c>
      <c r="O600" s="24" t="inlineStr">
        <is>
          <t>https://africanmarketingconfederation.org/::aioseo_no_faq_qa_schema</t>
        </is>
      </c>
      <c r="P600" s="24" t="inlineStr">
        <is>
          <t>Q&amp;A schema can improve eligibility for answer-rich results.</t>
        </is>
      </c>
      <c r="Q600">
        <f>IFERROR(HYPERLINK("#Main!A"&amp;MATCH(A600,Main!A:A,0),"Open"),HYPERLINK("#Main!A1","Open"))</f>
        <v/>
      </c>
      <c r="R600">
        <f>IFERROR(HYPERLINK("#Technical!A"&amp;MATCH(A600,Technical!A:A,0),"Open"),HYPERLINK("#Technical!A1","Open"))</f>
        <v/>
      </c>
    </row>
    <row r="601" ht="45" customHeight="1">
      <c r="A601" s="33" t="inlineStr">
        <is>
          <t>https://africanmarketingconfederation.org/about-us/</t>
        </is>
      </c>
      <c r="B601" s="6" t="inlineStr">
        <is>
          <t>Schema</t>
        </is>
      </c>
      <c r="C601" s="29" t="inlineStr">
        <is>
          <t>Info</t>
        </is>
      </c>
      <c r="D601" s="6" t="inlineStr">
        <is>
          <t>No FAQ/QA schema</t>
        </is>
      </c>
      <c r="E601" s="6" t="n">
        <v>37</v>
      </c>
      <c r="F601" s="6" t="b">
        <v>0</v>
      </c>
      <c r="G601" s="6" t="inlineStr">
        <is>
          <t>True when page has Q&amp;A intent</t>
        </is>
      </c>
      <c r="H601" s="6" t="inlineStr">
        <is>
          <t>If content is Q&amp;A style, add FAQPage/QAPage schema in AIOSEO and keep markup aligned with on-page content.</t>
        </is>
      </c>
      <c r="I601" s="31" t="inlineStr">
        <is>
          <t>AEO</t>
        </is>
      </c>
      <c r="J601" s="6" t="inlineStr">
        <is>
          <t>QAPage/FAQ Schema Present</t>
        </is>
      </c>
      <c r="K601" s="6" t="inlineStr">
        <is>
          <t>No</t>
        </is>
      </c>
      <c r="L601" s="6" t="inlineStr">
        <is>
          <t>Copy Writer</t>
        </is>
      </c>
      <c r="M601" s="25" t="inlineStr">
        <is>
          <t>Open</t>
        </is>
      </c>
      <c r="N601" s="6" t="n">
        <v>4</v>
      </c>
      <c r="O601" s="6" t="inlineStr">
        <is>
          <t>https://africanmarketingconfederation.org/about-us/::aioseo_no_faq_qa_schema</t>
        </is>
      </c>
      <c r="P601" s="6" t="inlineStr">
        <is>
          <t>Q&amp;A schema can improve eligibility for answer-rich results.</t>
        </is>
      </c>
      <c r="Q601">
        <f>IFERROR(HYPERLINK("#Main!A"&amp;MATCH(A601,Main!A:A,0),"Open"),HYPERLINK("#Main!A1","Open"))</f>
        <v/>
      </c>
      <c r="R601">
        <f>IFERROR(HYPERLINK("#Technical!A"&amp;MATCH(A601,Technical!A:A,0),"Open"),HYPERLINK("#Technical!A1","Open"))</f>
        <v/>
      </c>
    </row>
    <row r="602" ht="45" customHeight="1">
      <c r="A602" s="33" t="inlineStr">
        <is>
          <t>https://africanmarketingconfederation.org/african-marketing-confederation-tourism-chapter/</t>
        </is>
      </c>
      <c r="B602" s="24" t="inlineStr">
        <is>
          <t>Schema</t>
        </is>
      </c>
      <c r="C602" s="29" t="inlineStr">
        <is>
          <t>Info</t>
        </is>
      </c>
      <c r="D602" s="24" t="inlineStr">
        <is>
          <t>No FAQ/QA schema</t>
        </is>
      </c>
      <c r="E602" s="24" t="n">
        <v>37</v>
      </c>
      <c r="F602" s="24" t="b">
        <v>0</v>
      </c>
      <c r="G602" s="24" t="inlineStr">
        <is>
          <t>True when page has Q&amp;A intent</t>
        </is>
      </c>
      <c r="H602" s="24" t="inlineStr">
        <is>
          <t>If content is Q&amp;A style, add FAQPage/QAPage schema in AIOSEO and keep markup aligned with on-page content.</t>
        </is>
      </c>
      <c r="I602" s="28" t="inlineStr">
        <is>
          <t>AEO</t>
        </is>
      </c>
      <c r="J602" s="24" t="inlineStr">
        <is>
          <t>QAPage/FAQ Schema Present</t>
        </is>
      </c>
      <c r="K602" s="24" t="inlineStr">
        <is>
          <t>No</t>
        </is>
      </c>
      <c r="L602" s="24" t="inlineStr">
        <is>
          <t>Copy Writer</t>
        </is>
      </c>
      <c r="M602" s="25" t="inlineStr">
        <is>
          <t>Open</t>
        </is>
      </c>
      <c r="N602" s="24" t="n">
        <v>4</v>
      </c>
      <c r="O602" s="24" t="inlineStr">
        <is>
          <t>https://africanmarketingconfederation.org/african-marketing-confederation-tourism-chapter/::aioseo_no_faq_qa_schema</t>
        </is>
      </c>
      <c r="P602" s="24" t="inlineStr">
        <is>
          <t>Q&amp;A schema can improve eligibility for answer-rich results.</t>
        </is>
      </c>
      <c r="Q602">
        <f>IFERROR(HYPERLINK("#Main!A"&amp;MATCH(A602,Main!A:A,0),"Open"),HYPERLINK("#Main!A1","Open"))</f>
        <v/>
      </c>
      <c r="R602">
        <f>IFERROR(HYPERLINK("#Technical!A"&amp;MATCH(A602,Technical!A:A,0),"Open"),HYPERLINK("#Technical!A1","Open"))</f>
        <v/>
      </c>
    </row>
    <row r="603" ht="45" customHeight="1">
      <c r="A603" s="33" t="inlineStr">
        <is>
          <t>https://africanmarketingconfederation.org/amc-awards-2024/</t>
        </is>
      </c>
      <c r="B603" s="6" t="inlineStr">
        <is>
          <t>Schema</t>
        </is>
      </c>
      <c r="C603" s="29" t="inlineStr">
        <is>
          <t>Info</t>
        </is>
      </c>
      <c r="D603" s="6" t="inlineStr">
        <is>
          <t>No FAQ/QA schema</t>
        </is>
      </c>
      <c r="E603" s="6" t="n">
        <v>37</v>
      </c>
      <c r="F603" s="6" t="b">
        <v>0</v>
      </c>
      <c r="G603" s="6" t="inlineStr">
        <is>
          <t>True when page has Q&amp;A intent</t>
        </is>
      </c>
      <c r="H603" s="6" t="inlineStr">
        <is>
          <t>If content is Q&amp;A style, add FAQPage/QAPage schema in AIOSEO and keep markup aligned with on-page content.</t>
        </is>
      </c>
      <c r="I603" s="31" t="inlineStr">
        <is>
          <t>AEO</t>
        </is>
      </c>
      <c r="J603" s="6" t="inlineStr">
        <is>
          <t>QAPage/FAQ Schema Present</t>
        </is>
      </c>
      <c r="K603" s="6" t="inlineStr">
        <is>
          <t>No</t>
        </is>
      </c>
      <c r="L603" s="6" t="inlineStr">
        <is>
          <t>Copy Writer</t>
        </is>
      </c>
      <c r="M603" s="25" t="inlineStr">
        <is>
          <t>Open</t>
        </is>
      </c>
      <c r="N603" s="6" t="n">
        <v>4</v>
      </c>
      <c r="O603" s="6" t="inlineStr">
        <is>
          <t>https://africanmarketingconfederation.org/amc-awards-2024/::aioseo_no_faq_qa_schema</t>
        </is>
      </c>
      <c r="P603" s="6" t="inlineStr">
        <is>
          <t>Q&amp;A schema can improve eligibility for answer-rich results.</t>
        </is>
      </c>
      <c r="Q603">
        <f>IFERROR(HYPERLINK("#Main!A"&amp;MATCH(A603,Main!A:A,0),"Open"),HYPERLINK("#Main!A1","Open"))</f>
        <v/>
      </c>
      <c r="R603">
        <f>IFERROR(HYPERLINK("#Technical!A"&amp;MATCH(A603,Technical!A:A,0),"Open"),HYPERLINK("#Technical!A1","Open"))</f>
        <v/>
      </c>
    </row>
    <row r="604" ht="45" customHeight="1">
      <c r="A604" s="33" t="inlineStr">
        <is>
          <t>https://africanmarketingconfederation.org/amc-conference-2022-prospectus/</t>
        </is>
      </c>
      <c r="B604" s="24" t="inlineStr">
        <is>
          <t>Schema</t>
        </is>
      </c>
      <c r="C604" s="29" t="inlineStr">
        <is>
          <t>Info</t>
        </is>
      </c>
      <c r="D604" s="24" t="inlineStr">
        <is>
          <t>No FAQ/QA schema</t>
        </is>
      </c>
      <c r="E604" s="24" t="n">
        <v>37</v>
      </c>
      <c r="F604" s="24" t="b">
        <v>0</v>
      </c>
      <c r="G604" s="24" t="inlineStr">
        <is>
          <t>True when page has Q&amp;A intent</t>
        </is>
      </c>
      <c r="H604" s="24" t="inlineStr">
        <is>
          <t>If content is Q&amp;A style, add FAQPage/QAPage schema in AIOSEO and keep markup aligned with on-page content.</t>
        </is>
      </c>
      <c r="I604" s="28" t="inlineStr">
        <is>
          <t>AEO</t>
        </is>
      </c>
      <c r="J604" s="24" t="inlineStr">
        <is>
          <t>QAPage/FAQ Schema Present</t>
        </is>
      </c>
      <c r="K604" s="24" t="inlineStr">
        <is>
          <t>No</t>
        </is>
      </c>
      <c r="L604" s="24" t="inlineStr">
        <is>
          <t>Copy Writer</t>
        </is>
      </c>
      <c r="M604" s="25" t="inlineStr">
        <is>
          <t>Open</t>
        </is>
      </c>
      <c r="N604" s="24" t="n">
        <v>4</v>
      </c>
      <c r="O604" s="24" t="inlineStr">
        <is>
          <t>https://africanmarketingconfederation.org/amc-conference-2022-prospectus/::aioseo_no_faq_qa_schema</t>
        </is>
      </c>
      <c r="P604" s="24" t="inlineStr">
        <is>
          <t>Q&amp;A schema can improve eligibility for answer-rich results.</t>
        </is>
      </c>
      <c r="Q604">
        <f>IFERROR(HYPERLINK("#Main!A"&amp;MATCH(A604,Main!A:A,0),"Open"),HYPERLINK("#Main!A1","Open"))</f>
        <v/>
      </c>
      <c r="R604">
        <f>IFERROR(HYPERLINK("#Technical!A"&amp;MATCH(A604,Technical!A:A,0),"Open"),HYPERLINK("#Technical!A1","Open"))</f>
        <v/>
      </c>
    </row>
    <row r="605" ht="45" customHeight="1">
      <c r="A605" s="33" t="inlineStr">
        <is>
          <t>https://africanmarketingconfederation.org/amc-conference-2022-thank-you/</t>
        </is>
      </c>
      <c r="B605" s="6" t="inlineStr">
        <is>
          <t>Schema</t>
        </is>
      </c>
      <c r="C605" s="29" t="inlineStr">
        <is>
          <t>Info</t>
        </is>
      </c>
      <c r="D605" s="6" t="inlineStr">
        <is>
          <t>No FAQ/QA schema</t>
        </is>
      </c>
      <c r="E605" s="6" t="n">
        <v>37</v>
      </c>
      <c r="F605" s="6" t="b">
        <v>0</v>
      </c>
      <c r="G605" s="6" t="inlineStr">
        <is>
          <t>True when page has Q&amp;A intent</t>
        </is>
      </c>
      <c r="H605" s="6" t="inlineStr">
        <is>
          <t>If content is Q&amp;A style, add FAQPage/QAPage schema in AIOSEO and keep markup aligned with on-page content.</t>
        </is>
      </c>
      <c r="I605" s="31" t="inlineStr">
        <is>
          <t>AEO</t>
        </is>
      </c>
      <c r="J605" s="6" t="inlineStr">
        <is>
          <t>QAPage/FAQ Schema Present</t>
        </is>
      </c>
      <c r="K605" s="6" t="inlineStr">
        <is>
          <t>No</t>
        </is>
      </c>
      <c r="L605" s="6" t="inlineStr">
        <is>
          <t>Copy Writer</t>
        </is>
      </c>
      <c r="M605" s="25" t="inlineStr">
        <is>
          <t>Open</t>
        </is>
      </c>
      <c r="N605" s="6" t="n">
        <v>4</v>
      </c>
      <c r="O605" s="6" t="inlineStr">
        <is>
          <t>https://africanmarketingconfederation.org/amc-conference-2022-thank-you/::aioseo_no_faq_qa_schema</t>
        </is>
      </c>
      <c r="P605" s="6" t="inlineStr">
        <is>
          <t>Q&amp;A schema can improve eligibility for answer-rich results.</t>
        </is>
      </c>
      <c r="Q605">
        <f>IFERROR(HYPERLINK("#Main!A"&amp;MATCH(A605,Main!A:A,0),"Open"),HYPERLINK("#Main!A1","Open"))</f>
        <v/>
      </c>
      <c r="R605">
        <f>IFERROR(HYPERLINK("#Technical!A"&amp;MATCH(A605,Technical!A:A,0),"Open"),HYPERLINK("#Technical!A1","Open"))</f>
        <v/>
      </c>
    </row>
    <row r="606" ht="45" customHeight="1">
      <c r="A606" s="33" t="inlineStr">
        <is>
          <t>https://africanmarketingconfederation.org/amc-conference-2022/</t>
        </is>
      </c>
      <c r="B606" s="24" t="inlineStr">
        <is>
          <t>Schema</t>
        </is>
      </c>
      <c r="C606" s="29" t="inlineStr">
        <is>
          <t>Info</t>
        </is>
      </c>
      <c r="D606" s="24" t="inlineStr">
        <is>
          <t>No FAQ/QA schema</t>
        </is>
      </c>
      <c r="E606" s="24" t="n">
        <v>37</v>
      </c>
      <c r="F606" s="24" t="b">
        <v>0</v>
      </c>
      <c r="G606" s="24" t="inlineStr">
        <is>
          <t>True when page has Q&amp;A intent</t>
        </is>
      </c>
      <c r="H606" s="24" t="inlineStr">
        <is>
          <t>If content is Q&amp;A style, add FAQPage/QAPage schema in AIOSEO and keep markup aligned with on-page content.</t>
        </is>
      </c>
      <c r="I606" s="28" t="inlineStr">
        <is>
          <t>AEO</t>
        </is>
      </c>
      <c r="J606" s="24" t="inlineStr">
        <is>
          <t>QAPage/FAQ Schema Present</t>
        </is>
      </c>
      <c r="K606" s="24" t="inlineStr">
        <is>
          <t>No</t>
        </is>
      </c>
      <c r="L606" s="24" t="inlineStr">
        <is>
          <t>Copy Writer</t>
        </is>
      </c>
      <c r="M606" s="25" t="inlineStr">
        <is>
          <t>Open</t>
        </is>
      </c>
      <c r="N606" s="24" t="n">
        <v>4</v>
      </c>
      <c r="O606" s="24" t="inlineStr">
        <is>
          <t>https://africanmarketingconfederation.org/amc-conference-2022/::aioseo_no_faq_qa_schema</t>
        </is>
      </c>
      <c r="P606" s="24" t="inlineStr">
        <is>
          <t>Q&amp;A schema can improve eligibility for answer-rich results.</t>
        </is>
      </c>
      <c r="Q606">
        <f>IFERROR(HYPERLINK("#Main!A"&amp;MATCH(A606,Main!A:A,0),"Open"),HYPERLINK("#Main!A1","Open"))</f>
        <v/>
      </c>
      <c r="R606">
        <f>IFERROR(HYPERLINK("#Technical!A"&amp;MATCH(A606,Technical!A:A,0),"Open"),HYPERLINK("#Technical!A1","Open"))</f>
        <v/>
      </c>
    </row>
    <row r="607" ht="45" customHeight="1">
      <c r="A607" s="33" t="inlineStr">
        <is>
          <t>https://africanmarketingconfederation.org/amc-conference-2023/</t>
        </is>
      </c>
      <c r="B607" s="6" t="inlineStr">
        <is>
          <t>Schema</t>
        </is>
      </c>
      <c r="C607" s="29" t="inlineStr">
        <is>
          <t>Info</t>
        </is>
      </c>
      <c r="D607" s="6" t="inlineStr">
        <is>
          <t>No FAQ/QA schema</t>
        </is>
      </c>
      <c r="E607" s="6" t="n">
        <v>37</v>
      </c>
      <c r="F607" s="6" t="b">
        <v>0</v>
      </c>
      <c r="G607" s="6" t="inlineStr">
        <is>
          <t>True when page has Q&amp;A intent</t>
        </is>
      </c>
      <c r="H607" s="6" t="inlineStr">
        <is>
          <t>If content is Q&amp;A style, add FAQPage/QAPage schema in AIOSEO and keep markup aligned with on-page content.</t>
        </is>
      </c>
      <c r="I607" s="31" t="inlineStr">
        <is>
          <t>AEO</t>
        </is>
      </c>
      <c r="J607" s="6" t="inlineStr">
        <is>
          <t>QAPage/FAQ Schema Present</t>
        </is>
      </c>
      <c r="K607" s="6" t="inlineStr">
        <is>
          <t>No</t>
        </is>
      </c>
      <c r="L607" s="6" t="inlineStr">
        <is>
          <t>Copy Writer</t>
        </is>
      </c>
      <c r="M607" s="25" t="inlineStr">
        <is>
          <t>Open</t>
        </is>
      </c>
      <c r="N607" s="6" t="n">
        <v>4</v>
      </c>
      <c r="O607" s="6" t="inlineStr">
        <is>
          <t>https://africanmarketingconfederation.org/amc-conference-2023/::aioseo_no_faq_qa_schema</t>
        </is>
      </c>
      <c r="P607" s="6" t="inlineStr">
        <is>
          <t>Q&amp;A schema can improve eligibility for answer-rich results.</t>
        </is>
      </c>
      <c r="Q607">
        <f>IFERROR(HYPERLINK("#Main!A"&amp;MATCH(A607,Main!A:A,0),"Open"),HYPERLINK("#Main!A1","Open"))</f>
        <v/>
      </c>
      <c r="R607">
        <f>IFERROR(HYPERLINK("#Technical!A"&amp;MATCH(A607,Technical!A:A,0),"Open"),HYPERLINK("#Technical!A1","Open"))</f>
        <v/>
      </c>
    </row>
    <row r="608" ht="45" customHeight="1">
      <c r="A608" s="33" t="inlineStr">
        <is>
          <t>https://africanmarketingconfederation.org/amc-conference-2023/amc-awards-book-now/</t>
        </is>
      </c>
      <c r="B608" s="24" t="inlineStr">
        <is>
          <t>Schema</t>
        </is>
      </c>
      <c r="C608" s="29" t="inlineStr">
        <is>
          <t>Info</t>
        </is>
      </c>
      <c r="D608" s="24" t="inlineStr">
        <is>
          <t>No FAQ/QA schema</t>
        </is>
      </c>
      <c r="E608" s="24" t="n">
        <v>37</v>
      </c>
      <c r="F608" s="24" t="b">
        <v>0</v>
      </c>
      <c r="G608" s="24" t="inlineStr">
        <is>
          <t>True when page has Q&amp;A intent</t>
        </is>
      </c>
      <c r="H608" s="24" t="inlineStr">
        <is>
          <t>If content is Q&amp;A style, add FAQPage/QAPage schema in AIOSEO and keep markup aligned with on-page content.</t>
        </is>
      </c>
      <c r="I608" s="28" t="inlineStr">
        <is>
          <t>AEO</t>
        </is>
      </c>
      <c r="J608" s="24" t="inlineStr">
        <is>
          <t>QAPage/FAQ Schema Present</t>
        </is>
      </c>
      <c r="K608" s="24" t="inlineStr">
        <is>
          <t>No</t>
        </is>
      </c>
      <c r="L608" s="24" t="inlineStr">
        <is>
          <t>Copy Writer</t>
        </is>
      </c>
      <c r="M608" s="25" t="inlineStr">
        <is>
          <t>Open</t>
        </is>
      </c>
      <c r="N608" s="24" t="n">
        <v>4</v>
      </c>
      <c r="O608" s="24" t="inlineStr">
        <is>
          <t>https://africanmarketingconfederation.org/amc-conference-2023/amc-awards-book-now/::aioseo_no_faq_qa_schema</t>
        </is>
      </c>
      <c r="P608" s="24" t="inlineStr">
        <is>
          <t>Q&amp;A schema can improve eligibility for answer-rich results.</t>
        </is>
      </c>
      <c r="Q608">
        <f>IFERROR(HYPERLINK("#Main!A"&amp;MATCH(A608,Main!A:A,0),"Open"),HYPERLINK("#Main!A1","Open"))</f>
        <v/>
      </c>
      <c r="R608">
        <f>IFERROR(HYPERLINK("#Technical!A"&amp;MATCH(A608,Technical!A:A,0),"Open"),HYPERLINK("#Technical!A1","Open"))</f>
        <v/>
      </c>
    </row>
    <row r="609" ht="45" customHeight="1">
      <c r="A609" s="33" t="inlineStr">
        <is>
          <t>https://africanmarketingconfederation.org/amc-conference-2023/amc-awards/</t>
        </is>
      </c>
      <c r="B609" s="6" t="inlineStr">
        <is>
          <t>Schema</t>
        </is>
      </c>
      <c r="C609" s="29" t="inlineStr">
        <is>
          <t>Info</t>
        </is>
      </c>
      <c r="D609" s="6" t="inlineStr">
        <is>
          <t>No FAQ/QA schema</t>
        </is>
      </c>
      <c r="E609" s="6" t="n">
        <v>37</v>
      </c>
      <c r="F609" s="6" t="b">
        <v>0</v>
      </c>
      <c r="G609" s="6" t="inlineStr">
        <is>
          <t>True when page has Q&amp;A intent</t>
        </is>
      </c>
      <c r="H609" s="6" t="inlineStr">
        <is>
          <t>If content is Q&amp;A style, add FAQPage/QAPage schema in AIOSEO and keep markup aligned with on-page content.</t>
        </is>
      </c>
      <c r="I609" s="31" t="inlineStr">
        <is>
          <t>AEO</t>
        </is>
      </c>
      <c r="J609" s="6" t="inlineStr">
        <is>
          <t>QAPage/FAQ Schema Present</t>
        </is>
      </c>
      <c r="K609" s="6" t="inlineStr">
        <is>
          <t>No</t>
        </is>
      </c>
      <c r="L609" s="6" t="inlineStr">
        <is>
          <t>Copy Writer</t>
        </is>
      </c>
      <c r="M609" s="25" t="inlineStr">
        <is>
          <t>Open</t>
        </is>
      </c>
      <c r="N609" s="6" t="n">
        <v>4</v>
      </c>
      <c r="O609" s="6" t="inlineStr">
        <is>
          <t>https://africanmarketingconfederation.org/amc-conference-2023/amc-awards/::aioseo_no_faq_qa_schema</t>
        </is>
      </c>
      <c r="P609" s="6" t="inlineStr">
        <is>
          <t>Q&amp;A schema can improve eligibility for answer-rich results.</t>
        </is>
      </c>
      <c r="Q609">
        <f>IFERROR(HYPERLINK("#Main!A"&amp;MATCH(A609,Main!A:A,0),"Open"),HYPERLINK("#Main!A1","Open"))</f>
        <v/>
      </c>
      <c r="R609">
        <f>IFERROR(HYPERLINK("#Technical!A"&amp;MATCH(A609,Technical!A:A,0),"Open"),HYPERLINK("#Technical!A1","Open"))</f>
        <v/>
      </c>
    </row>
    <row r="610" ht="45" customHeight="1">
      <c r="A610" s="33" t="inlineStr">
        <is>
          <t>https://africanmarketingconfederation.org/amc-conference-2023/book-now-thank-you/</t>
        </is>
      </c>
      <c r="B610" s="24" t="inlineStr">
        <is>
          <t>Schema</t>
        </is>
      </c>
      <c r="C610" s="29" t="inlineStr">
        <is>
          <t>Info</t>
        </is>
      </c>
      <c r="D610" s="24" t="inlineStr">
        <is>
          <t>No FAQ/QA schema</t>
        </is>
      </c>
      <c r="E610" s="24" t="n">
        <v>37</v>
      </c>
      <c r="F610" s="24" t="b">
        <v>0</v>
      </c>
      <c r="G610" s="24" t="inlineStr">
        <is>
          <t>True when page has Q&amp;A intent</t>
        </is>
      </c>
      <c r="H610" s="24" t="inlineStr">
        <is>
          <t>If content is Q&amp;A style, add FAQPage/QAPage schema in AIOSEO and keep markup aligned with on-page content.</t>
        </is>
      </c>
      <c r="I610" s="28" t="inlineStr">
        <is>
          <t>AEO</t>
        </is>
      </c>
      <c r="J610" s="24" t="inlineStr">
        <is>
          <t>QAPage/FAQ Schema Present</t>
        </is>
      </c>
      <c r="K610" s="24" t="inlineStr">
        <is>
          <t>No</t>
        </is>
      </c>
      <c r="L610" s="24" t="inlineStr">
        <is>
          <t>Copy Writer</t>
        </is>
      </c>
      <c r="M610" s="25" t="inlineStr">
        <is>
          <t>Open</t>
        </is>
      </c>
      <c r="N610" s="24" t="n">
        <v>4</v>
      </c>
      <c r="O610" s="24" t="inlineStr">
        <is>
          <t>https://africanmarketingconfederation.org/amc-conference-2023/book-now-thank-you/::aioseo_no_faq_qa_schema</t>
        </is>
      </c>
      <c r="P610" s="24" t="inlineStr">
        <is>
          <t>Q&amp;A schema can improve eligibility for answer-rich results.</t>
        </is>
      </c>
      <c r="Q610">
        <f>IFERROR(HYPERLINK("#Main!A"&amp;MATCH(A610,Main!A:A,0),"Open"),HYPERLINK("#Main!A1","Open"))</f>
        <v/>
      </c>
      <c r="R610">
        <f>IFERROR(HYPERLINK("#Technical!A"&amp;MATCH(A610,Technical!A:A,0),"Open"),HYPERLINK("#Technical!A1","Open"))</f>
        <v/>
      </c>
    </row>
    <row r="611" ht="45" customHeight="1">
      <c r="A611" s="33" t="inlineStr">
        <is>
          <t>https://africanmarketingconfederation.org/amc-conference-2023/book-now/</t>
        </is>
      </c>
      <c r="B611" s="6" t="inlineStr">
        <is>
          <t>Schema</t>
        </is>
      </c>
      <c r="C611" s="29" t="inlineStr">
        <is>
          <t>Info</t>
        </is>
      </c>
      <c r="D611" s="6" t="inlineStr">
        <is>
          <t>No FAQ/QA schema</t>
        </is>
      </c>
      <c r="E611" s="6" t="n">
        <v>37</v>
      </c>
      <c r="F611" s="6" t="b">
        <v>0</v>
      </c>
      <c r="G611" s="6" t="inlineStr">
        <is>
          <t>True when page has Q&amp;A intent</t>
        </is>
      </c>
      <c r="H611" s="6" t="inlineStr">
        <is>
          <t>If content is Q&amp;A style, add FAQPage/QAPage schema in AIOSEO and keep markup aligned with on-page content.</t>
        </is>
      </c>
      <c r="I611" s="31" t="inlineStr">
        <is>
          <t>AEO</t>
        </is>
      </c>
      <c r="J611" s="6" t="inlineStr">
        <is>
          <t>QAPage/FAQ Schema Present</t>
        </is>
      </c>
      <c r="K611" s="6" t="inlineStr">
        <is>
          <t>No</t>
        </is>
      </c>
      <c r="L611" s="6" t="inlineStr">
        <is>
          <t>Copy Writer</t>
        </is>
      </c>
      <c r="M611" s="25" t="inlineStr">
        <is>
          <t>Open</t>
        </is>
      </c>
      <c r="N611" s="6" t="n">
        <v>4</v>
      </c>
      <c r="O611" s="6" t="inlineStr">
        <is>
          <t>https://africanmarketingconfederation.org/amc-conference-2023/book-now/::aioseo_no_faq_qa_schema</t>
        </is>
      </c>
      <c r="P611" s="6" t="inlineStr">
        <is>
          <t>Q&amp;A schema can improve eligibility for answer-rich results.</t>
        </is>
      </c>
      <c r="Q611">
        <f>IFERROR(HYPERLINK("#Main!A"&amp;MATCH(A611,Main!A:A,0),"Open"),HYPERLINK("#Main!A1","Open"))</f>
        <v/>
      </c>
      <c r="R611">
        <f>IFERROR(HYPERLINK("#Technical!A"&amp;MATCH(A611,Technical!A:A,0),"Open"),HYPERLINK("#Technical!A1","Open"))</f>
        <v/>
      </c>
    </row>
    <row r="612" ht="45" customHeight="1">
      <c r="A612" s="33" t="inlineStr">
        <is>
          <t>https://africanmarketingconfederation.org/amc-conference-2023/download-prospectus/</t>
        </is>
      </c>
      <c r="B612" s="24" t="inlineStr">
        <is>
          <t>Schema</t>
        </is>
      </c>
      <c r="C612" s="29" t="inlineStr">
        <is>
          <t>Info</t>
        </is>
      </c>
      <c r="D612" s="24" t="inlineStr">
        <is>
          <t>No FAQ/QA schema</t>
        </is>
      </c>
      <c r="E612" s="24" t="n">
        <v>37</v>
      </c>
      <c r="F612" s="24" t="b">
        <v>0</v>
      </c>
      <c r="G612" s="24" t="inlineStr">
        <is>
          <t>True when page has Q&amp;A intent</t>
        </is>
      </c>
      <c r="H612" s="24" t="inlineStr">
        <is>
          <t>If content is Q&amp;A style, add FAQPage/QAPage schema in AIOSEO and keep markup aligned with on-page content.</t>
        </is>
      </c>
      <c r="I612" s="28" t="inlineStr">
        <is>
          <t>AEO</t>
        </is>
      </c>
      <c r="J612" s="24" t="inlineStr">
        <is>
          <t>QAPage/FAQ Schema Present</t>
        </is>
      </c>
      <c r="K612" s="24" t="inlineStr">
        <is>
          <t>No</t>
        </is>
      </c>
      <c r="L612" s="24" t="inlineStr">
        <is>
          <t>Copy Writer</t>
        </is>
      </c>
      <c r="M612" s="25" t="inlineStr">
        <is>
          <t>Open</t>
        </is>
      </c>
      <c r="N612" s="24" t="n">
        <v>4</v>
      </c>
      <c r="O612" s="24" t="inlineStr">
        <is>
          <t>https://africanmarketingconfederation.org/amc-conference-2023/download-prospectus/::aioseo_no_faq_qa_schema</t>
        </is>
      </c>
      <c r="P612" s="24" t="inlineStr">
        <is>
          <t>Q&amp;A schema can improve eligibility for answer-rich results.</t>
        </is>
      </c>
      <c r="Q612">
        <f>IFERROR(HYPERLINK("#Main!A"&amp;MATCH(A612,Main!A:A,0),"Open"),HYPERLINK("#Main!A1","Open"))</f>
        <v/>
      </c>
      <c r="R612">
        <f>IFERROR(HYPERLINK("#Technical!A"&amp;MATCH(A612,Technical!A:A,0),"Open"),HYPERLINK("#Technical!A1","Open"))</f>
        <v/>
      </c>
    </row>
    <row r="613" ht="45" customHeight="1">
      <c r="A613" s="33" t="inlineStr">
        <is>
          <t>https://africanmarketingconfederation.org/amc-conference-2023/gallery/</t>
        </is>
      </c>
      <c r="B613" s="6" t="inlineStr">
        <is>
          <t>Schema</t>
        </is>
      </c>
      <c r="C613" s="29" t="inlineStr">
        <is>
          <t>Info</t>
        </is>
      </c>
      <c r="D613" s="6" t="inlineStr">
        <is>
          <t>No FAQ/QA schema</t>
        </is>
      </c>
      <c r="E613" s="6" t="n">
        <v>37</v>
      </c>
      <c r="F613" s="6" t="b">
        <v>0</v>
      </c>
      <c r="G613" s="6" t="inlineStr">
        <is>
          <t>True when page has Q&amp;A intent</t>
        </is>
      </c>
      <c r="H613" s="6" t="inlineStr">
        <is>
          <t>If content is Q&amp;A style, add FAQPage/QAPage schema in AIOSEO and keep markup aligned with on-page content.</t>
        </is>
      </c>
      <c r="I613" s="31" t="inlineStr">
        <is>
          <t>AEO</t>
        </is>
      </c>
      <c r="J613" s="6" t="inlineStr">
        <is>
          <t>QAPage/FAQ Schema Present</t>
        </is>
      </c>
      <c r="K613" s="6" t="inlineStr">
        <is>
          <t>No</t>
        </is>
      </c>
      <c r="L613" s="6" t="inlineStr">
        <is>
          <t>Copy Writer</t>
        </is>
      </c>
      <c r="M613" s="25" t="inlineStr">
        <is>
          <t>Open</t>
        </is>
      </c>
      <c r="N613" s="6" t="n">
        <v>4</v>
      </c>
      <c r="O613" s="6" t="inlineStr">
        <is>
          <t>https://africanmarketingconfederation.org/amc-conference-2023/gallery/::aioseo_no_faq_qa_schema</t>
        </is>
      </c>
      <c r="P613" s="6" t="inlineStr">
        <is>
          <t>Q&amp;A schema can improve eligibility for answer-rich results.</t>
        </is>
      </c>
      <c r="Q613">
        <f>IFERROR(HYPERLINK("#Main!A"&amp;MATCH(A613,Main!A:A,0),"Open"),HYPERLINK("#Main!A1","Open"))</f>
        <v/>
      </c>
      <c r="R613">
        <f>IFERROR(HYPERLINK("#Technical!A"&amp;MATCH(A613,Technical!A:A,0),"Open"),HYPERLINK("#Technical!A1","Open"))</f>
        <v/>
      </c>
    </row>
    <row r="614" ht="45" customHeight="1">
      <c r="A614" s="33" t="inlineStr">
        <is>
          <t>https://africanmarketingconfederation.org/amc-conference-2023/partners/</t>
        </is>
      </c>
      <c r="B614" s="24" t="inlineStr">
        <is>
          <t>Schema</t>
        </is>
      </c>
      <c r="C614" s="29" t="inlineStr">
        <is>
          <t>Info</t>
        </is>
      </c>
      <c r="D614" s="24" t="inlineStr">
        <is>
          <t>No FAQ/QA schema</t>
        </is>
      </c>
      <c r="E614" s="24" t="n">
        <v>37</v>
      </c>
      <c r="F614" s="24" t="b">
        <v>0</v>
      </c>
      <c r="G614" s="24" t="inlineStr">
        <is>
          <t>True when page has Q&amp;A intent</t>
        </is>
      </c>
      <c r="H614" s="24" t="inlineStr">
        <is>
          <t>If content is Q&amp;A style, add FAQPage/QAPage schema in AIOSEO and keep markup aligned with on-page content.</t>
        </is>
      </c>
      <c r="I614" s="28" t="inlineStr">
        <is>
          <t>AEO</t>
        </is>
      </c>
      <c r="J614" s="24" t="inlineStr">
        <is>
          <t>QAPage/FAQ Schema Present</t>
        </is>
      </c>
      <c r="K614" s="24" t="inlineStr">
        <is>
          <t>No</t>
        </is>
      </c>
      <c r="L614" s="24" t="inlineStr">
        <is>
          <t>Copy Writer</t>
        </is>
      </c>
      <c r="M614" s="25" t="inlineStr">
        <is>
          <t>Open</t>
        </is>
      </c>
      <c r="N614" s="24" t="n">
        <v>4</v>
      </c>
      <c r="O614" s="24" t="inlineStr">
        <is>
          <t>https://africanmarketingconfederation.org/amc-conference-2023/partners/::aioseo_no_faq_qa_schema</t>
        </is>
      </c>
      <c r="P614" s="24" t="inlineStr">
        <is>
          <t>Q&amp;A schema can improve eligibility for answer-rich results.</t>
        </is>
      </c>
      <c r="Q614">
        <f>IFERROR(HYPERLINK("#Main!A"&amp;MATCH(A614,Main!A:A,0),"Open"),HYPERLINK("#Main!A1","Open"))</f>
        <v/>
      </c>
      <c r="R614">
        <f>IFERROR(HYPERLINK("#Technical!A"&amp;MATCH(A614,Technical!A:A,0),"Open"),HYPERLINK("#Technical!A1","Open"))</f>
        <v/>
      </c>
    </row>
    <row r="615" ht="45" customHeight="1">
      <c r="A615" s="33" t="inlineStr">
        <is>
          <t>https://africanmarketingconfederation.org/amc-conference-2023/programme/</t>
        </is>
      </c>
      <c r="B615" s="6" t="inlineStr">
        <is>
          <t>Schema</t>
        </is>
      </c>
      <c r="C615" s="29" t="inlineStr">
        <is>
          <t>Info</t>
        </is>
      </c>
      <c r="D615" s="6" t="inlineStr">
        <is>
          <t>No FAQ/QA schema</t>
        </is>
      </c>
      <c r="E615" s="6" t="n">
        <v>37</v>
      </c>
      <c r="F615" s="6" t="b">
        <v>0</v>
      </c>
      <c r="G615" s="6" t="inlineStr">
        <is>
          <t>True when page has Q&amp;A intent</t>
        </is>
      </c>
      <c r="H615" s="6" t="inlineStr">
        <is>
          <t>If content is Q&amp;A style, add FAQPage/QAPage schema in AIOSEO and keep markup aligned with on-page content.</t>
        </is>
      </c>
      <c r="I615" s="31" t="inlineStr">
        <is>
          <t>AEO</t>
        </is>
      </c>
      <c r="J615" s="6" t="inlineStr">
        <is>
          <t>QAPage/FAQ Schema Present</t>
        </is>
      </c>
      <c r="K615" s="6" t="inlineStr">
        <is>
          <t>No</t>
        </is>
      </c>
      <c r="L615" s="6" t="inlineStr">
        <is>
          <t>Copy Writer</t>
        </is>
      </c>
      <c r="M615" s="25" t="inlineStr">
        <is>
          <t>Open</t>
        </is>
      </c>
      <c r="N615" s="6" t="n">
        <v>4</v>
      </c>
      <c r="O615" s="6" t="inlineStr">
        <is>
          <t>https://africanmarketingconfederation.org/amc-conference-2023/programme/::aioseo_no_faq_qa_schema</t>
        </is>
      </c>
      <c r="P615" s="6" t="inlineStr">
        <is>
          <t>Q&amp;A schema can improve eligibility for answer-rich results.</t>
        </is>
      </c>
      <c r="Q615">
        <f>IFERROR(HYPERLINK("#Main!A"&amp;MATCH(A615,Main!A:A,0),"Open"),HYPERLINK("#Main!A1","Open"))</f>
        <v/>
      </c>
      <c r="R615">
        <f>IFERROR(HYPERLINK("#Technical!A"&amp;MATCH(A615,Technical!A:A,0),"Open"),HYPERLINK("#Technical!A1","Open"))</f>
        <v/>
      </c>
    </row>
    <row r="616" ht="45" customHeight="1">
      <c r="A616" s="33" t="inlineStr">
        <is>
          <t>https://africanmarketingconfederation.org/amc-conference-2023/speakers/</t>
        </is>
      </c>
      <c r="B616" s="24" t="inlineStr">
        <is>
          <t>Schema</t>
        </is>
      </c>
      <c r="C616" s="29" t="inlineStr">
        <is>
          <t>Info</t>
        </is>
      </c>
      <c r="D616" s="24" t="inlineStr">
        <is>
          <t>No FAQ/QA schema</t>
        </is>
      </c>
      <c r="E616" s="24" t="n">
        <v>37</v>
      </c>
      <c r="F616" s="24" t="b">
        <v>0</v>
      </c>
      <c r="G616" s="24" t="inlineStr">
        <is>
          <t>True when page has Q&amp;A intent</t>
        </is>
      </c>
      <c r="H616" s="24" t="inlineStr">
        <is>
          <t>If content is Q&amp;A style, add FAQPage/QAPage schema in AIOSEO and keep markup aligned with on-page content.</t>
        </is>
      </c>
      <c r="I616" s="28" t="inlineStr">
        <is>
          <t>AEO</t>
        </is>
      </c>
      <c r="J616" s="24" t="inlineStr">
        <is>
          <t>QAPage/FAQ Schema Present</t>
        </is>
      </c>
      <c r="K616" s="24" t="inlineStr">
        <is>
          <t>No</t>
        </is>
      </c>
      <c r="L616" s="24" t="inlineStr">
        <is>
          <t>Copy Writer</t>
        </is>
      </c>
      <c r="M616" s="25" t="inlineStr">
        <is>
          <t>Open</t>
        </is>
      </c>
      <c r="N616" s="24" t="n">
        <v>4</v>
      </c>
      <c r="O616" s="24" t="inlineStr">
        <is>
          <t>https://africanmarketingconfederation.org/amc-conference-2023/speakers/::aioseo_no_faq_qa_schema</t>
        </is>
      </c>
      <c r="P616" s="24" t="inlineStr">
        <is>
          <t>Q&amp;A schema can improve eligibility for answer-rich results.</t>
        </is>
      </c>
      <c r="Q616">
        <f>IFERROR(HYPERLINK("#Main!A"&amp;MATCH(A616,Main!A:A,0),"Open"),HYPERLINK("#Main!A1","Open"))</f>
        <v/>
      </c>
      <c r="R616">
        <f>IFERROR(HYPERLINK("#Technical!A"&amp;MATCH(A616,Technical!A:A,0),"Open"),HYPERLINK("#Technical!A1","Open"))</f>
        <v/>
      </c>
    </row>
    <row r="617" ht="45" customHeight="1">
      <c r="A617" s="33" t="inlineStr">
        <is>
          <t>https://africanmarketingconfederation.org/amc-conference-2024-recap/</t>
        </is>
      </c>
      <c r="B617" s="6" t="inlineStr">
        <is>
          <t>Schema</t>
        </is>
      </c>
      <c r="C617" s="29" t="inlineStr">
        <is>
          <t>Info</t>
        </is>
      </c>
      <c r="D617" s="6" t="inlineStr">
        <is>
          <t>No FAQ/QA schema</t>
        </is>
      </c>
      <c r="E617" s="6" t="n">
        <v>37</v>
      </c>
      <c r="F617" s="6" t="b">
        <v>0</v>
      </c>
      <c r="G617" s="6" t="inlineStr">
        <is>
          <t>True when page has Q&amp;A intent</t>
        </is>
      </c>
      <c r="H617" s="6" t="inlineStr">
        <is>
          <t>If content is Q&amp;A style, add FAQPage/QAPage schema in AIOSEO and keep markup aligned with on-page content.</t>
        </is>
      </c>
      <c r="I617" s="31" t="inlineStr">
        <is>
          <t>AEO</t>
        </is>
      </c>
      <c r="J617" s="6" t="inlineStr">
        <is>
          <t>QAPage/FAQ Schema Present</t>
        </is>
      </c>
      <c r="K617" s="6" t="inlineStr">
        <is>
          <t>No</t>
        </is>
      </c>
      <c r="L617" s="6" t="inlineStr">
        <is>
          <t>Copy Writer</t>
        </is>
      </c>
      <c r="M617" s="25" t="inlineStr">
        <is>
          <t>Open</t>
        </is>
      </c>
      <c r="N617" s="6" t="n">
        <v>4</v>
      </c>
      <c r="O617" s="6" t="inlineStr">
        <is>
          <t>https://africanmarketingconfederation.org/amc-conference-2024-recap/::aioseo_no_faq_qa_schema</t>
        </is>
      </c>
      <c r="P617" s="6" t="inlineStr">
        <is>
          <t>Q&amp;A schema can improve eligibility for answer-rich results.</t>
        </is>
      </c>
      <c r="Q617">
        <f>IFERROR(HYPERLINK("#Main!A"&amp;MATCH(A617,Main!A:A,0),"Open"),HYPERLINK("#Main!A1","Open"))</f>
        <v/>
      </c>
      <c r="R617">
        <f>IFERROR(HYPERLINK("#Technical!A"&amp;MATCH(A617,Technical!A:A,0),"Open"),HYPERLINK("#Technical!A1","Open"))</f>
        <v/>
      </c>
    </row>
    <row r="618" ht="45" customHeight="1">
      <c r="A618" s="33" t="inlineStr">
        <is>
          <t>https://africanmarketingconfederation.org/amc-conference-2024-sponsors-packages/</t>
        </is>
      </c>
      <c r="B618" s="24" t="inlineStr">
        <is>
          <t>Schema</t>
        </is>
      </c>
      <c r="C618" s="29" t="inlineStr">
        <is>
          <t>Info</t>
        </is>
      </c>
      <c r="D618" s="24" t="inlineStr">
        <is>
          <t>No FAQ/QA schema</t>
        </is>
      </c>
      <c r="E618" s="24" t="n">
        <v>37</v>
      </c>
      <c r="F618" s="24" t="b">
        <v>0</v>
      </c>
      <c r="G618" s="24" t="inlineStr">
        <is>
          <t>True when page has Q&amp;A intent</t>
        </is>
      </c>
      <c r="H618" s="24" t="inlineStr">
        <is>
          <t>If content is Q&amp;A style, add FAQPage/QAPage schema in AIOSEO and keep markup aligned with on-page content.</t>
        </is>
      </c>
      <c r="I618" s="28" t="inlineStr">
        <is>
          <t>AEO</t>
        </is>
      </c>
      <c r="J618" s="24" t="inlineStr">
        <is>
          <t>QAPage/FAQ Schema Present</t>
        </is>
      </c>
      <c r="K618" s="24" t="inlineStr">
        <is>
          <t>No</t>
        </is>
      </c>
      <c r="L618" s="24" t="inlineStr">
        <is>
          <t>Copy Writer</t>
        </is>
      </c>
      <c r="M618" s="25" t="inlineStr">
        <is>
          <t>Open</t>
        </is>
      </c>
      <c r="N618" s="24" t="n">
        <v>4</v>
      </c>
      <c r="O618" s="24" t="inlineStr">
        <is>
          <t>https://africanmarketingconfederation.org/amc-conference-2024-sponsors-packages/::aioseo_no_faq_qa_schema</t>
        </is>
      </c>
      <c r="P618" s="24" t="inlineStr">
        <is>
          <t>Q&amp;A schema can improve eligibility for answer-rich results.</t>
        </is>
      </c>
      <c r="Q618">
        <f>IFERROR(HYPERLINK("#Main!A"&amp;MATCH(A618,Main!A:A,0),"Open"),HYPERLINK("#Main!A1","Open"))</f>
        <v/>
      </c>
      <c r="R618">
        <f>IFERROR(HYPERLINK("#Technical!A"&amp;MATCH(A618,Technical!A:A,0),"Open"),HYPERLINK("#Technical!A1","Open"))</f>
        <v/>
      </c>
    </row>
    <row r="619" ht="45" customHeight="1">
      <c r="A619" s="33" t="inlineStr">
        <is>
          <t>https://africanmarketingconfederation.org/amc-conference-2025-highlights/</t>
        </is>
      </c>
      <c r="B619" s="6" t="inlineStr">
        <is>
          <t>Schema</t>
        </is>
      </c>
      <c r="C619" s="29" t="inlineStr">
        <is>
          <t>Info</t>
        </is>
      </c>
      <c r="D619" s="6" t="inlineStr">
        <is>
          <t>No FAQ/QA schema</t>
        </is>
      </c>
      <c r="E619" s="6" t="n">
        <v>37</v>
      </c>
      <c r="F619" s="6" t="b">
        <v>0</v>
      </c>
      <c r="G619" s="6" t="inlineStr">
        <is>
          <t>True when page has Q&amp;A intent</t>
        </is>
      </c>
      <c r="H619" s="6" t="inlineStr">
        <is>
          <t>If content is Q&amp;A style, add FAQPage/QAPage schema in AIOSEO and keep markup aligned with on-page content.</t>
        </is>
      </c>
      <c r="I619" s="31" t="inlineStr">
        <is>
          <t>AEO</t>
        </is>
      </c>
      <c r="J619" s="6" t="inlineStr">
        <is>
          <t>QAPage/FAQ Schema Present</t>
        </is>
      </c>
      <c r="K619" s="6" t="inlineStr">
        <is>
          <t>No</t>
        </is>
      </c>
      <c r="L619" s="6" t="inlineStr">
        <is>
          <t>Copy Writer</t>
        </is>
      </c>
      <c r="M619" s="25" t="inlineStr">
        <is>
          <t>Open</t>
        </is>
      </c>
      <c r="N619" s="6" t="n">
        <v>4</v>
      </c>
      <c r="O619" s="6" t="inlineStr">
        <is>
          <t>https://africanmarketingconfederation.org/amc-conference-2025-highlights/::aioseo_no_faq_qa_schema</t>
        </is>
      </c>
      <c r="P619" s="6" t="inlineStr">
        <is>
          <t>Q&amp;A schema can improve eligibility for answer-rich results.</t>
        </is>
      </c>
      <c r="Q619">
        <f>IFERROR(HYPERLINK("#Main!A"&amp;MATCH(A619,Main!A:A,0),"Open"),HYPERLINK("#Main!A1","Open"))</f>
        <v/>
      </c>
      <c r="R619">
        <f>IFERROR(HYPERLINK("#Technical!A"&amp;MATCH(A619,Technical!A:A,0),"Open"),HYPERLINK("#Technical!A1","Open"))</f>
        <v/>
      </c>
    </row>
    <row r="620" ht="45" customHeight="1">
      <c r="A620" s="33" t="inlineStr">
        <is>
          <t>https://africanmarketingconfederation.org/amc-conference-2025/</t>
        </is>
      </c>
      <c r="B620" s="24" t="inlineStr">
        <is>
          <t>Schema</t>
        </is>
      </c>
      <c r="C620" s="29" t="inlineStr">
        <is>
          <t>Info</t>
        </is>
      </c>
      <c r="D620" s="24" t="inlineStr">
        <is>
          <t>No FAQ/QA schema</t>
        </is>
      </c>
      <c r="E620" s="24" t="n">
        <v>37</v>
      </c>
      <c r="F620" s="24" t="b">
        <v>0</v>
      </c>
      <c r="G620" s="24" t="inlineStr">
        <is>
          <t>True when page has Q&amp;A intent</t>
        </is>
      </c>
      <c r="H620" s="24" t="inlineStr">
        <is>
          <t>If content is Q&amp;A style, add FAQPage/QAPage schema in AIOSEO and keep markup aligned with on-page content.</t>
        </is>
      </c>
      <c r="I620" s="28" t="inlineStr">
        <is>
          <t>AEO</t>
        </is>
      </c>
      <c r="J620" s="24" t="inlineStr">
        <is>
          <t>QAPage/FAQ Schema Present</t>
        </is>
      </c>
      <c r="K620" s="24" t="inlineStr">
        <is>
          <t>No</t>
        </is>
      </c>
      <c r="L620" s="24" t="inlineStr">
        <is>
          <t>Copy Writer</t>
        </is>
      </c>
      <c r="M620" s="25" t="inlineStr">
        <is>
          <t>Open</t>
        </is>
      </c>
      <c r="N620" s="24" t="n">
        <v>4</v>
      </c>
      <c r="O620" s="24" t="inlineStr">
        <is>
          <t>https://africanmarketingconfederation.org/amc-conference-2025/::aioseo_no_faq_qa_schema</t>
        </is>
      </c>
      <c r="P620" s="24" t="inlineStr">
        <is>
          <t>Q&amp;A schema can improve eligibility for answer-rich results.</t>
        </is>
      </c>
      <c r="Q620">
        <f>IFERROR(HYPERLINK("#Main!A"&amp;MATCH(A620,Main!A:A,0),"Open"),HYPERLINK("#Main!A1","Open"))</f>
        <v/>
      </c>
      <c r="R620">
        <f>IFERROR(HYPERLINK("#Technical!A"&amp;MATCH(A620,Technical!A:A,0),"Open"),HYPERLINK("#Technical!A1","Open"))</f>
        <v/>
      </c>
    </row>
    <row r="621" ht="45" customHeight="1">
      <c r="A621" s="33" t="inlineStr">
        <is>
          <t>https://africanmarketingconfederation.org/amc-conference-2026-awards-nominations-thank-you/</t>
        </is>
      </c>
      <c r="B621" s="6" t="inlineStr">
        <is>
          <t>Schema</t>
        </is>
      </c>
      <c r="C621" s="29" t="inlineStr">
        <is>
          <t>Info</t>
        </is>
      </c>
      <c r="D621" s="6" t="inlineStr">
        <is>
          <t>No FAQ/QA schema</t>
        </is>
      </c>
      <c r="E621" s="6" t="n">
        <v>37</v>
      </c>
      <c r="F621" s="6" t="b">
        <v>0</v>
      </c>
      <c r="G621" s="6" t="inlineStr">
        <is>
          <t>True when page has Q&amp;A intent</t>
        </is>
      </c>
      <c r="H621" s="6" t="inlineStr">
        <is>
          <t>If content is Q&amp;A style, add FAQPage/QAPage schema in AIOSEO and keep markup aligned with on-page content.</t>
        </is>
      </c>
      <c r="I621" s="31" t="inlineStr">
        <is>
          <t>AEO</t>
        </is>
      </c>
      <c r="J621" s="6" t="inlineStr">
        <is>
          <t>QAPage/FAQ Schema Present</t>
        </is>
      </c>
      <c r="K621" s="6" t="inlineStr">
        <is>
          <t>No</t>
        </is>
      </c>
      <c r="L621" s="6" t="inlineStr">
        <is>
          <t>Copy Writer</t>
        </is>
      </c>
      <c r="M621" s="25" t="inlineStr">
        <is>
          <t>Open</t>
        </is>
      </c>
      <c r="N621" s="6" t="n">
        <v>4</v>
      </c>
      <c r="O621" s="6" t="inlineStr">
        <is>
          <t>https://africanmarketingconfederation.org/amc-conference-2026-awards-nominations-thank-you/::aioseo_no_faq_qa_schema</t>
        </is>
      </c>
      <c r="P621" s="6" t="inlineStr">
        <is>
          <t>Q&amp;A schema can improve eligibility for answer-rich results.</t>
        </is>
      </c>
      <c r="Q621">
        <f>IFERROR(HYPERLINK("#Main!A"&amp;MATCH(A621,Main!A:A,0),"Open"),HYPERLINK("#Main!A1","Open"))</f>
        <v/>
      </c>
      <c r="R621">
        <f>IFERROR(HYPERLINK("#Technical!A"&amp;MATCH(A621,Technical!A:A,0),"Open"),HYPERLINK("#Technical!A1","Open"))</f>
        <v/>
      </c>
    </row>
    <row r="622" ht="45" customHeight="1">
      <c r="A622" s="33" t="inlineStr">
        <is>
          <t>https://africanmarketingconfederation.org/amc-conference-2026-zambia-thank-you/</t>
        </is>
      </c>
      <c r="B622" s="24" t="inlineStr">
        <is>
          <t>Schema</t>
        </is>
      </c>
      <c r="C622" s="29" t="inlineStr">
        <is>
          <t>Info</t>
        </is>
      </c>
      <c r="D622" s="24" t="inlineStr">
        <is>
          <t>No FAQ/QA schema</t>
        </is>
      </c>
      <c r="E622" s="24" t="n">
        <v>37</v>
      </c>
      <c r="F622" s="24" t="b">
        <v>0</v>
      </c>
      <c r="G622" s="24" t="inlineStr">
        <is>
          <t>True when page has Q&amp;A intent</t>
        </is>
      </c>
      <c r="H622" s="24" t="inlineStr">
        <is>
          <t>If content is Q&amp;A style, add FAQPage/QAPage schema in AIOSEO and keep markup aligned with on-page content.</t>
        </is>
      </c>
      <c r="I622" s="28" t="inlineStr">
        <is>
          <t>AEO</t>
        </is>
      </c>
      <c r="J622" s="24" t="inlineStr">
        <is>
          <t>QAPage/FAQ Schema Present</t>
        </is>
      </c>
      <c r="K622" s="24" t="inlineStr">
        <is>
          <t>No</t>
        </is>
      </c>
      <c r="L622" s="24" t="inlineStr">
        <is>
          <t>Copy Writer</t>
        </is>
      </c>
      <c r="M622" s="25" t="inlineStr">
        <is>
          <t>Open</t>
        </is>
      </c>
      <c r="N622" s="24" t="n">
        <v>4</v>
      </c>
      <c r="O622" s="24" t="inlineStr">
        <is>
          <t>https://africanmarketingconfederation.org/amc-conference-2026-zambia-thank-you/::aioseo_no_faq_qa_schema</t>
        </is>
      </c>
      <c r="P622" s="24" t="inlineStr">
        <is>
          <t>Q&amp;A schema can improve eligibility for answer-rich results.</t>
        </is>
      </c>
      <c r="Q622">
        <f>IFERROR(HYPERLINK("#Main!A"&amp;MATCH(A622,Main!A:A,0),"Open"),HYPERLINK("#Main!A1","Open"))</f>
        <v/>
      </c>
      <c r="R622">
        <f>IFERROR(HYPERLINK("#Technical!A"&amp;MATCH(A622,Technical!A:A,0),"Open"),HYPERLINK("#Technical!A1","Open"))</f>
        <v/>
      </c>
    </row>
    <row r="623" ht="45" customHeight="1">
      <c r="A623" s="33" t="inlineStr">
        <is>
          <t>https://africanmarketingconfederation.org/amc-conference-2026/</t>
        </is>
      </c>
      <c r="B623" s="6" t="inlineStr">
        <is>
          <t>Schema</t>
        </is>
      </c>
      <c r="C623" s="29" t="inlineStr">
        <is>
          <t>Info</t>
        </is>
      </c>
      <c r="D623" s="6" t="inlineStr">
        <is>
          <t>No FAQ/QA schema</t>
        </is>
      </c>
      <c r="E623" s="6" t="n">
        <v>37</v>
      </c>
      <c r="F623" s="6" t="b">
        <v>0</v>
      </c>
      <c r="G623" s="6" t="inlineStr">
        <is>
          <t>True when page has Q&amp;A intent</t>
        </is>
      </c>
      <c r="H623" s="6" t="inlineStr">
        <is>
          <t>If content is Q&amp;A style, add FAQPage/QAPage schema in AIOSEO and keep markup aligned with on-page content.</t>
        </is>
      </c>
      <c r="I623" s="31" t="inlineStr">
        <is>
          <t>AEO</t>
        </is>
      </c>
      <c r="J623" s="6" t="inlineStr">
        <is>
          <t>QAPage/FAQ Schema Present</t>
        </is>
      </c>
      <c r="K623" s="6" t="inlineStr">
        <is>
          <t>No</t>
        </is>
      </c>
      <c r="L623" s="6" t="inlineStr">
        <is>
          <t>Copy Writer</t>
        </is>
      </c>
      <c r="M623" s="25" t="inlineStr">
        <is>
          <t>Open</t>
        </is>
      </c>
      <c r="N623" s="6" t="n">
        <v>4</v>
      </c>
      <c r="O623" s="6" t="inlineStr">
        <is>
          <t>https://africanmarketingconfederation.org/amc-conference-2026/::aioseo_no_faq_qa_schema</t>
        </is>
      </c>
      <c r="P623" s="6" t="inlineStr">
        <is>
          <t>Q&amp;A schema can improve eligibility for answer-rich results.</t>
        </is>
      </c>
      <c r="Q623">
        <f>IFERROR(HYPERLINK("#Main!A"&amp;MATCH(A623,Main!A:A,0),"Open"),HYPERLINK("#Main!A1","Open"))</f>
        <v/>
      </c>
      <c r="R623">
        <f>IFERROR(HYPERLINK("#Technical!A"&amp;MATCH(A623,Technical!A:A,0),"Open"),HYPERLINK("#Technical!A1","Open"))</f>
        <v/>
      </c>
    </row>
    <row r="624" ht="45" customHeight="1">
      <c r="A624" s="33" t="inlineStr">
        <is>
          <t>https://africanmarketingconfederation.org/amc-conference-programme/</t>
        </is>
      </c>
      <c r="B624" s="24" t="inlineStr">
        <is>
          <t>Schema</t>
        </is>
      </c>
      <c r="C624" s="29" t="inlineStr">
        <is>
          <t>Info</t>
        </is>
      </c>
      <c r="D624" s="24" t="inlineStr">
        <is>
          <t>No FAQ/QA schema</t>
        </is>
      </c>
      <c r="E624" s="24" t="n">
        <v>37</v>
      </c>
      <c r="F624" s="24" t="b">
        <v>0</v>
      </c>
      <c r="G624" s="24" t="inlineStr">
        <is>
          <t>True when page has Q&amp;A intent</t>
        </is>
      </c>
      <c r="H624" s="24" t="inlineStr">
        <is>
          <t>If content is Q&amp;A style, add FAQPage/QAPage schema in AIOSEO and keep markup aligned with on-page content.</t>
        </is>
      </c>
      <c r="I624" s="28" t="inlineStr">
        <is>
          <t>AEO</t>
        </is>
      </c>
      <c r="J624" s="24" t="inlineStr">
        <is>
          <t>QAPage/FAQ Schema Present</t>
        </is>
      </c>
      <c r="K624" s="24" t="inlineStr">
        <is>
          <t>No</t>
        </is>
      </c>
      <c r="L624" s="24" t="inlineStr">
        <is>
          <t>Copy Writer</t>
        </is>
      </c>
      <c r="M624" s="25" t="inlineStr">
        <is>
          <t>Open</t>
        </is>
      </c>
      <c r="N624" s="24" t="n">
        <v>4</v>
      </c>
      <c r="O624" s="24" t="inlineStr">
        <is>
          <t>https://africanmarketingconfederation.org/amc-conference-programme/::aioseo_no_faq_qa_schema</t>
        </is>
      </c>
      <c r="P624" s="24" t="inlineStr">
        <is>
          <t>Q&amp;A schema can improve eligibility for answer-rich results.</t>
        </is>
      </c>
      <c r="Q624">
        <f>IFERROR(HYPERLINK("#Main!A"&amp;MATCH(A624,Main!A:A,0),"Open"),HYPERLINK("#Main!A1","Open"))</f>
        <v/>
      </c>
      <c r="R624">
        <f>IFERROR(HYPERLINK("#Technical!A"&amp;MATCH(A624,Technical!A:A,0),"Open"),HYPERLINK("#Technical!A1","Open"))</f>
        <v/>
      </c>
    </row>
    <row r="625" ht="45" customHeight="1">
      <c r="A625" s="33" t="inlineStr">
        <is>
          <t>https://africanmarketingconfederation.org/amc-conference-sponsors/</t>
        </is>
      </c>
      <c r="B625" s="6" t="inlineStr">
        <is>
          <t>Schema</t>
        </is>
      </c>
      <c r="C625" s="29" t="inlineStr">
        <is>
          <t>Info</t>
        </is>
      </c>
      <c r="D625" s="6" t="inlineStr">
        <is>
          <t>No FAQ/QA schema</t>
        </is>
      </c>
      <c r="E625" s="6" t="n">
        <v>37</v>
      </c>
      <c r="F625" s="6" t="b">
        <v>0</v>
      </c>
      <c r="G625" s="6" t="inlineStr">
        <is>
          <t>True when page has Q&amp;A intent</t>
        </is>
      </c>
      <c r="H625" s="6" t="inlineStr">
        <is>
          <t>If content is Q&amp;A style, add FAQPage/QAPage schema in AIOSEO and keep markup aligned with on-page content.</t>
        </is>
      </c>
      <c r="I625" s="31" t="inlineStr">
        <is>
          <t>AEO</t>
        </is>
      </c>
      <c r="J625" s="6" t="inlineStr">
        <is>
          <t>QAPage/FAQ Schema Present</t>
        </is>
      </c>
      <c r="K625" s="6" t="inlineStr">
        <is>
          <t>No</t>
        </is>
      </c>
      <c r="L625" s="6" t="inlineStr">
        <is>
          <t>Copy Writer</t>
        </is>
      </c>
      <c r="M625" s="25" t="inlineStr">
        <is>
          <t>Open</t>
        </is>
      </c>
      <c r="N625" s="6" t="n">
        <v>4</v>
      </c>
      <c r="O625" s="6" t="inlineStr">
        <is>
          <t>https://africanmarketingconfederation.org/amc-conference-sponsors/::aioseo_no_faq_qa_schema</t>
        </is>
      </c>
      <c r="P625" s="6" t="inlineStr">
        <is>
          <t>Q&amp;A schema can improve eligibility for answer-rich results.</t>
        </is>
      </c>
      <c r="Q625">
        <f>IFERROR(HYPERLINK("#Main!A"&amp;MATCH(A625,Main!A:A,0),"Open"),HYPERLINK("#Main!A1","Open"))</f>
        <v/>
      </c>
      <c r="R625">
        <f>IFERROR(HYPERLINK("#Technical!A"&amp;MATCH(A625,Technical!A:A,0),"Open"),HYPERLINK("#Technical!A1","Open"))</f>
        <v/>
      </c>
    </row>
    <row r="626" ht="45" customHeight="1">
      <c r="A626" s="33" t="inlineStr">
        <is>
          <t>https://africanmarketingconfederation.org/amc-conference-thank-you/</t>
        </is>
      </c>
      <c r="B626" s="24" t="inlineStr">
        <is>
          <t>Schema</t>
        </is>
      </c>
      <c r="C626" s="29" t="inlineStr">
        <is>
          <t>Info</t>
        </is>
      </c>
      <c r="D626" s="24" t="inlineStr">
        <is>
          <t>No FAQ/QA schema</t>
        </is>
      </c>
      <c r="E626" s="24" t="n">
        <v>37</v>
      </c>
      <c r="F626" s="24" t="b">
        <v>0</v>
      </c>
      <c r="G626" s="24" t="inlineStr">
        <is>
          <t>True when page has Q&amp;A intent</t>
        </is>
      </c>
      <c r="H626" s="24" t="inlineStr">
        <is>
          <t>If content is Q&amp;A style, add FAQPage/QAPage schema in AIOSEO and keep markup aligned with on-page content.</t>
        </is>
      </c>
      <c r="I626" s="28" t="inlineStr">
        <is>
          <t>AEO</t>
        </is>
      </c>
      <c r="J626" s="24" t="inlineStr">
        <is>
          <t>QAPage/FAQ Schema Present</t>
        </is>
      </c>
      <c r="K626" s="24" t="inlineStr">
        <is>
          <t>No</t>
        </is>
      </c>
      <c r="L626" s="24" t="inlineStr">
        <is>
          <t>Copy Writer</t>
        </is>
      </c>
      <c r="M626" s="25" t="inlineStr">
        <is>
          <t>Open</t>
        </is>
      </c>
      <c r="N626" s="24" t="n">
        <v>4</v>
      </c>
      <c r="O626" s="24" t="inlineStr">
        <is>
          <t>https://africanmarketingconfederation.org/amc-conference-thank-you/::aioseo_no_faq_qa_schema</t>
        </is>
      </c>
      <c r="P626" s="24" t="inlineStr">
        <is>
          <t>Q&amp;A schema can improve eligibility for answer-rich results.</t>
        </is>
      </c>
      <c r="Q626">
        <f>IFERROR(HYPERLINK("#Main!A"&amp;MATCH(A626,Main!A:A,0),"Open"),HYPERLINK("#Main!A1","Open"))</f>
        <v/>
      </c>
      <c r="R626">
        <f>IFERROR(HYPERLINK("#Technical!A"&amp;MATCH(A626,Technical!A:A,0),"Open"),HYPERLINK("#Technical!A1","Open"))</f>
        <v/>
      </c>
    </row>
    <row r="627" ht="45" customHeight="1">
      <c r="A627" s="33" t="inlineStr">
        <is>
          <t>https://africanmarketingconfederation.org/amc-forum-mombasa/</t>
        </is>
      </c>
      <c r="B627" s="6" t="inlineStr">
        <is>
          <t>Schema</t>
        </is>
      </c>
      <c r="C627" s="29" t="inlineStr">
        <is>
          <t>Info</t>
        </is>
      </c>
      <c r="D627" s="6" t="inlineStr">
        <is>
          <t>No FAQ/QA schema</t>
        </is>
      </c>
      <c r="E627" s="6" t="n">
        <v>37</v>
      </c>
      <c r="F627" s="6" t="b">
        <v>0</v>
      </c>
      <c r="G627" s="6" t="inlineStr">
        <is>
          <t>True when page has Q&amp;A intent</t>
        </is>
      </c>
      <c r="H627" s="6" t="inlineStr">
        <is>
          <t>If content is Q&amp;A style, add FAQPage/QAPage schema in AIOSEO and keep markup aligned with on-page content.</t>
        </is>
      </c>
      <c r="I627" s="31" t="inlineStr">
        <is>
          <t>AEO</t>
        </is>
      </c>
      <c r="J627" s="6" t="inlineStr">
        <is>
          <t>QAPage/FAQ Schema Present</t>
        </is>
      </c>
      <c r="K627" s="6" t="inlineStr">
        <is>
          <t>No</t>
        </is>
      </c>
      <c r="L627" s="6" t="inlineStr">
        <is>
          <t>Copy Writer</t>
        </is>
      </c>
      <c r="M627" s="25" t="inlineStr">
        <is>
          <t>Open</t>
        </is>
      </c>
      <c r="N627" s="6" t="n">
        <v>4</v>
      </c>
      <c r="O627" s="6" t="inlineStr">
        <is>
          <t>https://africanmarketingconfederation.org/amc-forum-mombasa/::aioseo_no_faq_qa_schema</t>
        </is>
      </c>
      <c r="P627" s="6" t="inlineStr">
        <is>
          <t>Q&amp;A schema can improve eligibility for answer-rich results.</t>
        </is>
      </c>
      <c r="Q627">
        <f>IFERROR(HYPERLINK("#Main!A"&amp;MATCH(A627,Main!A:A,0),"Open"),HYPERLINK("#Main!A1","Open"))</f>
        <v/>
      </c>
      <c r="R627">
        <f>IFERROR(HYPERLINK("#Technical!A"&amp;MATCH(A627,Technical!A:A,0),"Open"),HYPERLINK("#Technical!A1","Open"))</f>
        <v/>
      </c>
    </row>
    <row r="628" ht="45" customHeight="1">
      <c r="A628" s="33" t="inlineStr">
        <is>
          <t>https://africanmarketingconfederation.org/amc-forum-payments/</t>
        </is>
      </c>
      <c r="B628" s="24" t="inlineStr">
        <is>
          <t>Schema</t>
        </is>
      </c>
      <c r="C628" s="29" t="inlineStr">
        <is>
          <t>Info</t>
        </is>
      </c>
      <c r="D628" s="24" t="inlineStr">
        <is>
          <t>No FAQ/QA schema</t>
        </is>
      </c>
      <c r="E628" s="24" t="n">
        <v>37</v>
      </c>
      <c r="F628" s="24" t="b">
        <v>0</v>
      </c>
      <c r="G628" s="24" t="inlineStr">
        <is>
          <t>True when page has Q&amp;A intent</t>
        </is>
      </c>
      <c r="H628" s="24" t="inlineStr">
        <is>
          <t>If content is Q&amp;A style, add FAQPage/QAPage schema in AIOSEO and keep markup aligned with on-page content.</t>
        </is>
      </c>
      <c r="I628" s="28" t="inlineStr">
        <is>
          <t>AEO</t>
        </is>
      </c>
      <c r="J628" s="24" t="inlineStr">
        <is>
          <t>QAPage/FAQ Schema Present</t>
        </is>
      </c>
      <c r="K628" s="24" t="inlineStr">
        <is>
          <t>No</t>
        </is>
      </c>
      <c r="L628" s="24" t="inlineStr">
        <is>
          <t>Copy Writer</t>
        </is>
      </c>
      <c r="M628" s="25" t="inlineStr">
        <is>
          <t>Open</t>
        </is>
      </c>
      <c r="N628" s="24" t="n">
        <v>4</v>
      </c>
      <c r="O628" s="24" t="inlineStr">
        <is>
          <t>https://africanmarketingconfederation.org/amc-forum-payments/::aioseo_no_faq_qa_schema</t>
        </is>
      </c>
      <c r="P628" s="24" t="inlineStr">
        <is>
          <t>Q&amp;A schema can improve eligibility for answer-rich results.</t>
        </is>
      </c>
      <c r="Q628">
        <f>IFERROR(HYPERLINK("#Main!A"&amp;MATCH(A628,Main!A:A,0),"Open"),HYPERLINK("#Main!A1","Open"))</f>
        <v/>
      </c>
      <c r="R628">
        <f>IFERROR(HYPERLINK("#Technical!A"&amp;MATCH(A628,Technical!A:A,0),"Open"),HYPERLINK("#Technical!A1","Open"))</f>
        <v/>
      </c>
    </row>
    <row r="629" ht="45" customHeight="1">
      <c r="A629" s="33" t="inlineStr">
        <is>
          <t>https://africanmarketingconfederation.org/amc-launch-event-zambia-thank-you-2026/</t>
        </is>
      </c>
      <c r="B629" s="6" t="inlineStr">
        <is>
          <t>Schema</t>
        </is>
      </c>
      <c r="C629" s="29" t="inlineStr">
        <is>
          <t>Info</t>
        </is>
      </c>
      <c r="D629" s="6" t="inlineStr">
        <is>
          <t>No FAQ/QA schema</t>
        </is>
      </c>
      <c r="E629" s="6" t="n">
        <v>37</v>
      </c>
      <c r="F629" s="6" t="b">
        <v>0</v>
      </c>
      <c r="G629" s="6" t="inlineStr">
        <is>
          <t>True when page has Q&amp;A intent</t>
        </is>
      </c>
      <c r="H629" s="6" t="inlineStr">
        <is>
          <t>If content is Q&amp;A style, add FAQPage/QAPage schema in AIOSEO and keep markup aligned with on-page content.</t>
        </is>
      </c>
      <c r="I629" s="31" t="inlineStr">
        <is>
          <t>AEO</t>
        </is>
      </c>
      <c r="J629" s="6" t="inlineStr">
        <is>
          <t>QAPage/FAQ Schema Present</t>
        </is>
      </c>
      <c r="K629" s="6" t="inlineStr">
        <is>
          <t>No</t>
        </is>
      </c>
      <c r="L629" s="6" t="inlineStr">
        <is>
          <t>Copy Writer</t>
        </is>
      </c>
      <c r="M629" s="25" t="inlineStr">
        <is>
          <t>Open</t>
        </is>
      </c>
      <c r="N629" s="6" t="n">
        <v>4</v>
      </c>
      <c r="O629" s="6" t="inlineStr">
        <is>
          <t>https://africanmarketingconfederation.org/amc-launch-event-zambia-thank-you-2026/::aioseo_no_faq_qa_schema</t>
        </is>
      </c>
      <c r="P629" s="6" t="inlineStr">
        <is>
          <t>Q&amp;A schema can improve eligibility for answer-rich results.</t>
        </is>
      </c>
      <c r="Q629">
        <f>IFERROR(HYPERLINK("#Main!A"&amp;MATCH(A629,Main!A:A,0),"Open"),HYPERLINK("#Main!A1","Open"))</f>
        <v/>
      </c>
      <c r="R629">
        <f>IFERROR(HYPERLINK("#Technical!A"&amp;MATCH(A629,Technical!A:A,0),"Open"),HYPERLINK("#Technical!A1","Open"))</f>
        <v/>
      </c>
    </row>
    <row r="630" ht="45" customHeight="1">
      <c r="A630" s="33" t="inlineStr">
        <is>
          <t>https://africanmarketingconfederation.org/amc-marketing-conference-2024/</t>
        </is>
      </c>
      <c r="B630" s="24" t="inlineStr">
        <is>
          <t>Schema</t>
        </is>
      </c>
      <c r="C630" s="29" t="inlineStr">
        <is>
          <t>Info</t>
        </is>
      </c>
      <c r="D630" s="24" t="inlineStr">
        <is>
          <t>No FAQ/QA schema</t>
        </is>
      </c>
      <c r="E630" s="24" t="n">
        <v>37</v>
      </c>
      <c r="F630" s="24" t="b">
        <v>0</v>
      </c>
      <c r="G630" s="24" t="inlineStr">
        <is>
          <t>True when page has Q&amp;A intent</t>
        </is>
      </c>
      <c r="H630" s="24" t="inlineStr">
        <is>
          <t>If content is Q&amp;A style, add FAQPage/QAPage schema in AIOSEO and keep markup aligned with on-page content.</t>
        </is>
      </c>
      <c r="I630" s="28" t="inlineStr">
        <is>
          <t>AEO</t>
        </is>
      </c>
      <c r="J630" s="24" t="inlineStr">
        <is>
          <t>QAPage/FAQ Schema Present</t>
        </is>
      </c>
      <c r="K630" s="24" t="inlineStr">
        <is>
          <t>No</t>
        </is>
      </c>
      <c r="L630" s="24" t="inlineStr">
        <is>
          <t>Copy Writer</t>
        </is>
      </c>
      <c r="M630" s="25" t="inlineStr">
        <is>
          <t>Open</t>
        </is>
      </c>
      <c r="N630" s="24" t="n">
        <v>4</v>
      </c>
      <c r="O630" s="24" t="inlineStr">
        <is>
          <t>https://africanmarketingconfederation.org/amc-marketing-conference-2024/::aioseo_no_faq_qa_schema</t>
        </is>
      </c>
      <c r="P630" s="24" t="inlineStr">
        <is>
          <t>Q&amp;A schema can improve eligibility for answer-rich results.</t>
        </is>
      </c>
      <c r="Q630">
        <f>IFERROR(HYPERLINK("#Main!A"&amp;MATCH(A630,Main!A:A,0),"Open"),HYPERLINK("#Main!A1","Open"))</f>
        <v/>
      </c>
      <c r="R630">
        <f>IFERROR(HYPERLINK("#Technical!A"&amp;MATCH(A630,Technical!A:A,0),"Open"),HYPERLINK("#Technical!A1","Open"))</f>
        <v/>
      </c>
    </row>
    <row r="631" ht="45" customHeight="1">
      <c r="A631" s="33" t="inlineStr">
        <is>
          <t>https://africanmarketingconfederation.org/amc-marketing-conference-2024/amc-conference-2025-ghana-sponsors/</t>
        </is>
      </c>
      <c r="B631" s="6" t="inlineStr">
        <is>
          <t>Schema</t>
        </is>
      </c>
      <c r="C631" s="29" t="inlineStr">
        <is>
          <t>Info</t>
        </is>
      </c>
      <c r="D631" s="6" t="inlineStr">
        <is>
          <t>No FAQ/QA schema</t>
        </is>
      </c>
      <c r="E631" s="6" t="n">
        <v>37</v>
      </c>
      <c r="F631" s="6" t="b">
        <v>0</v>
      </c>
      <c r="G631" s="6" t="inlineStr">
        <is>
          <t>True when page has Q&amp;A intent</t>
        </is>
      </c>
      <c r="H631" s="6" t="inlineStr">
        <is>
          <t>If content is Q&amp;A style, add FAQPage/QAPage schema in AIOSEO and keep markup aligned with on-page content.</t>
        </is>
      </c>
      <c r="I631" s="31" t="inlineStr">
        <is>
          <t>AEO</t>
        </is>
      </c>
      <c r="J631" s="6" t="inlineStr">
        <is>
          <t>QAPage/FAQ Schema Present</t>
        </is>
      </c>
      <c r="K631" s="6" t="inlineStr">
        <is>
          <t>No</t>
        </is>
      </c>
      <c r="L631" s="6" t="inlineStr">
        <is>
          <t>Copy Writer</t>
        </is>
      </c>
      <c r="M631" s="25" t="inlineStr">
        <is>
          <t>Open</t>
        </is>
      </c>
      <c r="N631" s="6" t="n">
        <v>4</v>
      </c>
      <c r="O631" s="6" t="inlineStr">
        <is>
          <t>https://africanmarketingconfederation.org/amc-marketing-conference-2024/amc-conference-2025-ghana-sponsors/::aioseo_no_faq_qa_schema</t>
        </is>
      </c>
      <c r="P631" s="6" t="inlineStr">
        <is>
          <t>Q&amp;A schema can improve eligibility for answer-rich results.</t>
        </is>
      </c>
      <c r="Q631">
        <f>IFERROR(HYPERLINK("#Main!A"&amp;MATCH(A631,Main!A:A,0),"Open"),HYPERLINK("#Main!A1","Open"))</f>
        <v/>
      </c>
      <c r="R631">
        <f>IFERROR(HYPERLINK("#Technical!A"&amp;MATCH(A631,Technical!A:A,0),"Open"),HYPERLINK("#Technical!A1","Open"))</f>
        <v/>
      </c>
    </row>
    <row r="632" ht="45" customHeight="1">
      <c r="A632" s="33" t="inlineStr">
        <is>
          <t>https://africanmarketingconfederation.org/amc-marketing-conference-2024/amc-launch-event-2025/</t>
        </is>
      </c>
      <c r="B632" s="24" t="inlineStr">
        <is>
          <t>Schema</t>
        </is>
      </c>
      <c r="C632" s="29" t="inlineStr">
        <is>
          <t>Info</t>
        </is>
      </c>
      <c r="D632" s="24" t="inlineStr">
        <is>
          <t>No FAQ/QA schema</t>
        </is>
      </c>
      <c r="E632" s="24" t="n">
        <v>37</v>
      </c>
      <c r="F632" s="24" t="b">
        <v>0</v>
      </c>
      <c r="G632" s="24" t="inlineStr">
        <is>
          <t>True when page has Q&amp;A intent</t>
        </is>
      </c>
      <c r="H632" s="24" t="inlineStr">
        <is>
          <t>If content is Q&amp;A style, add FAQPage/QAPage schema in AIOSEO and keep markup aligned with on-page content.</t>
        </is>
      </c>
      <c r="I632" s="28" t="inlineStr">
        <is>
          <t>AEO</t>
        </is>
      </c>
      <c r="J632" s="24" t="inlineStr">
        <is>
          <t>QAPage/FAQ Schema Present</t>
        </is>
      </c>
      <c r="K632" s="24" t="inlineStr">
        <is>
          <t>No</t>
        </is>
      </c>
      <c r="L632" s="24" t="inlineStr">
        <is>
          <t>Copy Writer</t>
        </is>
      </c>
      <c r="M632" s="25" t="inlineStr">
        <is>
          <t>Open</t>
        </is>
      </c>
      <c r="N632" s="24" t="n">
        <v>4</v>
      </c>
      <c r="O632" s="24" t="inlineStr">
        <is>
          <t>https://africanmarketingconfederation.org/amc-marketing-conference-2024/amc-launch-event-2025/::aioseo_no_faq_qa_schema</t>
        </is>
      </c>
      <c r="P632" s="24" t="inlineStr">
        <is>
          <t>Q&amp;A schema can improve eligibility for answer-rich results.</t>
        </is>
      </c>
      <c r="Q632">
        <f>IFERROR(HYPERLINK("#Main!A"&amp;MATCH(A632,Main!A:A,0),"Open"),HYPERLINK("#Main!A1","Open"))</f>
        <v/>
      </c>
      <c r="R632">
        <f>IFERROR(HYPERLINK("#Technical!A"&amp;MATCH(A632,Technical!A:A,0),"Open"),HYPERLINK("#Technical!A1","Open"))</f>
        <v/>
      </c>
    </row>
    <row r="633" ht="45" customHeight="1">
      <c r="A633" s="33" t="inlineStr">
        <is>
          <t>https://africanmarketingconfederation.org/amc-marketing-conference-2024/amc-preregister-2025/</t>
        </is>
      </c>
      <c r="B633" s="6" t="inlineStr">
        <is>
          <t>Schema</t>
        </is>
      </c>
      <c r="C633" s="29" t="inlineStr">
        <is>
          <t>Info</t>
        </is>
      </c>
      <c r="D633" s="6" t="inlineStr">
        <is>
          <t>No FAQ/QA schema</t>
        </is>
      </c>
      <c r="E633" s="6" t="n">
        <v>37</v>
      </c>
      <c r="F633" s="6" t="b">
        <v>0</v>
      </c>
      <c r="G633" s="6" t="inlineStr">
        <is>
          <t>True when page has Q&amp;A intent</t>
        </is>
      </c>
      <c r="H633" s="6" t="inlineStr">
        <is>
          <t>If content is Q&amp;A style, add FAQPage/QAPage schema in AIOSEO and keep markup aligned with on-page content.</t>
        </is>
      </c>
      <c r="I633" s="31" t="inlineStr">
        <is>
          <t>AEO</t>
        </is>
      </c>
      <c r="J633" s="6" t="inlineStr">
        <is>
          <t>QAPage/FAQ Schema Present</t>
        </is>
      </c>
      <c r="K633" s="6" t="inlineStr">
        <is>
          <t>No</t>
        </is>
      </c>
      <c r="L633" s="6" t="inlineStr">
        <is>
          <t>Copy Writer</t>
        </is>
      </c>
      <c r="M633" s="25" t="inlineStr">
        <is>
          <t>Open</t>
        </is>
      </c>
      <c r="N633" s="6" t="n">
        <v>4</v>
      </c>
      <c r="O633" s="6" t="inlineStr">
        <is>
          <t>https://africanmarketingconfederation.org/amc-marketing-conference-2024/amc-preregister-2025/::aioseo_no_faq_qa_schema</t>
        </is>
      </c>
      <c r="P633" s="6" t="inlineStr">
        <is>
          <t>Q&amp;A schema can improve eligibility for answer-rich results.</t>
        </is>
      </c>
      <c r="Q633">
        <f>IFERROR(HYPERLINK("#Main!A"&amp;MATCH(A633,Main!A:A,0),"Open"),HYPERLINK("#Main!A1","Open"))</f>
        <v/>
      </c>
      <c r="R633">
        <f>IFERROR(HYPERLINK("#Technical!A"&amp;MATCH(A633,Technical!A:A,0),"Open"),HYPERLINK("#Technical!A1","Open"))</f>
        <v/>
      </c>
    </row>
    <row r="634" ht="45" customHeight="1">
      <c r="A634" s="33" t="inlineStr">
        <is>
          <t>https://africanmarketingconfederation.org/amc-marketing-conference-2024/amc-programme-2025/</t>
        </is>
      </c>
      <c r="B634" s="24" t="inlineStr">
        <is>
          <t>Schema</t>
        </is>
      </c>
      <c r="C634" s="29" t="inlineStr">
        <is>
          <t>Info</t>
        </is>
      </c>
      <c r="D634" s="24" t="inlineStr">
        <is>
          <t>No FAQ/QA schema</t>
        </is>
      </c>
      <c r="E634" s="24" t="n">
        <v>37</v>
      </c>
      <c r="F634" s="24" t="b">
        <v>0</v>
      </c>
      <c r="G634" s="24" t="inlineStr">
        <is>
          <t>True when page has Q&amp;A intent</t>
        </is>
      </c>
      <c r="H634" s="24" t="inlineStr">
        <is>
          <t>If content is Q&amp;A style, add FAQPage/QAPage schema in AIOSEO and keep markup aligned with on-page content.</t>
        </is>
      </c>
      <c r="I634" s="28" t="inlineStr">
        <is>
          <t>AEO</t>
        </is>
      </c>
      <c r="J634" s="24" t="inlineStr">
        <is>
          <t>QAPage/FAQ Schema Present</t>
        </is>
      </c>
      <c r="K634" s="24" t="inlineStr">
        <is>
          <t>No</t>
        </is>
      </c>
      <c r="L634" s="24" t="inlineStr">
        <is>
          <t>Copy Writer</t>
        </is>
      </c>
      <c r="M634" s="25" t="inlineStr">
        <is>
          <t>Open</t>
        </is>
      </c>
      <c r="N634" s="24" t="n">
        <v>4</v>
      </c>
      <c r="O634" s="24" t="inlineStr">
        <is>
          <t>https://africanmarketingconfederation.org/amc-marketing-conference-2024/amc-programme-2025/::aioseo_no_faq_qa_schema</t>
        </is>
      </c>
      <c r="P634" s="24" t="inlineStr">
        <is>
          <t>Q&amp;A schema can improve eligibility for answer-rich results.</t>
        </is>
      </c>
      <c r="Q634">
        <f>IFERROR(HYPERLINK("#Main!A"&amp;MATCH(A634,Main!A:A,0),"Open"),HYPERLINK("#Main!A1","Open"))</f>
        <v/>
      </c>
      <c r="R634">
        <f>IFERROR(HYPERLINK("#Technical!A"&amp;MATCH(A634,Technical!A:A,0),"Open"),HYPERLINK("#Technical!A1","Open"))</f>
        <v/>
      </c>
    </row>
    <row r="635" ht="45" customHeight="1">
      <c r="A635" s="33" t="inlineStr">
        <is>
          <t>https://africanmarketingconfederation.org/amc-marketing-conference-2024/amc-speakers-presentations-2024/</t>
        </is>
      </c>
      <c r="B635" s="6" t="inlineStr">
        <is>
          <t>Schema</t>
        </is>
      </c>
      <c r="C635" s="29" t="inlineStr">
        <is>
          <t>Info</t>
        </is>
      </c>
      <c r="D635" s="6" t="inlineStr">
        <is>
          <t>No FAQ/QA schema</t>
        </is>
      </c>
      <c r="E635" s="6" t="n">
        <v>37</v>
      </c>
      <c r="F635" s="6" t="b">
        <v>0</v>
      </c>
      <c r="G635" s="6" t="inlineStr">
        <is>
          <t>True when page has Q&amp;A intent</t>
        </is>
      </c>
      <c r="H635" s="6" t="inlineStr">
        <is>
          <t>If content is Q&amp;A style, add FAQPage/QAPage schema in AIOSEO and keep markup aligned with on-page content.</t>
        </is>
      </c>
      <c r="I635" s="31" t="inlineStr">
        <is>
          <t>AEO</t>
        </is>
      </c>
      <c r="J635" s="6" t="inlineStr">
        <is>
          <t>QAPage/FAQ Schema Present</t>
        </is>
      </c>
      <c r="K635" s="6" t="inlineStr">
        <is>
          <t>No</t>
        </is>
      </c>
      <c r="L635" s="6" t="inlineStr">
        <is>
          <t>Copy Writer</t>
        </is>
      </c>
      <c r="M635" s="25" t="inlineStr">
        <is>
          <t>Open</t>
        </is>
      </c>
      <c r="N635" s="6" t="n">
        <v>4</v>
      </c>
      <c r="O635" s="6" t="inlineStr">
        <is>
          <t>https://africanmarketingconfederation.org/amc-marketing-conference-2024/amc-speakers-presentations-2024/::aioseo_no_faq_qa_schema</t>
        </is>
      </c>
      <c r="P635" s="6" t="inlineStr">
        <is>
          <t>Q&amp;A schema can improve eligibility for answer-rich results.</t>
        </is>
      </c>
      <c r="Q635">
        <f>IFERROR(HYPERLINK("#Main!A"&amp;MATCH(A635,Main!A:A,0),"Open"),HYPERLINK("#Main!A1","Open"))</f>
        <v/>
      </c>
      <c r="R635">
        <f>IFERROR(HYPERLINK("#Technical!A"&amp;MATCH(A635,Technical!A:A,0),"Open"),HYPERLINK("#Technical!A1","Open"))</f>
        <v/>
      </c>
    </row>
    <row r="636" ht="45" customHeight="1">
      <c r="A636" s="33" t="inlineStr">
        <is>
          <t>https://africanmarketingconfederation.org/amc-marketing-conference-2024/awards-2025/</t>
        </is>
      </c>
      <c r="B636" s="24" t="inlineStr">
        <is>
          <t>Schema</t>
        </is>
      </c>
      <c r="C636" s="29" t="inlineStr">
        <is>
          <t>Info</t>
        </is>
      </c>
      <c r="D636" s="24" t="inlineStr">
        <is>
          <t>No FAQ/QA schema</t>
        </is>
      </c>
      <c r="E636" s="24" t="n">
        <v>37</v>
      </c>
      <c r="F636" s="24" t="b">
        <v>0</v>
      </c>
      <c r="G636" s="24" t="inlineStr">
        <is>
          <t>True when page has Q&amp;A intent</t>
        </is>
      </c>
      <c r="H636" s="24" t="inlineStr">
        <is>
          <t>If content is Q&amp;A style, add FAQPage/QAPage schema in AIOSEO and keep markup aligned with on-page content.</t>
        </is>
      </c>
      <c r="I636" s="28" t="inlineStr">
        <is>
          <t>AEO</t>
        </is>
      </c>
      <c r="J636" s="24" t="inlineStr">
        <is>
          <t>QAPage/FAQ Schema Present</t>
        </is>
      </c>
      <c r="K636" s="24" t="inlineStr">
        <is>
          <t>No</t>
        </is>
      </c>
      <c r="L636" s="24" t="inlineStr">
        <is>
          <t>Copy Writer</t>
        </is>
      </c>
      <c r="M636" s="25" t="inlineStr">
        <is>
          <t>Open</t>
        </is>
      </c>
      <c r="N636" s="24" t="n">
        <v>4</v>
      </c>
      <c r="O636" s="24" t="inlineStr">
        <is>
          <t>https://africanmarketingconfederation.org/amc-marketing-conference-2024/awards-2025/::aioseo_no_faq_qa_schema</t>
        </is>
      </c>
      <c r="P636" s="24" t="inlineStr">
        <is>
          <t>Q&amp;A schema can improve eligibility for answer-rich results.</t>
        </is>
      </c>
      <c r="Q636">
        <f>IFERROR(HYPERLINK("#Main!A"&amp;MATCH(A636,Main!A:A,0),"Open"),HYPERLINK("#Main!A1","Open"))</f>
        <v/>
      </c>
      <c r="R636">
        <f>IFERROR(HYPERLINK("#Technical!A"&amp;MATCH(A636,Technical!A:A,0),"Open"),HYPERLINK("#Technical!A1","Open"))</f>
        <v/>
      </c>
    </row>
    <row r="637" ht="45" customHeight="1">
      <c r="A637" s="33" t="inlineStr">
        <is>
          <t>https://africanmarketingconfederation.org/amc-marketing-conference-2024/programme-2024/</t>
        </is>
      </c>
      <c r="B637" s="6" t="inlineStr">
        <is>
          <t>Schema</t>
        </is>
      </c>
      <c r="C637" s="29" t="inlineStr">
        <is>
          <t>Info</t>
        </is>
      </c>
      <c r="D637" s="6" t="inlineStr">
        <is>
          <t>No FAQ/QA schema</t>
        </is>
      </c>
      <c r="E637" s="6" t="n">
        <v>37</v>
      </c>
      <c r="F637" s="6" t="b">
        <v>0</v>
      </c>
      <c r="G637" s="6" t="inlineStr">
        <is>
          <t>True when page has Q&amp;A intent</t>
        </is>
      </c>
      <c r="H637" s="6" t="inlineStr">
        <is>
          <t>If content is Q&amp;A style, add FAQPage/QAPage schema in AIOSEO and keep markup aligned with on-page content.</t>
        </is>
      </c>
      <c r="I637" s="31" t="inlineStr">
        <is>
          <t>AEO</t>
        </is>
      </c>
      <c r="J637" s="6" t="inlineStr">
        <is>
          <t>QAPage/FAQ Schema Present</t>
        </is>
      </c>
      <c r="K637" s="6" t="inlineStr">
        <is>
          <t>No</t>
        </is>
      </c>
      <c r="L637" s="6" t="inlineStr">
        <is>
          <t>Copy Writer</t>
        </is>
      </c>
      <c r="M637" s="25" t="inlineStr">
        <is>
          <t>Open</t>
        </is>
      </c>
      <c r="N637" s="6" t="n">
        <v>4</v>
      </c>
      <c r="O637" s="6" t="inlineStr">
        <is>
          <t>https://africanmarketingconfederation.org/amc-marketing-conference-2024/programme-2024/::aioseo_no_faq_qa_schema</t>
        </is>
      </c>
      <c r="P637" s="6" t="inlineStr">
        <is>
          <t>Q&amp;A schema can improve eligibility for answer-rich results.</t>
        </is>
      </c>
      <c r="Q637">
        <f>IFERROR(HYPERLINK("#Main!A"&amp;MATCH(A637,Main!A:A,0),"Open"),HYPERLINK("#Main!A1","Open"))</f>
        <v/>
      </c>
      <c r="R637">
        <f>IFERROR(HYPERLINK("#Technical!A"&amp;MATCH(A637,Technical!A:A,0),"Open"),HYPERLINK("#Technical!A1","Open"))</f>
        <v/>
      </c>
    </row>
    <row r="638" ht="45" customHeight="1">
      <c r="A638" s="33" t="inlineStr">
        <is>
          <t>https://africanmarketingconfederation.org/amc-marketing-conference-2024/speakers-2024/</t>
        </is>
      </c>
      <c r="B638" s="24" t="inlineStr">
        <is>
          <t>Schema</t>
        </is>
      </c>
      <c r="C638" s="29" t="inlineStr">
        <is>
          <t>Info</t>
        </is>
      </c>
      <c r="D638" s="24" t="inlineStr">
        <is>
          <t>No FAQ/QA schema</t>
        </is>
      </c>
      <c r="E638" s="24" t="n">
        <v>37</v>
      </c>
      <c r="F638" s="24" t="b">
        <v>0</v>
      </c>
      <c r="G638" s="24" t="inlineStr">
        <is>
          <t>True when page has Q&amp;A intent</t>
        </is>
      </c>
      <c r="H638" s="24" t="inlineStr">
        <is>
          <t>If content is Q&amp;A style, add FAQPage/QAPage schema in AIOSEO and keep markup aligned with on-page content.</t>
        </is>
      </c>
      <c r="I638" s="28" t="inlineStr">
        <is>
          <t>AEO</t>
        </is>
      </c>
      <c r="J638" s="24" t="inlineStr">
        <is>
          <t>QAPage/FAQ Schema Present</t>
        </is>
      </c>
      <c r="K638" s="24" t="inlineStr">
        <is>
          <t>No</t>
        </is>
      </c>
      <c r="L638" s="24" t="inlineStr">
        <is>
          <t>Copy Writer</t>
        </is>
      </c>
      <c r="M638" s="25" t="inlineStr">
        <is>
          <t>Open</t>
        </is>
      </c>
      <c r="N638" s="24" t="n">
        <v>4</v>
      </c>
      <c r="O638" s="24" t="inlineStr">
        <is>
          <t>https://africanmarketingconfederation.org/amc-marketing-conference-2024/speakers-2024/::aioseo_no_faq_qa_schema</t>
        </is>
      </c>
      <c r="P638" s="24" t="inlineStr">
        <is>
          <t>Q&amp;A schema can improve eligibility for answer-rich results.</t>
        </is>
      </c>
      <c r="Q638">
        <f>IFERROR(HYPERLINK("#Main!A"&amp;MATCH(A638,Main!A:A,0),"Open"),HYPERLINK("#Main!A1","Open"))</f>
        <v/>
      </c>
      <c r="R638">
        <f>IFERROR(HYPERLINK("#Technical!A"&amp;MATCH(A638,Technical!A:A,0),"Open"),HYPERLINK("#Technical!A1","Open"))</f>
        <v/>
      </c>
    </row>
    <row r="639" ht="45" customHeight="1">
      <c r="A639" s="33" t="inlineStr">
        <is>
          <t>https://africanmarketingconfederation.org/amc-marketing-conference-2024/testimony-thank-you-page/</t>
        </is>
      </c>
      <c r="B639" s="6" t="inlineStr">
        <is>
          <t>Schema</t>
        </is>
      </c>
      <c r="C639" s="29" t="inlineStr">
        <is>
          <t>Info</t>
        </is>
      </c>
      <c r="D639" s="6" t="inlineStr">
        <is>
          <t>No FAQ/QA schema</t>
        </is>
      </c>
      <c r="E639" s="6" t="n">
        <v>37</v>
      </c>
      <c r="F639" s="6" t="b">
        <v>0</v>
      </c>
      <c r="G639" s="6" t="inlineStr">
        <is>
          <t>True when page has Q&amp;A intent</t>
        </is>
      </c>
      <c r="H639" s="6" t="inlineStr">
        <is>
          <t>If content is Q&amp;A style, add FAQPage/QAPage schema in AIOSEO and keep markup aligned with on-page content.</t>
        </is>
      </c>
      <c r="I639" s="31" t="inlineStr">
        <is>
          <t>AEO</t>
        </is>
      </c>
      <c r="J639" s="6" t="inlineStr">
        <is>
          <t>QAPage/FAQ Schema Present</t>
        </is>
      </c>
      <c r="K639" s="6" t="inlineStr">
        <is>
          <t>No</t>
        </is>
      </c>
      <c r="L639" s="6" t="inlineStr">
        <is>
          <t>Copy Writer</t>
        </is>
      </c>
      <c r="M639" s="25" t="inlineStr">
        <is>
          <t>Open</t>
        </is>
      </c>
      <c r="N639" s="6" t="n">
        <v>4</v>
      </c>
      <c r="O639" s="6" t="inlineStr">
        <is>
          <t>https://africanmarketingconfederation.org/amc-marketing-conference-2024/testimony-thank-you-page/::aioseo_no_faq_qa_schema</t>
        </is>
      </c>
      <c r="P639" s="6" t="inlineStr">
        <is>
          <t>Q&amp;A schema can improve eligibility for answer-rich results.</t>
        </is>
      </c>
      <c r="Q639">
        <f>IFERROR(HYPERLINK("#Main!A"&amp;MATCH(A639,Main!A:A,0),"Open"),HYPERLINK("#Main!A1","Open"))</f>
        <v/>
      </c>
      <c r="R639">
        <f>IFERROR(HYPERLINK("#Technical!A"&amp;MATCH(A639,Technical!A:A,0),"Open"),HYPERLINK("#Technical!A1","Open"))</f>
        <v/>
      </c>
    </row>
    <row r="640" ht="45" customHeight="1">
      <c r="A640" s="33" t="inlineStr">
        <is>
          <t>https://africanmarketingconfederation.org/amc-masterclass-bookings/</t>
        </is>
      </c>
      <c r="B640" s="24" t="inlineStr">
        <is>
          <t>Schema</t>
        </is>
      </c>
      <c r="C640" s="29" t="inlineStr">
        <is>
          <t>Info</t>
        </is>
      </c>
      <c r="D640" s="24" t="inlineStr">
        <is>
          <t>No FAQ/QA schema</t>
        </is>
      </c>
      <c r="E640" s="24" t="n">
        <v>37</v>
      </c>
      <c r="F640" s="24" t="b">
        <v>0</v>
      </c>
      <c r="G640" s="24" t="inlineStr">
        <is>
          <t>True when page has Q&amp;A intent</t>
        </is>
      </c>
      <c r="H640" s="24" t="inlineStr">
        <is>
          <t>If content is Q&amp;A style, add FAQPage/QAPage schema in AIOSEO and keep markup aligned with on-page content.</t>
        </is>
      </c>
      <c r="I640" s="28" t="inlineStr">
        <is>
          <t>AEO</t>
        </is>
      </c>
      <c r="J640" s="24" t="inlineStr">
        <is>
          <t>QAPage/FAQ Schema Present</t>
        </is>
      </c>
      <c r="K640" s="24" t="inlineStr">
        <is>
          <t>No</t>
        </is>
      </c>
      <c r="L640" s="24" t="inlineStr">
        <is>
          <t>Copy Writer</t>
        </is>
      </c>
      <c r="M640" s="25" t="inlineStr">
        <is>
          <t>Open</t>
        </is>
      </c>
      <c r="N640" s="24" t="n">
        <v>4</v>
      </c>
      <c r="O640" s="24" t="inlineStr">
        <is>
          <t>https://africanmarketingconfederation.org/amc-masterclass-bookings/::aioseo_no_faq_qa_schema</t>
        </is>
      </c>
      <c r="P640" s="24" t="inlineStr">
        <is>
          <t>Q&amp;A schema can improve eligibility for answer-rich results.</t>
        </is>
      </c>
      <c r="Q640">
        <f>IFERROR(HYPERLINK("#Main!A"&amp;MATCH(A640,Main!A:A,0),"Open"),HYPERLINK("#Main!A1","Open"))</f>
        <v/>
      </c>
      <c r="R640">
        <f>IFERROR(HYPERLINK("#Technical!A"&amp;MATCH(A640,Technical!A:A,0),"Open"),HYPERLINK("#Technical!A1","Open"))</f>
        <v/>
      </c>
    </row>
    <row r="641" ht="45" customHeight="1">
      <c r="A641" s="33" t="inlineStr">
        <is>
          <t>https://africanmarketingconfederation.org/amc-masterclass-thank-you/</t>
        </is>
      </c>
      <c r="B641" s="6" t="inlineStr">
        <is>
          <t>Schema</t>
        </is>
      </c>
      <c r="C641" s="29" t="inlineStr">
        <is>
          <t>Info</t>
        </is>
      </c>
      <c r="D641" s="6" t="inlineStr">
        <is>
          <t>No FAQ/QA schema</t>
        </is>
      </c>
      <c r="E641" s="6" t="n">
        <v>37</v>
      </c>
      <c r="F641" s="6" t="b">
        <v>0</v>
      </c>
      <c r="G641" s="6" t="inlineStr">
        <is>
          <t>True when page has Q&amp;A intent</t>
        </is>
      </c>
      <c r="H641" s="6" t="inlineStr">
        <is>
          <t>If content is Q&amp;A style, add FAQPage/QAPage schema in AIOSEO and keep markup aligned with on-page content.</t>
        </is>
      </c>
      <c r="I641" s="31" t="inlineStr">
        <is>
          <t>AEO</t>
        </is>
      </c>
      <c r="J641" s="6" t="inlineStr">
        <is>
          <t>QAPage/FAQ Schema Present</t>
        </is>
      </c>
      <c r="K641" s="6" t="inlineStr">
        <is>
          <t>No</t>
        </is>
      </c>
      <c r="L641" s="6" t="inlineStr">
        <is>
          <t>Copy Writer</t>
        </is>
      </c>
      <c r="M641" s="25" t="inlineStr">
        <is>
          <t>Open</t>
        </is>
      </c>
      <c r="N641" s="6" t="n">
        <v>4</v>
      </c>
      <c r="O641" s="6" t="inlineStr">
        <is>
          <t>https://africanmarketingconfederation.org/amc-masterclass-thank-you/::aioseo_no_faq_qa_schema</t>
        </is>
      </c>
      <c r="P641" s="6" t="inlineStr">
        <is>
          <t>Q&amp;A schema can improve eligibility for answer-rich results.</t>
        </is>
      </c>
      <c r="Q641">
        <f>IFERROR(HYPERLINK("#Main!A"&amp;MATCH(A641,Main!A:A,0),"Open"),HYPERLINK("#Main!A1","Open"))</f>
        <v/>
      </c>
      <c r="R641">
        <f>IFERROR(HYPERLINK("#Technical!A"&amp;MATCH(A641,Technical!A:A,0),"Open"),HYPERLINK("#Technical!A1","Open"))</f>
        <v/>
      </c>
    </row>
    <row r="642" ht="45" customHeight="1">
      <c r="A642" s="33" t="inlineStr">
        <is>
          <t>https://africanmarketingconfederation.org/amc-masterclass/</t>
        </is>
      </c>
      <c r="B642" s="24" t="inlineStr">
        <is>
          <t>Schema</t>
        </is>
      </c>
      <c r="C642" s="29" t="inlineStr">
        <is>
          <t>Info</t>
        </is>
      </c>
      <c r="D642" s="24" t="inlineStr">
        <is>
          <t>No FAQ/QA schema</t>
        </is>
      </c>
      <c r="E642" s="24" t="n">
        <v>37</v>
      </c>
      <c r="F642" s="24" t="b">
        <v>0</v>
      </c>
      <c r="G642" s="24" t="inlineStr">
        <is>
          <t>True when page has Q&amp;A intent</t>
        </is>
      </c>
      <c r="H642" s="24" t="inlineStr">
        <is>
          <t>If content is Q&amp;A style, add FAQPage/QAPage schema in AIOSEO and keep markup aligned with on-page content.</t>
        </is>
      </c>
      <c r="I642" s="28" t="inlineStr">
        <is>
          <t>AEO</t>
        </is>
      </c>
      <c r="J642" s="24" t="inlineStr">
        <is>
          <t>QAPage/FAQ Schema Present</t>
        </is>
      </c>
      <c r="K642" s="24" t="inlineStr">
        <is>
          <t>No</t>
        </is>
      </c>
      <c r="L642" s="24" t="inlineStr">
        <is>
          <t>Copy Writer</t>
        </is>
      </c>
      <c r="M642" s="25" t="inlineStr">
        <is>
          <t>Open</t>
        </is>
      </c>
      <c r="N642" s="24" t="n">
        <v>4</v>
      </c>
      <c r="O642" s="24" t="inlineStr">
        <is>
          <t>https://africanmarketingconfederation.org/amc-masterclass/::aioseo_no_faq_qa_schema</t>
        </is>
      </c>
      <c r="P642" s="24" t="inlineStr">
        <is>
          <t>Q&amp;A schema can improve eligibility for answer-rich results.</t>
        </is>
      </c>
      <c r="Q642">
        <f>IFERROR(HYPERLINK("#Main!A"&amp;MATCH(A642,Main!A:A,0),"Open"),HYPERLINK("#Main!A1","Open"))</f>
        <v/>
      </c>
      <c r="R642">
        <f>IFERROR(HYPERLINK("#Technical!A"&amp;MATCH(A642,Technical!A:A,0),"Open"),HYPERLINK("#Technical!A1","Open"))</f>
        <v/>
      </c>
    </row>
    <row r="643" ht="45" customHeight="1">
      <c r="A643" s="33" t="inlineStr">
        <is>
          <t>https://africanmarketingconfederation.org/amc-relaunch-programme/</t>
        </is>
      </c>
      <c r="B643" s="6" t="inlineStr">
        <is>
          <t>Schema</t>
        </is>
      </c>
      <c r="C643" s="29" t="inlineStr">
        <is>
          <t>Info</t>
        </is>
      </c>
      <c r="D643" s="6" t="inlineStr">
        <is>
          <t>No FAQ/QA schema</t>
        </is>
      </c>
      <c r="E643" s="6" t="n">
        <v>37</v>
      </c>
      <c r="F643" s="6" t="b">
        <v>0</v>
      </c>
      <c r="G643" s="6" t="inlineStr">
        <is>
          <t>True when page has Q&amp;A intent</t>
        </is>
      </c>
      <c r="H643" s="6" t="inlineStr">
        <is>
          <t>If content is Q&amp;A style, add FAQPage/QAPage schema in AIOSEO and keep markup aligned with on-page content.</t>
        </is>
      </c>
      <c r="I643" s="31" t="inlineStr">
        <is>
          <t>AEO</t>
        </is>
      </c>
      <c r="J643" s="6" t="inlineStr">
        <is>
          <t>QAPage/FAQ Schema Present</t>
        </is>
      </c>
      <c r="K643" s="6" t="inlineStr">
        <is>
          <t>No</t>
        </is>
      </c>
      <c r="L643" s="6" t="inlineStr">
        <is>
          <t>Copy Writer</t>
        </is>
      </c>
      <c r="M643" s="25" t="inlineStr">
        <is>
          <t>Open</t>
        </is>
      </c>
      <c r="N643" s="6" t="n">
        <v>4</v>
      </c>
      <c r="O643" s="6" t="inlineStr">
        <is>
          <t>https://africanmarketingconfederation.org/amc-relaunch-programme/::aioseo_no_faq_qa_schema</t>
        </is>
      </c>
      <c r="P643" s="6" t="inlineStr">
        <is>
          <t>Q&amp;A schema can improve eligibility for answer-rich results.</t>
        </is>
      </c>
      <c r="Q643">
        <f>IFERROR(HYPERLINK("#Main!A"&amp;MATCH(A643,Main!A:A,0),"Open"),HYPERLINK("#Main!A1","Open"))</f>
        <v/>
      </c>
      <c r="R643">
        <f>IFERROR(HYPERLINK("#Technical!A"&amp;MATCH(A643,Technical!A:A,0),"Open"),HYPERLINK("#Technical!A1","Open"))</f>
        <v/>
      </c>
    </row>
    <row r="644" ht="45" customHeight="1">
      <c r="A644" s="33" t="inlineStr">
        <is>
          <t>https://africanmarketingconfederation.org/amc-sign-up-now-form-2025/</t>
        </is>
      </c>
      <c r="B644" s="24" t="inlineStr">
        <is>
          <t>Schema</t>
        </is>
      </c>
      <c r="C644" s="29" t="inlineStr">
        <is>
          <t>Info</t>
        </is>
      </c>
      <c r="D644" s="24" t="inlineStr">
        <is>
          <t>No FAQ/QA schema</t>
        </is>
      </c>
      <c r="E644" s="24" t="n">
        <v>37</v>
      </c>
      <c r="F644" s="24" t="b">
        <v>0</v>
      </c>
      <c r="G644" s="24" t="inlineStr">
        <is>
          <t>True when page has Q&amp;A intent</t>
        </is>
      </c>
      <c r="H644" s="24" t="inlineStr">
        <is>
          <t>If content is Q&amp;A style, add FAQPage/QAPage schema in AIOSEO and keep markup aligned with on-page content.</t>
        </is>
      </c>
      <c r="I644" s="28" t="inlineStr">
        <is>
          <t>AEO</t>
        </is>
      </c>
      <c r="J644" s="24" t="inlineStr">
        <is>
          <t>QAPage/FAQ Schema Present</t>
        </is>
      </c>
      <c r="K644" s="24" t="inlineStr">
        <is>
          <t>No</t>
        </is>
      </c>
      <c r="L644" s="24" t="inlineStr">
        <is>
          <t>Copy Writer</t>
        </is>
      </c>
      <c r="M644" s="25" t="inlineStr">
        <is>
          <t>Open</t>
        </is>
      </c>
      <c r="N644" s="24" t="n">
        <v>4</v>
      </c>
      <c r="O644" s="24" t="inlineStr">
        <is>
          <t>https://africanmarketingconfederation.org/amc-sign-up-now-form-2025/::aioseo_no_faq_qa_schema</t>
        </is>
      </c>
      <c r="P644" s="24" t="inlineStr">
        <is>
          <t>Q&amp;A schema can improve eligibility for answer-rich results.</t>
        </is>
      </c>
      <c r="Q644">
        <f>IFERROR(HYPERLINK("#Main!A"&amp;MATCH(A644,Main!A:A,0),"Open"),HYPERLINK("#Main!A1","Open"))</f>
        <v/>
      </c>
      <c r="R644">
        <f>IFERROR(HYPERLINK("#Technical!A"&amp;MATCH(A644,Technical!A:A,0),"Open"),HYPERLINK("#Technical!A1","Open"))</f>
        <v/>
      </c>
    </row>
    <row r="645" ht="45" customHeight="1">
      <c r="A645" s="33" t="inlineStr">
        <is>
          <t>https://africanmarketingconfederation.org/amc-sponsors-2025/</t>
        </is>
      </c>
      <c r="B645" s="6" t="inlineStr">
        <is>
          <t>Schema</t>
        </is>
      </c>
      <c r="C645" s="29" t="inlineStr">
        <is>
          <t>Info</t>
        </is>
      </c>
      <c r="D645" s="6" t="inlineStr">
        <is>
          <t>No FAQ/QA schema</t>
        </is>
      </c>
      <c r="E645" s="6" t="n">
        <v>37</v>
      </c>
      <c r="F645" s="6" t="b">
        <v>0</v>
      </c>
      <c r="G645" s="6" t="inlineStr">
        <is>
          <t>True when page has Q&amp;A intent</t>
        </is>
      </c>
      <c r="H645" s="6" t="inlineStr">
        <is>
          <t>If content is Q&amp;A style, add FAQPage/QAPage schema in AIOSEO and keep markup aligned with on-page content.</t>
        </is>
      </c>
      <c r="I645" s="31" t="inlineStr">
        <is>
          <t>AEO</t>
        </is>
      </c>
      <c r="J645" s="6" t="inlineStr">
        <is>
          <t>QAPage/FAQ Schema Present</t>
        </is>
      </c>
      <c r="K645" s="6" t="inlineStr">
        <is>
          <t>No</t>
        </is>
      </c>
      <c r="L645" s="6" t="inlineStr">
        <is>
          <t>Copy Writer</t>
        </is>
      </c>
      <c r="M645" s="25" t="inlineStr">
        <is>
          <t>Open</t>
        </is>
      </c>
      <c r="N645" s="6" t="n">
        <v>4</v>
      </c>
      <c r="O645" s="6" t="inlineStr">
        <is>
          <t>https://africanmarketingconfederation.org/amc-sponsors-2025/::aioseo_no_faq_qa_schema</t>
        </is>
      </c>
      <c r="P645" s="6" t="inlineStr">
        <is>
          <t>Q&amp;A schema can improve eligibility for answer-rich results.</t>
        </is>
      </c>
      <c r="Q645">
        <f>IFERROR(HYPERLINK("#Main!A"&amp;MATCH(A645,Main!A:A,0),"Open"),HYPERLINK("#Main!A1","Open"))</f>
        <v/>
      </c>
      <c r="R645">
        <f>IFERROR(HYPERLINK("#Technical!A"&amp;MATCH(A645,Technical!A:A,0),"Open"),HYPERLINK("#Technical!A1","Open"))</f>
        <v/>
      </c>
    </row>
    <row r="646" ht="45" customHeight="1">
      <c r="A646" s="33" t="inlineStr">
        <is>
          <t>https://africanmarketingconfederation.org/amc-testimony-page-2024/</t>
        </is>
      </c>
      <c r="B646" s="24" t="inlineStr">
        <is>
          <t>Schema</t>
        </is>
      </c>
      <c r="C646" s="29" t="inlineStr">
        <is>
          <t>Info</t>
        </is>
      </c>
      <c r="D646" s="24" t="inlineStr">
        <is>
          <t>No FAQ/QA schema</t>
        </is>
      </c>
      <c r="E646" s="24" t="n">
        <v>37</v>
      </c>
      <c r="F646" s="24" t="b">
        <v>0</v>
      </c>
      <c r="G646" s="24" t="inlineStr">
        <is>
          <t>True when page has Q&amp;A intent</t>
        </is>
      </c>
      <c r="H646" s="24" t="inlineStr">
        <is>
          <t>If content is Q&amp;A style, add FAQPage/QAPage schema in AIOSEO and keep markup aligned with on-page content.</t>
        </is>
      </c>
      <c r="I646" s="28" t="inlineStr">
        <is>
          <t>AEO</t>
        </is>
      </c>
      <c r="J646" s="24" t="inlineStr">
        <is>
          <t>QAPage/FAQ Schema Present</t>
        </is>
      </c>
      <c r="K646" s="24" t="inlineStr">
        <is>
          <t>No</t>
        </is>
      </c>
      <c r="L646" s="24" t="inlineStr">
        <is>
          <t>Copy Writer</t>
        </is>
      </c>
      <c r="M646" s="25" t="inlineStr">
        <is>
          <t>Open</t>
        </is>
      </c>
      <c r="N646" s="24" t="n">
        <v>4</v>
      </c>
      <c r="O646" s="24" t="inlineStr">
        <is>
          <t>https://africanmarketingconfederation.org/amc-testimony-page-2024/::aioseo_no_faq_qa_schema</t>
        </is>
      </c>
      <c r="P646" s="24" t="inlineStr">
        <is>
          <t>Q&amp;A schema can improve eligibility for answer-rich results.</t>
        </is>
      </c>
      <c r="Q646">
        <f>IFERROR(HYPERLINK("#Main!A"&amp;MATCH(A646,Main!A:A,0),"Open"),HYPERLINK("#Main!A1","Open"))</f>
        <v/>
      </c>
      <c r="R646">
        <f>IFERROR(HYPERLINK("#Technical!A"&amp;MATCH(A646,Technical!A:A,0),"Open"),HYPERLINK("#Technical!A1","Open"))</f>
        <v/>
      </c>
    </row>
    <row r="647" ht="45" customHeight="1">
      <c r="A647" s="33" t="inlineStr">
        <is>
          <t>https://africanmarketingconfederation.org/awards-2026-1/</t>
        </is>
      </c>
      <c r="B647" s="6" t="inlineStr">
        <is>
          <t>Schema</t>
        </is>
      </c>
      <c r="C647" s="29" t="inlineStr">
        <is>
          <t>Info</t>
        </is>
      </c>
      <c r="D647" s="6" t="inlineStr">
        <is>
          <t>No FAQ/QA schema</t>
        </is>
      </c>
      <c r="E647" s="6" t="n">
        <v>37</v>
      </c>
      <c r="F647" s="6" t="b">
        <v>0</v>
      </c>
      <c r="G647" s="6" t="inlineStr">
        <is>
          <t>True when page has Q&amp;A intent</t>
        </is>
      </c>
      <c r="H647" s="6" t="inlineStr">
        <is>
          <t>If content is Q&amp;A style, add FAQPage/QAPage schema in AIOSEO and keep markup aligned with on-page content.</t>
        </is>
      </c>
      <c r="I647" s="31" t="inlineStr">
        <is>
          <t>AEO</t>
        </is>
      </c>
      <c r="J647" s="6" t="inlineStr">
        <is>
          <t>QAPage/FAQ Schema Present</t>
        </is>
      </c>
      <c r="K647" s="6" t="inlineStr">
        <is>
          <t>No</t>
        </is>
      </c>
      <c r="L647" s="6" t="inlineStr">
        <is>
          <t>Copy Writer</t>
        </is>
      </c>
      <c r="M647" s="25" t="inlineStr">
        <is>
          <t>Open</t>
        </is>
      </c>
      <c r="N647" s="6" t="n">
        <v>4</v>
      </c>
      <c r="O647" s="6" t="inlineStr">
        <is>
          <t>https://africanmarketingconfederation.org/awards-2026-1/::aioseo_no_faq_qa_schema</t>
        </is>
      </c>
      <c r="P647" s="6" t="inlineStr">
        <is>
          <t>Q&amp;A schema can improve eligibility for answer-rich results.</t>
        </is>
      </c>
      <c r="Q647">
        <f>IFERROR(HYPERLINK("#Main!A"&amp;MATCH(A647,Main!A:A,0),"Open"),HYPERLINK("#Main!A1","Open"))</f>
        <v/>
      </c>
      <c r="R647">
        <f>IFERROR(HYPERLINK("#Technical!A"&amp;MATCH(A647,Technical!A:A,0),"Open"),HYPERLINK("#Technical!A1","Open"))</f>
        <v/>
      </c>
    </row>
    <row r="648" ht="45" customHeight="1">
      <c r="A648" s="33" t="inlineStr">
        <is>
          <t>https://africanmarketingconfederation.org/awards-2026-test/</t>
        </is>
      </c>
      <c r="B648" s="24" t="inlineStr">
        <is>
          <t>Schema</t>
        </is>
      </c>
      <c r="C648" s="29" t="inlineStr">
        <is>
          <t>Info</t>
        </is>
      </c>
      <c r="D648" s="24" t="inlineStr">
        <is>
          <t>No FAQ/QA schema</t>
        </is>
      </c>
      <c r="E648" s="24" t="n">
        <v>37</v>
      </c>
      <c r="F648" s="24" t="b">
        <v>0</v>
      </c>
      <c r="G648" s="24" t="inlineStr">
        <is>
          <t>True when page has Q&amp;A intent</t>
        </is>
      </c>
      <c r="H648" s="24" t="inlineStr">
        <is>
          <t>If content is Q&amp;A style, add FAQPage/QAPage schema in AIOSEO and keep markup aligned with on-page content.</t>
        </is>
      </c>
      <c r="I648" s="28" t="inlineStr">
        <is>
          <t>AEO</t>
        </is>
      </c>
      <c r="J648" s="24" t="inlineStr">
        <is>
          <t>QAPage/FAQ Schema Present</t>
        </is>
      </c>
      <c r="K648" s="24" t="inlineStr">
        <is>
          <t>No</t>
        </is>
      </c>
      <c r="L648" s="24" t="inlineStr">
        <is>
          <t>Copy Writer</t>
        </is>
      </c>
      <c r="M648" s="25" t="inlineStr">
        <is>
          <t>Open</t>
        </is>
      </c>
      <c r="N648" s="24" t="n">
        <v>4</v>
      </c>
      <c r="O648" s="24" t="inlineStr">
        <is>
          <t>https://africanmarketingconfederation.org/awards-2026-test/::aioseo_no_faq_qa_schema</t>
        </is>
      </c>
      <c r="P648" s="24" t="inlineStr">
        <is>
          <t>Q&amp;A schema can improve eligibility for answer-rich results.</t>
        </is>
      </c>
      <c r="Q648">
        <f>IFERROR(HYPERLINK("#Main!A"&amp;MATCH(A648,Main!A:A,0),"Open"),HYPERLINK("#Main!A1","Open"))</f>
        <v/>
      </c>
      <c r="R648">
        <f>IFERROR(HYPERLINK("#Technical!A"&amp;MATCH(A648,Technical!A:A,0),"Open"),HYPERLINK("#Technical!A1","Open"))</f>
        <v/>
      </c>
    </row>
    <row r="649" ht="45" customHeight="1">
      <c r="A649" s="33" t="inlineStr">
        <is>
          <t>https://africanmarketingconfederation.org/awards-2026/</t>
        </is>
      </c>
      <c r="B649" s="6" t="inlineStr">
        <is>
          <t>Schema</t>
        </is>
      </c>
      <c r="C649" s="29" t="inlineStr">
        <is>
          <t>Info</t>
        </is>
      </c>
      <c r="D649" s="6" t="inlineStr">
        <is>
          <t>No FAQ/QA schema</t>
        </is>
      </c>
      <c r="E649" s="6" t="n">
        <v>37</v>
      </c>
      <c r="F649" s="6" t="b">
        <v>0</v>
      </c>
      <c r="G649" s="6" t="inlineStr">
        <is>
          <t>True when page has Q&amp;A intent</t>
        </is>
      </c>
      <c r="H649" s="6" t="inlineStr">
        <is>
          <t>If content is Q&amp;A style, add FAQPage/QAPage schema in AIOSEO and keep markup aligned with on-page content.</t>
        </is>
      </c>
      <c r="I649" s="31" t="inlineStr">
        <is>
          <t>AEO</t>
        </is>
      </c>
      <c r="J649" s="6" t="inlineStr">
        <is>
          <t>QAPage/FAQ Schema Present</t>
        </is>
      </c>
      <c r="K649" s="6" t="inlineStr">
        <is>
          <t>No</t>
        </is>
      </c>
      <c r="L649" s="6" t="inlineStr">
        <is>
          <t>Copy Writer</t>
        </is>
      </c>
      <c r="M649" s="25" t="inlineStr">
        <is>
          <t>Open</t>
        </is>
      </c>
      <c r="N649" s="6" t="n">
        <v>4</v>
      </c>
      <c r="O649" s="6" t="inlineStr">
        <is>
          <t>https://africanmarketingconfederation.org/awards-2026/::aioseo_no_faq_qa_schema</t>
        </is>
      </c>
      <c r="P649" s="6" t="inlineStr">
        <is>
          <t>Q&amp;A schema can improve eligibility for answer-rich results.</t>
        </is>
      </c>
      <c r="Q649">
        <f>IFERROR(HYPERLINK("#Main!A"&amp;MATCH(A649,Main!A:A,0),"Open"),HYPERLINK("#Main!A1","Open"))</f>
        <v/>
      </c>
      <c r="R649">
        <f>IFERROR(HYPERLINK("#Technical!A"&amp;MATCH(A649,Technical!A:A,0),"Open"),HYPERLINK("#Technical!A1","Open"))</f>
        <v/>
      </c>
    </row>
    <row r="650" ht="45" customHeight="1">
      <c r="A650" s="33" t="inlineStr">
        <is>
          <t>https://africanmarketingconfederation.org/certified-professional-marketer-africa/</t>
        </is>
      </c>
      <c r="B650" s="24" t="inlineStr">
        <is>
          <t>Schema</t>
        </is>
      </c>
      <c r="C650" s="29" t="inlineStr">
        <is>
          <t>Info</t>
        </is>
      </c>
      <c r="D650" s="24" t="inlineStr">
        <is>
          <t>No FAQ/QA schema</t>
        </is>
      </c>
      <c r="E650" s="24" t="n">
        <v>37</v>
      </c>
      <c r="F650" s="24" t="b">
        <v>0</v>
      </c>
      <c r="G650" s="24" t="inlineStr">
        <is>
          <t>True when page has Q&amp;A intent</t>
        </is>
      </c>
      <c r="H650" s="24" t="inlineStr">
        <is>
          <t>If content is Q&amp;A style, add FAQPage/QAPage schema in AIOSEO and keep markup aligned with on-page content.</t>
        </is>
      </c>
      <c r="I650" s="28" t="inlineStr">
        <is>
          <t>AEO</t>
        </is>
      </c>
      <c r="J650" s="24" t="inlineStr">
        <is>
          <t>QAPage/FAQ Schema Present</t>
        </is>
      </c>
      <c r="K650" s="24" t="inlineStr">
        <is>
          <t>No</t>
        </is>
      </c>
      <c r="L650" s="24" t="inlineStr">
        <is>
          <t>Copy Writer</t>
        </is>
      </c>
      <c r="M650" s="25" t="inlineStr">
        <is>
          <t>Open</t>
        </is>
      </c>
      <c r="N650" s="24" t="n">
        <v>4</v>
      </c>
      <c r="O650" s="24" t="inlineStr">
        <is>
          <t>https://africanmarketingconfederation.org/certified-professional-marketer-africa/::aioseo_no_faq_qa_schema</t>
        </is>
      </c>
      <c r="P650" s="24" t="inlineStr">
        <is>
          <t>Q&amp;A schema can improve eligibility for answer-rich results.</t>
        </is>
      </c>
      <c r="Q650">
        <f>IFERROR(HYPERLINK("#Main!A"&amp;MATCH(A650,Main!A:A,0),"Open"),HYPERLINK("#Main!A1","Open"))</f>
        <v/>
      </c>
      <c r="R650">
        <f>IFERROR(HYPERLINK("#Technical!A"&amp;MATCH(A650,Technical!A:A,0),"Open"),HYPERLINK("#Technical!A1","Open"))</f>
        <v/>
      </c>
    </row>
    <row r="651" ht="45" customHeight="1">
      <c r="A651" s="33" t="inlineStr">
        <is>
          <t>https://africanmarketingconfederation.org/chartered-marketer-africa-final-submission-fee/</t>
        </is>
      </c>
      <c r="B651" s="6" t="inlineStr">
        <is>
          <t>Schema</t>
        </is>
      </c>
      <c r="C651" s="29" t="inlineStr">
        <is>
          <t>Info</t>
        </is>
      </c>
      <c r="D651" s="6" t="inlineStr">
        <is>
          <t>No FAQ/QA schema</t>
        </is>
      </c>
      <c r="E651" s="6" t="n">
        <v>37</v>
      </c>
      <c r="F651" s="6" t="b">
        <v>0</v>
      </c>
      <c r="G651" s="6" t="inlineStr">
        <is>
          <t>True when page has Q&amp;A intent</t>
        </is>
      </c>
      <c r="H651" s="6" t="inlineStr">
        <is>
          <t>If content is Q&amp;A style, add FAQPage/QAPage schema in AIOSEO and keep markup aligned with on-page content.</t>
        </is>
      </c>
      <c r="I651" s="31" t="inlineStr">
        <is>
          <t>AEO</t>
        </is>
      </c>
      <c r="J651" s="6" t="inlineStr">
        <is>
          <t>QAPage/FAQ Schema Present</t>
        </is>
      </c>
      <c r="K651" s="6" t="inlineStr">
        <is>
          <t>No</t>
        </is>
      </c>
      <c r="L651" s="6" t="inlineStr">
        <is>
          <t>Copy Writer</t>
        </is>
      </c>
      <c r="M651" s="25" t="inlineStr">
        <is>
          <t>Open</t>
        </is>
      </c>
      <c r="N651" s="6" t="n">
        <v>4</v>
      </c>
      <c r="O651" s="6" t="inlineStr">
        <is>
          <t>https://africanmarketingconfederation.org/chartered-marketer-africa-final-submission-fee/::aioseo_no_faq_qa_schema</t>
        </is>
      </c>
      <c r="P651" s="6" t="inlineStr">
        <is>
          <t>Q&amp;A schema can improve eligibility for answer-rich results.</t>
        </is>
      </c>
      <c r="Q651">
        <f>IFERROR(HYPERLINK("#Main!A"&amp;MATCH(A651,Main!A:A,0),"Open"),HYPERLINK("#Main!A1","Open"))</f>
        <v/>
      </c>
      <c r="R651">
        <f>IFERROR(HYPERLINK("#Technical!A"&amp;MATCH(A651,Technical!A:A,0),"Open"),HYPERLINK("#Technical!A1","Open"))</f>
        <v/>
      </c>
    </row>
    <row r="652" ht="45" customHeight="1">
      <c r="A652" s="33" t="inlineStr">
        <is>
          <t>https://africanmarketingconfederation.org/chartered-marketer-africa-programme-fee/</t>
        </is>
      </c>
      <c r="B652" s="24" t="inlineStr">
        <is>
          <t>Schema</t>
        </is>
      </c>
      <c r="C652" s="29" t="inlineStr">
        <is>
          <t>Info</t>
        </is>
      </c>
      <c r="D652" s="24" t="inlineStr">
        <is>
          <t>No FAQ/QA schema</t>
        </is>
      </c>
      <c r="E652" s="24" t="n">
        <v>37</v>
      </c>
      <c r="F652" s="24" t="b">
        <v>0</v>
      </c>
      <c r="G652" s="24" t="inlineStr">
        <is>
          <t>True when page has Q&amp;A intent</t>
        </is>
      </c>
      <c r="H652" s="24" t="inlineStr">
        <is>
          <t>If content is Q&amp;A style, add FAQPage/QAPage schema in AIOSEO and keep markup aligned with on-page content.</t>
        </is>
      </c>
      <c r="I652" s="28" t="inlineStr">
        <is>
          <t>AEO</t>
        </is>
      </c>
      <c r="J652" s="24" t="inlineStr">
        <is>
          <t>QAPage/FAQ Schema Present</t>
        </is>
      </c>
      <c r="K652" s="24" t="inlineStr">
        <is>
          <t>No</t>
        </is>
      </c>
      <c r="L652" s="24" t="inlineStr">
        <is>
          <t>Copy Writer</t>
        </is>
      </c>
      <c r="M652" s="25" t="inlineStr">
        <is>
          <t>Open</t>
        </is>
      </c>
      <c r="N652" s="24" t="n">
        <v>4</v>
      </c>
      <c r="O652" s="24" t="inlineStr">
        <is>
          <t>https://africanmarketingconfederation.org/chartered-marketer-africa-programme-fee/::aioseo_no_faq_qa_schema</t>
        </is>
      </c>
      <c r="P652" s="24" t="inlineStr">
        <is>
          <t>Q&amp;A schema can improve eligibility for answer-rich results.</t>
        </is>
      </c>
      <c r="Q652">
        <f>IFERROR(HYPERLINK("#Main!A"&amp;MATCH(A652,Main!A:A,0),"Open"),HYPERLINK("#Main!A1","Open"))</f>
        <v/>
      </c>
      <c r="R652">
        <f>IFERROR(HYPERLINK("#Technical!A"&amp;MATCH(A652,Technical!A:A,0),"Open"),HYPERLINK("#Technical!A1","Open"))</f>
        <v/>
      </c>
    </row>
    <row r="653" ht="45" customHeight="1">
      <c r="A653" s="33" t="inlineStr">
        <is>
          <t>https://africanmarketingconfederation.org/chartered-marketer-africa-thank-you/</t>
        </is>
      </c>
      <c r="B653" s="6" t="inlineStr">
        <is>
          <t>Schema</t>
        </is>
      </c>
      <c r="C653" s="29" t="inlineStr">
        <is>
          <t>Info</t>
        </is>
      </c>
      <c r="D653" s="6" t="inlineStr">
        <is>
          <t>No FAQ/QA schema</t>
        </is>
      </c>
      <c r="E653" s="6" t="n">
        <v>37</v>
      </c>
      <c r="F653" s="6" t="b">
        <v>0</v>
      </c>
      <c r="G653" s="6" t="inlineStr">
        <is>
          <t>True when page has Q&amp;A intent</t>
        </is>
      </c>
      <c r="H653" s="6" t="inlineStr">
        <is>
          <t>If content is Q&amp;A style, add FAQPage/QAPage schema in AIOSEO and keep markup aligned with on-page content.</t>
        </is>
      </c>
      <c r="I653" s="31" t="inlineStr">
        <is>
          <t>AEO</t>
        </is>
      </c>
      <c r="J653" s="6" t="inlineStr">
        <is>
          <t>QAPage/FAQ Schema Present</t>
        </is>
      </c>
      <c r="K653" s="6" t="inlineStr">
        <is>
          <t>No</t>
        </is>
      </c>
      <c r="L653" s="6" t="inlineStr">
        <is>
          <t>Copy Writer</t>
        </is>
      </c>
      <c r="M653" s="25" t="inlineStr">
        <is>
          <t>Open</t>
        </is>
      </c>
      <c r="N653" s="6" t="n">
        <v>4</v>
      </c>
      <c r="O653" s="6" t="inlineStr">
        <is>
          <t>https://africanmarketingconfederation.org/chartered-marketer-africa-thank-you/::aioseo_no_faq_qa_schema</t>
        </is>
      </c>
      <c r="P653" s="6" t="inlineStr">
        <is>
          <t>Q&amp;A schema can improve eligibility for answer-rich results.</t>
        </is>
      </c>
      <c r="Q653">
        <f>IFERROR(HYPERLINK("#Main!A"&amp;MATCH(A653,Main!A:A,0),"Open"),HYPERLINK("#Main!A1","Open"))</f>
        <v/>
      </c>
      <c r="R653">
        <f>IFERROR(HYPERLINK("#Technical!A"&amp;MATCH(A653,Technical!A:A,0),"Open"),HYPERLINK("#Technical!A1","Open"))</f>
        <v/>
      </c>
    </row>
    <row r="654" ht="45" customHeight="1">
      <c r="A654" s="33" t="inlineStr">
        <is>
          <t>https://africanmarketingconfederation.org/chartered-marketer-africa/</t>
        </is>
      </c>
      <c r="B654" s="24" t="inlineStr">
        <is>
          <t>Schema</t>
        </is>
      </c>
      <c r="C654" s="29" t="inlineStr">
        <is>
          <t>Info</t>
        </is>
      </c>
      <c r="D654" s="24" t="inlineStr">
        <is>
          <t>No FAQ/QA schema</t>
        </is>
      </c>
      <c r="E654" s="24" t="n">
        <v>37</v>
      </c>
      <c r="F654" s="24" t="b">
        <v>0</v>
      </c>
      <c r="G654" s="24" t="inlineStr">
        <is>
          <t>True when page has Q&amp;A intent</t>
        </is>
      </c>
      <c r="H654" s="24" t="inlineStr">
        <is>
          <t>If content is Q&amp;A style, add FAQPage/QAPage schema in AIOSEO and keep markup aligned with on-page content.</t>
        </is>
      </c>
      <c r="I654" s="28" t="inlineStr">
        <is>
          <t>AEO</t>
        </is>
      </c>
      <c r="J654" s="24" t="inlineStr">
        <is>
          <t>QAPage/FAQ Schema Present</t>
        </is>
      </c>
      <c r="K654" s="24" t="inlineStr">
        <is>
          <t>No</t>
        </is>
      </c>
      <c r="L654" s="24" t="inlineStr">
        <is>
          <t>Copy Writer</t>
        </is>
      </c>
      <c r="M654" s="25" t="inlineStr">
        <is>
          <t>Open</t>
        </is>
      </c>
      <c r="N654" s="24" t="n">
        <v>4</v>
      </c>
      <c r="O654" s="24" t="inlineStr">
        <is>
          <t>https://africanmarketingconfederation.org/chartered-marketer-africa/::aioseo_no_faq_qa_schema</t>
        </is>
      </c>
      <c r="P654" s="24" t="inlineStr">
        <is>
          <t>Q&amp;A schema can improve eligibility for answer-rich results.</t>
        </is>
      </c>
      <c r="Q654">
        <f>IFERROR(HYPERLINK("#Main!A"&amp;MATCH(A654,Main!A:A,0),"Open"),HYPERLINK("#Main!A1","Open"))</f>
        <v/>
      </c>
      <c r="R654">
        <f>IFERROR(HYPERLINK("#Technical!A"&amp;MATCH(A654,Technical!A:A,0),"Open"),HYPERLINK("#Technical!A1","Open"))</f>
        <v/>
      </c>
    </row>
    <row r="655" ht="45" customHeight="1">
      <c r="A655" s="33" t="inlineStr">
        <is>
          <t>https://africanmarketingconfederation.org/checkout/</t>
        </is>
      </c>
      <c r="B655" s="6" t="inlineStr">
        <is>
          <t>Schema</t>
        </is>
      </c>
      <c r="C655" s="29" t="inlineStr">
        <is>
          <t>Info</t>
        </is>
      </c>
      <c r="D655" s="6" t="inlineStr">
        <is>
          <t>No FAQ/QA schema</t>
        </is>
      </c>
      <c r="E655" s="6" t="n">
        <v>37</v>
      </c>
      <c r="F655" s="6" t="b">
        <v>0</v>
      </c>
      <c r="G655" s="6" t="inlineStr">
        <is>
          <t>True when page has Q&amp;A intent</t>
        </is>
      </c>
      <c r="H655" s="6" t="inlineStr">
        <is>
          <t>If content is Q&amp;A style, add FAQPage/QAPage schema in AIOSEO and keep markup aligned with on-page content.</t>
        </is>
      </c>
      <c r="I655" s="31" t="inlineStr">
        <is>
          <t>AEO</t>
        </is>
      </c>
      <c r="J655" s="6" t="inlineStr">
        <is>
          <t>QAPage/FAQ Schema Present</t>
        </is>
      </c>
      <c r="K655" s="6" t="inlineStr">
        <is>
          <t>No</t>
        </is>
      </c>
      <c r="L655" s="6" t="inlineStr">
        <is>
          <t>Copy Writer</t>
        </is>
      </c>
      <c r="M655" s="25" t="inlineStr">
        <is>
          <t>Open</t>
        </is>
      </c>
      <c r="N655" s="6" t="n">
        <v>4</v>
      </c>
      <c r="O655" s="6" t="inlineStr">
        <is>
          <t>https://africanmarketingconfederation.org/checkout/::aioseo_no_faq_qa_schema</t>
        </is>
      </c>
      <c r="P655" s="6" t="inlineStr">
        <is>
          <t>Q&amp;A schema can improve eligibility for answer-rich results.</t>
        </is>
      </c>
      <c r="Q655">
        <f>IFERROR(HYPERLINK("#Main!A"&amp;MATCH(A655,Main!A:A,0),"Open"),HYPERLINK("#Main!A1","Open"))</f>
        <v/>
      </c>
      <c r="R655">
        <f>IFERROR(HYPERLINK("#Technical!A"&amp;MATCH(A655,Technical!A:A,0),"Open"),HYPERLINK("#Technical!A1","Open"))</f>
        <v/>
      </c>
    </row>
    <row r="656" ht="45" customHeight="1">
      <c r="A656" s="33" t="inlineStr">
        <is>
          <t>https://africanmarketingconfederation.org/conference-faq-2025/</t>
        </is>
      </c>
      <c r="B656" s="24" t="inlineStr">
        <is>
          <t>Schema</t>
        </is>
      </c>
      <c r="C656" s="29" t="inlineStr">
        <is>
          <t>Info</t>
        </is>
      </c>
      <c r="D656" s="24" t="inlineStr">
        <is>
          <t>No FAQ/QA schema</t>
        </is>
      </c>
      <c r="E656" s="24" t="n">
        <v>37</v>
      </c>
      <c r="F656" s="24" t="b">
        <v>0</v>
      </c>
      <c r="G656" s="24" t="inlineStr">
        <is>
          <t>True when page has Q&amp;A intent</t>
        </is>
      </c>
      <c r="H656" s="24" t="inlineStr">
        <is>
          <t>If content is Q&amp;A style, add FAQPage/QAPage schema in AIOSEO and keep markup aligned with on-page content.</t>
        </is>
      </c>
      <c r="I656" s="28" t="inlineStr">
        <is>
          <t>AEO</t>
        </is>
      </c>
      <c r="J656" s="24" t="inlineStr">
        <is>
          <t>QAPage/FAQ Schema Present</t>
        </is>
      </c>
      <c r="K656" s="24" t="inlineStr">
        <is>
          <t>No</t>
        </is>
      </c>
      <c r="L656" s="24" t="inlineStr">
        <is>
          <t>Copy Writer</t>
        </is>
      </c>
      <c r="M656" s="25" t="inlineStr">
        <is>
          <t>Open</t>
        </is>
      </c>
      <c r="N656" s="24" t="n">
        <v>4</v>
      </c>
      <c r="O656" s="24" t="inlineStr">
        <is>
          <t>https://africanmarketingconfederation.org/conference-faq-2025/::aioseo_no_faq_qa_schema</t>
        </is>
      </c>
      <c r="P656" s="24" t="inlineStr">
        <is>
          <t>Q&amp;A schema can improve eligibility for answer-rich results.</t>
        </is>
      </c>
      <c r="Q656">
        <f>IFERROR(HYPERLINK("#Main!A"&amp;MATCH(A656,Main!A:A,0),"Open"),HYPERLINK("#Main!A1","Open"))</f>
        <v/>
      </c>
      <c r="R656">
        <f>IFERROR(HYPERLINK("#Technical!A"&amp;MATCH(A656,Technical!A:A,0),"Open"),HYPERLINK("#Technical!A1","Open"))</f>
        <v/>
      </c>
    </row>
    <row r="657" ht="45" customHeight="1">
      <c r="A657" s="33" t="inlineStr">
        <is>
          <t>https://africanmarketingconfederation.org/conference-registrations-2024/</t>
        </is>
      </c>
      <c r="B657" s="6" t="inlineStr">
        <is>
          <t>Schema</t>
        </is>
      </c>
      <c r="C657" s="29" t="inlineStr">
        <is>
          <t>Info</t>
        </is>
      </c>
      <c r="D657" s="6" t="inlineStr">
        <is>
          <t>No FAQ/QA schema</t>
        </is>
      </c>
      <c r="E657" s="6" t="n">
        <v>37</v>
      </c>
      <c r="F657" s="6" t="b">
        <v>0</v>
      </c>
      <c r="G657" s="6" t="inlineStr">
        <is>
          <t>True when page has Q&amp;A intent</t>
        </is>
      </c>
      <c r="H657" s="6" t="inlineStr">
        <is>
          <t>If content is Q&amp;A style, add FAQPage/QAPage schema in AIOSEO and keep markup aligned with on-page content.</t>
        </is>
      </c>
      <c r="I657" s="31" t="inlineStr">
        <is>
          <t>AEO</t>
        </is>
      </c>
      <c r="J657" s="6" t="inlineStr">
        <is>
          <t>QAPage/FAQ Schema Present</t>
        </is>
      </c>
      <c r="K657" s="6" t="inlineStr">
        <is>
          <t>No</t>
        </is>
      </c>
      <c r="L657" s="6" t="inlineStr">
        <is>
          <t>Copy Writer</t>
        </is>
      </c>
      <c r="M657" s="25" t="inlineStr">
        <is>
          <t>Open</t>
        </is>
      </c>
      <c r="N657" s="6" t="n">
        <v>4</v>
      </c>
      <c r="O657" s="6" t="inlineStr">
        <is>
          <t>https://africanmarketingconfederation.org/conference-registrations-2024/::aioseo_no_faq_qa_schema</t>
        </is>
      </c>
      <c r="P657" s="6" t="inlineStr">
        <is>
          <t>Q&amp;A schema can improve eligibility for answer-rich results.</t>
        </is>
      </c>
      <c r="Q657">
        <f>IFERROR(HYPERLINK("#Main!A"&amp;MATCH(A657,Main!A:A,0),"Open"),HYPERLINK("#Main!A1","Open"))</f>
        <v/>
      </c>
      <c r="R657">
        <f>IFERROR(HYPERLINK("#Technical!A"&amp;MATCH(A657,Technical!A:A,0),"Open"),HYPERLINK("#Technical!A1","Open"))</f>
        <v/>
      </c>
    </row>
    <row r="658" ht="45" customHeight="1">
      <c r="A658" s="33" t="inlineStr">
        <is>
          <t>https://africanmarketingconfederation.org/contact-us/</t>
        </is>
      </c>
      <c r="B658" s="24" t="inlineStr">
        <is>
          <t>Schema</t>
        </is>
      </c>
      <c r="C658" s="29" t="inlineStr">
        <is>
          <t>Info</t>
        </is>
      </c>
      <c r="D658" s="24" t="inlineStr">
        <is>
          <t>No FAQ/QA schema</t>
        </is>
      </c>
      <c r="E658" s="24" t="n">
        <v>37</v>
      </c>
      <c r="F658" s="24" t="b">
        <v>0</v>
      </c>
      <c r="G658" s="24" t="inlineStr">
        <is>
          <t>True when page has Q&amp;A intent</t>
        </is>
      </c>
      <c r="H658" s="24" t="inlineStr">
        <is>
          <t>If content is Q&amp;A style, add FAQPage/QAPage schema in AIOSEO and keep markup aligned with on-page content.</t>
        </is>
      </c>
      <c r="I658" s="28" t="inlineStr">
        <is>
          <t>AEO</t>
        </is>
      </c>
      <c r="J658" s="24" t="inlineStr">
        <is>
          <t>QAPage/FAQ Schema Present</t>
        </is>
      </c>
      <c r="K658" s="24" t="inlineStr">
        <is>
          <t>No</t>
        </is>
      </c>
      <c r="L658" s="24" t="inlineStr">
        <is>
          <t>Copy Writer</t>
        </is>
      </c>
      <c r="M658" s="25" t="inlineStr">
        <is>
          <t>Open</t>
        </is>
      </c>
      <c r="N658" s="24" t="n">
        <v>4</v>
      </c>
      <c r="O658" s="24" t="inlineStr">
        <is>
          <t>https://africanmarketingconfederation.org/contact-us/::aioseo_no_faq_qa_schema</t>
        </is>
      </c>
      <c r="P658" s="24" t="inlineStr">
        <is>
          <t>Q&amp;A schema can improve eligibility for answer-rich results.</t>
        </is>
      </c>
      <c r="Q658">
        <f>IFERROR(HYPERLINK("#Main!A"&amp;MATCH(A658,Main!A:A,0),"Open"),HYPERLINK("#Main!A1","Open"))</f>
        <v/>
      </c>
      <c r="R658">
        <f>IFERROR(HYPERLINK("#Technical!A"&amp;MATCH(A658,Technical!A:A,0),"Open"),HYPERLINK("#Technical!A1","Open"))</f>
        <v/>
      </c>
    </row>
    <row r="659" ht="45" customHeight="1">
      <c r="A659" s="33" t="inlineStr">
        <is>
          <t>https://africanmarketingconfederation.org/download-brochure/</t>
        </is>
      </c>
      <c r="B659" s="6" t="inlineStr">
        <is>
          <t>Schema</t>
        </is>
      </c>
      <c r="C659" s="29" t="inlineStr">
        <is>
          <t>Info</t>
        </is>
      </c>
      <c r="D659" s="6" t="inlineStr">
        <is>
          <t>No FAQ/QA schema</t>
        </is>
      </c>
      <c r="E659" s="6" t="n">
        <v>37</v>
      </c>
      <c r="F659" s="6" t="b">
        <v>0</v>
      </c>
      <c r="G659" s="6" t="inlineStr">
        <is>
          <t>True when page has Q&amp;A intent</t>
        </is>
      </c>
      <c r="H659" s="6" t="inlineStr">
        <is>
          <t>If content is Q&amp;A style, add FAQPage/QAPage schema in AIOSEO and keep markup aligned with on-page content.</t>
        </is>
      </c>
      <c r="I659" s="31" t="inlineStr">
        <is>
          <t>AEO</t>
        </is>
      </c>
      <c r="J659" s="6" t="inlineStr">
        <is>
          <t>QAPage/FAQ Schema Present</t>
        </is>
      </c>
      <c r="K659" s="6" t="inlineStr">
        <is>
          <t>No</t>
        </is>
      </c>
      <c r="L659" s="6" t="inlineStr">
        <is>
          <t>Copy Writer</t>
        </is>
      </c>
      <c r="M659" s="25" t="inlineStr">
        <is>
          <t>Open</t>
        </is>
      </c>
      <c r="N659" s="6" t="n">
        <v>4</v>
      </c>
      <c r="O659" s="6" t="inlineStr">
        <is>
          <t>https://africanmarketingconfederation.org/download-brochure/::aioseo_no_faq_qa_schema</t>
        </is>
      </c>
      <c r="P659" s="6" t="inlineStr">
        <is>
          <t>Q&amp;A schema can improve eligibility for answer-rich results.</t>
        </is>
      </c>
      <c r="Q659">
        <f>IFERROR(HYPERLINK("#Main!A"&amp;MATCH(A659,Main!A:A,0),"Open"),HYPERLINK("#Main!A1","Open"))</f>
        <v/>
      </c>
      <c r="R659">
        <f>IFERROR(HYPERLINK("#Technical!A"&amp;MATCH(A659,Technical!A:A,0),"Open"),HYPERLINK("#Technical!A1","Open"))</f>
        <v/>
      </c>
    </row>
    <row r="660" ht="45" customHeight="1">
      <c r="A660" s="33" t="inlineStr">
        <is>
          <t>https://africanmarketingconfederation.org/download-prospectus-2024/</t>
        </is>
      </c>
      <c r="B660" s="24" t="inlineStr">
        <is>
          <t>Schema</t>
        </is>
      </c>
      <c r="C660" s="29" t="inlineStr">
        <is>
          <t>Info</t>
        </is>
      </c>
      <c r="D660" s="24" t="inlineStr">
        <is>
          <t>No FAQ/QA schema</t>
        </is>
      </c>
      <c r="E660" s="24" t="n">
        <v>37</v>
      </c>
      <c r="F660" s="24" t="b">
        <v>0</v>
      </c>
      <c r="G660" s="24" t="inlineStr">
        <is>
          <t>True when page has Q&amp;A intent</t>
        </is>
      </c>
      <c r="H660" s="24" t="inlineStr">
        <is>
          <t>If content is Q&amp;A style, add FAQPage/QAPage schema in AIOSEO and keep markup aligned with on-page content.</t>
        </is>
      </c>
      <c r="I660" s="28" t="inlineStr">
        <is>
          <t>AEO</t>
        </is>
      </c>
      <c r="J660" s="24" t="inlineStr">
        <is>
          <t>QAPage/FAQ Schema Present</t>
        </is>
      </c>
      <c r="K660" s="24" t="inlineStr">
        <is>
          <t>No</t>
        </is>
      </c>
      <c r="L660" s="24" t="inlineStr">
        <is>
          <t>Copy Writer</t>
        </is>
      </c>
      <c r="M660" s="25" t="inlineStr">
        <is>
          <t>Open</t>
        </is>
      </c>
      <c r="N660" s="24" t="n">
        <v>4</v>
      </c>
      <c r="O660" s="24" t="inlineStr">
        <is>
          <t>https://africanmarketingconfederation.org/download-prospectus-2024/::aioseo_no_faq_qa_schema</t>
        </is>
      </c>
      <c r="P660" s="24" t="inlineStr">
        <is>
          <t>Q&amp;A schema can improve eligibility for answer-rich results.</t>
        </is>
      </c>
      <c r="Q660">
        <f>IFERROR(HYPERLINK("#Main!A"&amp;MATCH(A660,Main!A:A,0),"Open"),HYPERLINK("#Main!A1","Open"))</f>
        <v/>
      </c>
      <c r="R660">
        <f>IFERROR(HYPERLINK("#Technical!A"&amp;MATCH(A660,Technical!A:A,0),"Open"),HYPERLINK("#Technical!A1","Open"))</f>
        <v/>
      </c>
    </row>
    <row r="661" ht="45" customHeight="1">
      <c r="A661" s="33" t="inlineStr">
        <is>
          <t>https://africanmarketingconfederation.org/education/</t>
        </is>
      </c>
      <c r="B661" s="6" t="inlineStr">
        <is>
          <t>Schema</t>
        </is>
      </c>
      <c r="C661" s="29" t="inlineStr">
        <is>
          <t>Info</t>
        </is>
      </c>
      <c r="D661" s="6" t="inlineStr">
        <is>
          <t>No FAQ/QA schema</t>
        </is>
      </c>
      <c r="E661" s="6" t="n">
        <v>37</v>
      </c>
      <c r="F661" s="6" t="b">
        <v>0</v>
      </c>
      <c r="G661" s="6" t="inlineStr">
        <is>
          <t>True when page has Q&amp;A intent</t>
        </is>
      </c>
      <c r="H661" s="6" t="inlineStr">
        <is>
          <t>If content is Q&amp;A style, add FAQPage/QAPage schema in AIOSEO and keep markup aligned with on-page content.</t>
        </is>
      </c>
      <c r="I661" s="31" t="inlineStr">
        <is>
          <t>AEO</t>
        </is>
      </c>
      <c r="J661" s="6" t="inlineStr">
        <is>
          <t>QAPage/FAQ Schema Present</t>
        </is>
      </c>
      <c r="K661" s="6" t="inlineStr">
        <is>
          <t>No</t>
        </is>
      </c>
      <c r="L661" s="6" t="inlineStr">
        <is>
          <t>Copy Writer</t>
        </is>
      </c>
      <c r="M661" s="25" t="inlineStr">
        <is>
          <t>Open</t>
        </is>
      </c>
      <c r="N661" s="6" t="n">
        <v>4</v>
      </c>
      <c r="O661" s="6" t="inlineStr">
        <is>
          <t>https://africanmarketingconfederation.org/education/::aioseo_no_faq_qa_schema</t>
        </is>
      </c>
      <c r="P661" s="6" t="inlineStr">
        <is>
          <t>Q&amp;A schema can improve eligibility for answer-rich results.</t>
        </is>
      </c>
      <c r="Q661">
        <f>IFERROR(HYPERLINK("#Main!A"&amp;MATCH(A661,Main!A:A,0),"Open"),HYPERLINK("#Main!A1","Open"))</f>
        <v/>
      </c>
      <c r="R661">
        <f>IFERROR(HYPERLINK("#Technical!A"&amp;MATCH(A661,Technical!A:A,0),"Open"),HYPERLINK("#Technical!A1","Open"))</f>
        <v/>
      </c>
    </row>
    <row r="662" ht="45" customHeight="1">
      <c r="A662" s="33" t="inlineStr">
        <is>
          <t>https://africanmarketingconfederation.org/elementor-16548/</t>
        </is>
      </c>
      <c r="B662" s="24" t="inlineStr">
        <is>
          <t>Schema</t>
        </is>
      </c>
      <c r="C662" s="29" t="inlineStr">
        <is>
          <t>Info</t>
        </is>
      </c>
      <c r="D662" s="24" t="inlineStr">
        <is>
          <t>No FAQ/QA schema</t>
        </is>
      </c>
      <c r="E662" s="24" t="n">
        <v>37</v>
      </c>
      <c r="F662" s="24" t="b">
        <v>0</v>
      </c>
      <c r="G662" s="24" t="inlineStr">
        <is>
          <t>True when page has Q&amp;A intent</t>
        </is>
      </c>
      <c r="H662" s="24" t="inlineStr">
        <is>
          <t>If content is Q&amp;A style, add FAQPage/QAPage schema in AIOSEO and keep markup aligned with on-page content.</t>
        </is>
      </c>
      <c r="I662" s="28" t="inlineStr">
        <is>
          <t>AEO</t>
        </is>
      </c>
      <c r="J662" s="24" t="inlineStr">
        <is>
          <t>QAPage/FAQ Schema Present</t>
        </is>
      </c>
      <c r="K662" s="24" t="inlineStr">
        <is>
          <t>No</t>
        </is>
      </c>
      <c r="L662" s="24" t="inlineStr">
        <is>
          <t>Copy Writer</t>
        </is>
      </c>
      <c r="M662" s="25" t="inlineStr">
        <is>
          <t>Open</t>
        </is>
      </c>
      <c r="N662" s="24" t="n">
        <v>4</v>
      </c>
      <c r="O662" s="24" t="inlineStr">
        <is>
          <t>https://africanmarketingconfederation.org/elementor-16548/::aioseo_no_faq_qa_schema</t>
        </is>
      </c>
      <c r="P662" s="24" t="inlineStr">
        <is>
          <t>Q&amp;A schema can improve eligibility for answer-rich results.</t>
        </is>
      </c>
      <c r="Q662">
        <f>IFERROR(HYPERLINK("#Main!A"&amp;MATCH(A662,Main!A:A,0),"Open"),HYPERLINK("#Main!A1","Open"))</f>
        <v/>
      </c>
      <c r="R662">
        <f>IFERROR(HYPERLINK("#Technical!A"&amp;MATCH(A662,Technical!A:A,0),"Open"),HYPERLINK("#Technical!A1","Open"))</f>
        <v/>
      </c>
    </row>
    <row r="663" ht="45" customHeight="1">
      <c r="A663" s="33" t="inlineStr">
        <is>
          <t>https://africanmarketingconfederation.org/elementor-20341/</t>
        </is>
      </c>
      <c r="B663" s="6" t="inlineStr">
        <is>
          <t>Schema</t>
        </is>
      </c>
      <c r="C663" s="29" t="inlineStr">
        <is>
          <t>Info</t>
        </is>
      </c>
      <c r="D663" s="6" t="inlineStr">
        <is>
          <t>No FAQ/QA schema</t>
        </is>
      </c>
      <c r="E663" s="6" t="n">
        <v>37</v>
      </c>
      <c r="F663" s="6" t="b">
        <v>0</v>
      </c>
      <c r="G663" s="6" t="inlineStr">
        <is>
          <t>True when page has Q&amp;A intent</t>
        </is>
      </c>
      <c r="H663" s="6" t="inlineStr">
        <is>
          <t>If content is Q&amp;A style, add FAQPage/QAPage schema in AIOSEO and keep markup aligned with on-page content.</t>
        </is>
      </c>
      <c r="I663" s="31" t="inlineStr">
        <is>
          <t>AEO</t>
        </is>
      </c>
      <c r="J663" s="6" t="inlineStr">
        <is>
          <t>QAPage/FAQ Schema Present</t>
        </is>
      </c>
      <c r="K663" s="6" t="inlineStr">
        <is>
          <t>No</t>
        </is>
      </c>
      <c r="L663" s="6" t="inlineStr">
        <is>
          <t>Copy Writer</t>
        </is>
      </c>
      <c r="M663" s="25" t="inlineStr">
        <is>
          <t>Open</t>
        </is>
      </c>
      <c r="N663" s="6" t="n">
        <v>4</v>
      </c>
      <c r="O663" s="6" t="inlineStr">
        <is>
          <t>https://africanmarketingconfederation.org/elementor-20341/::aioseo_no_faq_qa_schema</t>
        </is>
      </c>
      <c r="P663" s="6" t="inlineStr">
        <is>
          <t>Q&amp;A schema can improve eligibility for answer-rich results.</t>
        </is>
      </c>
      <c r="Q663">
        <f>IFERROR(HYPERLINK("#Main!A"&amp;MATCH(A663,Main!A:A,0),"Open"),HYPERLINK("#Main!A1","Open"))</f>
        <v/>
      </c>
      <c r="R663">
        <f>IFERROR(HYPERLINK("#Technical!A"&amp;MATCH(A663,Technical!A:A,0),"Open"),HYPERLINK("#Technical!A1","Open"))</f>
        <v/>
      </c>
    </row>
    <row r="664" ht="45" customHeight="1">
      <c r="A664" s="33" t="inlineStr">
        <is>
          <t>https://africanmarketingconfederation.org/elementor-31820/</t>
        </is>
      </c>
      <c r="B664" s="24" t="inlineStr">
        <is>
          <t>Schema</t>
        </is>
      </c>
      <c r="C664" s="29" t="inlineStr">
        <is>
          <t>Info</t>
        </is>
      </c>
      <c r="D664" s="24" t="inlineStr">
        <is>
          <t>No FAQ/QA schema</t>
        </is>
      </c>
      <c r="E664" s="24" t="n">
        <v>37</v>
      </c>
      <c r="F664" s="24" t="b">
        <v>0</v>
      </c>
      <c r="G664" s="24" t="inlineStr">
        <is>
          <t>True when page has Q&amp;A intent</t>
        </is>
      </c>
      <c r="H664" s="24" t="inlineStr">
        <is>
          <t>If content is Q&amp;A style, add FAQPage/QAPage schema in AIOSEO and keep markup aligned with on-page content.</t>
        </is>
      </c>
      <c r="I664" s="28" t="inlineStr">
        <is>
          <t>AEO</t>
        </is>
      </c>
      <c r="J664" s="24" t="inlineStr">
        <is>
          <t>QAPage/FAQ Schema Present</t>
        </is>
      </c>
      <c r="K664" s="24" t="inlineStr">
        <is>
          <t>No</t>
        </is>
      </c>
      <c r="L664" s="24" t="inlineStr">
        <is>
          <t>Copy Writer</t>
        </is>
      </c>
      <c r="M664" s="25" t="inlineStr">
        <is>
          <t>Open</t>
        </is>
      </c>
      <c r="N664" s="24" t="n">
        <v>4</v>
      </c>
      <c r="O664" s="24" t="inlineStr">
        <is>
          <t>https://africanmarketingconfederation.org/elementor-31820/::aioseo_no_faq_qa_schema</t>
        </is>
      </c>
      <c r="P664" s="24" t="inlineStr">
        <is>
          <t>Q&amp;A schema can improve eligibility for answer-rich results.</t>
        </is>
      </c>
      <c r="Q664">
        <f>IFERROR(HYPERLINK("#Main!A"&amp;MATCH(A664,Main!A:A,0),"Open"),HYPERLINK("#Main!A1","Open"))</f>
        <v/>
      </c>
      <c r="R664">
        <f>IFERROR(HYPERLINK("#Technical!A"&amp;MATCH(A664,Technical!A:A,0),"Open"),HYPERLINK("#Technical!A1","Open"))</f>
        <v/>
      </c>
    </row>
    <row r="665" ht="45" customHeight="1">
      <c r="A665" s="33" t="inlineStr">
        <is>
          <t>https://africanmarketingconfederation.org/general-enquiry-form-thank-you/</t>
        </is>
      </c>
      <c r="B665" s="6" t="inlineStr">
        <is>
          <t>Schema</t>
        </is>
      </c>
      <c r="C665" s="29" t="inlineStr">
        <is>
          <t>Info</t>
        </is>
      </c>
      <c r="D665" s="6" t="inlineStr">
        <is>
          <t>No FAQ/QA schema</t>
        </is>
      </c>
      <c r="E665" s="6" t="n">
        <v>37</v>
      </c>
      <c r="F665" s="6" t="b">
        <v>0</v>
      </c>
      <c r="G665" s="6" t="inlineStr">
        <is>
          <t>True when page has Q&amp;A intent</t>
        </is>
      </c>
      <c r="H665" s="6" t="inlineStr">
        <is>
          <t>If content is Q&amp;A style, add FAQPage/QAPage schema in AIOSEO and keep markup aligned with on-page content.</t>
        </is>
      </c>
      <c r="I665" s="31" t="inlineStr">
        <is>
          <t>AEO</t>
        </is>
      </c>
      <c r="J665" s="6" t="inlineStr">
        <is>
          <t>QAPage/FAQ Schema Present</t>
        </is>
      </c>
      <c r="K665" s="6" t="inlineStr">
        <is>
          <t>No</t>
        </is>
      </c>
      <c r="L665" s="6" t="inlineStr">
        <is>
          <t>Copy Writer</t>
        </is>
      </c>
      <c r="M665" s="25" t="inlineStr">
        <is>
          <t>Open</t>
        </is>
      </c>
      <c r="N665" s="6" t="n">
        <v>4</v>
      </c>
      <c r="O665" s="6" t="inlineStr">
        <is>
          <t>https://africanmarketingconfederation.org/general-enquiry-form-thank-you/::aioseo_no_faq_qa_schema</t>
        </is>
      </c>
      <c r="P665" s="6" t="inlineStr">
        <is>
          <t>Q&amp;A schema can improve eligibility for answer-rich results.</t>
        </is>
      </c>
      <c r="Q665">
        <f>IFERROR(HYPERLINK("#Main!A"&amp;MATCH(A665,Main!A:A,0),"Open"),HYPERLINK("#Main!A1","Open"))</f>
        <v/>
      </c>
      <c r="R665">
        <f>IFERROR(HYPERLINK("#Technical!A"&amp;MATCH(A665,Technical!A:A,0),"Open"),HYPERLINK("#Technical!A1","Open"))</f>
        <v/>
      </c>
    </row>
    <row r="666" ht="45" customHeight="1">
      <c r="A666" s="33" t="inlineStr">
        <is>
          <t>https://africanmarketingconfederation.org/launch-event-2026-amc-conference/</t>
        </is>
      </c>
      <c r="B666" s="24" t="inlineStr">
        <is>
          <t>Schema</t>
        </is>
      </c>
      <c r="C666" s="29" t="inlineStr">
        <is>
          <t>Info</t>
        </is>
      </c>
      <c r="D666" s="24" t="inlineStr">
        <is>
          <t>No FAQ/QA schema</t>
        </is>
      </c>
      <c r="E666" s="24" t="n">
        <v>37</v>
      </c>
      <c r="F666" s="24" t="b">
        <v>0</v>
      </c>
      <c r="G666" s="24" t="inlineStr">
        <is>
          <t>True when page has Q&amp;A intent</t>
        </is>
      </c>
      <c r="H666" s="24" t="inlineStr">
        <is>
          <t>If content is Q&amp;A style, add FAQPage/QAPage schema in AIOSEO and keep markup aligned with on-page content.</t>
        </is>
      </c>
      <c r="I666" s="28" t="inlineStr">
        <is>
          <t>AEO</t>
        </is>
      </c>
      <c r="J666" s="24" t="inlineStr">
        <is>
          <t>QAPage/FAQ Schema Present</t>
        </is>
      </c>
      <c r="K666" s="24" t="inlineStr">
        <is>
          <t>No</t>
        </is>
      </c>
      <c r="L666" s="24" t="inlineStr">
        <is>
          <t>Copy Writer</t>
        </is>
      </c>
      <c r="M666" s="25" t="inlineStr">
        <is>
          <t>Open</t>
        </is>
      </c>
      <c r="N666" s="24" t="n">
        <v>4</v>
      </c>
      <c r="O666" s="24" t="inlineStr">
        <is>
          <t>https://africanmarketingconfederation.org/launch-event-2026-amc-conference/::aioseo_no_faq_qa_schema</t>
        </is>
      </c>
      <c r="P666" s="24" t="inlineStr">
        <is>
          <t>Q&amp;A schema can improve eligibility for answer-rich results.</t>
        </is>
      </c>
      <c r="Q666">
        <f>IFERROR(HYPERLINK("#Main!A"&amp;MATCH(A666,Main!A:A,0),"Open"),HYPERLINK("#Main!A1","Open"))</f>
        <v/>
      </c>
      <c r="R666">
        <f>IFERROR(HYPERLINK("#Technical!A"&amp;MATCH(A666,Technical!A:A,0),"Open"),HYPERLINK("#Technical!A1","Open"))</f>
        <v/>
      </c>
    </row>
    <row r="667" ht="45" customHeight="1">
      <c r="A667" s="33" t="inlineStr">
        <is>
          <t>https://africanmarketingconfederation.org/members/</t>
        </is>
      </c>
      <c r="B667" s="6" t="inlineStr">
        <is>
          <t>Schema</t>
        </is>
      </c>
      <c r="C667" s="29" t="inlineStr">
        <is>
          <t>Info</t>
        </is>
      </c>
      <c r="D667" s="6" t="inlineStr">
        <is>
          <t>No FAQ/QA schema</t>
        </is>
      </c>
      <c r="E667" s="6" t="n">
        <v>37</v>
      </c>
      <c r="F667" s="6" t="b">
        <v>0</v>
      </c>
      <c r="G667" s="6" t="inlineStr">
        <is>
          <t>True when page has Q&amp;A intent</t>
        </is>
      </c>
      <c r="H667" s="6" t="inlineStr">
        <is>
          <t>If content is Q&amp;A style, add FAQPage/QAPage schema in AIOSEO and keep markup aligned with on-page content.</t>
        </is>
      </c>
      <c r="I667" s="31" t="inlineStr">
        <is>
          <t>AEO</t>
        </is>
      </c>
      <c r="J667" s="6" t="inlineStr">
        <is>
          <t>QAPage/FAQ Schema Present</t>
        </is>
      </c>
      <c r="K667" s="6" t="inlineStr">
        <is>
          <t>No</t>
        </is>
      </c>
      <c r="L667" s="6" t="inlineStr">
        <is>
          <t>Copy Writer</t>
        </is>
      </c>
      <c r="M667" s="25" t="inlineStr">
        <is>
          <t>Open</t>
        </is>
      </c>
      <c r="N667" s="6" t="n">
        <v>4</v>
      </c>
      <c r="O667" s="6" t="inlineStr">
        <is>
          <t>https://africanmarketingconfederation.org/members/::aioseo_no_faq_qa_schema</t>
        </is>
      </c>
      <c r="P667" s="6" t="inlineStr">
        <is>
          <t>Q&amp;A schema can improve eligibility for answer-rich results.</t>
        </is>
      </c>
      <c r="Q667">
        <f>IFERROR(HYPERLINK("#Main!A"&amp;MATCH(A667,Main!A:A,0),"Open"),HYPERLINK("#Main!A1","Open"))</f>
        <v/>
      </c>
      <c r="R667">
        <f>IFERROR(HYPERLINK("#Technical!A"&amp;MATCH(A667,Technical!A:A,0),"Open"),HYPERLINK("#Technical!A1","Open"))</f>
        <v/>
      </c>
    </row>
    <row r="668" ht="45" customHeight="1">
      <c r="A668" s="33" t="inlineStr">
        <is>
          <t>https://africanmarketingconfederation.org/news-articles/</t>
        </is>
      </c>
      <c r="B668" s="24" t="inlineStr">
        <is>
          <t>Schema</t>
        </is>
      </c>
      <c r="C668" s="29" t="inlineStr">
        <is>
          <t>Info</t>
        </is>
      </c>
      <c r="D668" s="24" t="inlineStr">
        <is>
          <t>No FAQ/QA schema</t>
        </is>
      </c>
      <c r="E668" s="24" t="n">
        <v>37</v>
      </c>
      <c r="F668" s="24" t="b">
        <v>0</v>
      </c>
      <c r="G668" s="24" t="inlineStr">
        <is>
          <t>True when page has Q&amp;A intent</t>
        </is>
      </c>
      <c r="H668" s="24" t="inlineStr">
        <is>
          <t>If content is Q&amp;A style, add FAQPage/QAPage schema in AIOSEO and keep markup aligned with on-page content.</t>
        </is>
      </c>
      <c r="I668" s="28" t="inlineStr">
        <is>
          <t>AEO</t>
        </is>
      </c>
      <c r="J668" s="24" t="inlineStr">
        <is>
          <t>QAPage/FAQ Schema Present</t>
        </is>
      </c>
      <c r="K668" s="24" t="inlineStr">
        <is>
          <t>No</t>
        </is>
      </c>
      <c r="L668" s="24" t="inlineStr">
        <is>
          <t>Copy Writer</t>
        </is>
      </c>
      <c r="M668" s="25" t="inlineStr">
        <is>
          <t>Open</t>
        </is>
      </c>
      <c r="N668" s="24" t="n">
        <v>4</v>
      </c>
      <c r="O668" s="24" t="inlineStr">
        <is>
          <t>https://africanmarketingconfederation.org/news-articles/::aioseo_no_faq_qa_schema</t>
        </is>
      </c>
      <c r="P668" s="24" t="inlineStr">
        <is>
          <t>Q&amp;A schema can improve eligibility for answer-rich results.</t>
        </is>
      </c>
      <c r="Q668">
        <f>IFERROR(HYPERLINK("#Main!A"&amp;MATCH(A668,Main!A:A,0),"Open"),HYPERLINK("#Main!A1","Open"))</f>
        <v/>
      </c>
      <c r="R668">
        <f>IFERROR(HYPERLINK("#Technical!A"&amp;MATCH(A668,Technical!A:A,0),"Open"),HYPERLINK("#Technical!A1","Open"))</f>
        <v/>
      </c>
    </row>
    <row r="669" ht="45" customHeight="1">
      <c r="A669" s="33" t="inlineStr">
        <is>
          <t>https://africanmarketingconfederation.org/privacy-policy/</t>
        </is>
      </c>
      <c r="B669" s="6" t="inlineStr">
        <is>
          <t>Schema</t>
        </is>
      </c>
      <c r="C669" s="29" t="inlineStr">
        <is>
          <t>Info</t>
        </is>
      </c>
      <c r="D669" s="6" t="inlineStr">
        <is>
          <t>No FAQ/QA schema</t>
        </is>
      </c>
      <c r="E669" s="6" t="n">
        <v>37</v>
      </c>
      <c r="F669" s="6" t="b">
        <v>0</v>
      </c>
      <c r="G669" s="6" t="inlineStr">
        <is>
          <t>True when page has Q&amp;A intent</t>
        </is>
      </c>
      <c r="H669" s="6" t="inlineStr">
        <is>
          <t>If content is Q&amp;A style, add FAQPage/QAPage schema in AIOSEO and keep markup aligned with on-page content.</t>
        </is>
      </c>
      <c r="I669" s="31" t="inlineStr">
        <is>
          <t>AEO</t>
        </is>
      </c>
      <c r="J669" s="6" t="inlineStr">
        <is>
          <t>QAPage/FAQ Schema Present</t>
        </is>
      </c>
      <c r="K669" s="6" t="inlineStr">
        <is>
          <t>No</t>
        </is>
      </c>
      <c r="L669" s="6" t="inlineStr">
        <is>
          <t>Copy Writer</t>
        </is>
      </c>
      <c r="M669" s="25" t="inlineStr">
        <is>
          <t>Open</t>
        </is>
      </c>
      <c r="N669" s="6" t="n">
        <v>4</v>
      </c>
      <c r="O669" s="6" t="inlineStr">
        <is>
          <t>https://africanmarketingconfederation.org/privacy-policy/::aioseo_no_faq_qa_schema</t>
        </is>
      </c>
      <c r="P669" s="6" t="inlineStr">
        <is>
          <t>Q&amp;A schema can improve eligibility for answer-rich results.</t>
        </is>
      </c>
      <c r="Q669">
        <f>IFERROR(HYPERLINK("#Main!A"&amp;MATCH(A669,Main!A:A,0),"Open"),HYPERLINK("#Main!A1","Open"))</f>
        <v/>
      </c>
      <c r="R669">
        <f>IFERROR(HYPERLINK("#Technical!A"&amp;MATCH(A669,Technical!A:A,0),"Open"),HYPERLINK("#Technical!A1","Open"))</f>
        <v/>
      </c>
    </row>
    <row r="670" ht="45" customHeight="1">
      <c r="A670" s="33" t="inlineStr">
        <is>
          <t>https://africanmarketingconfederation.org/publication-download-list/</t>
        </is>
      </c>
      <c r="B670" s="24" t="inlineStr">
        <is>
          <t>Schema</t>
        </is>
      </c>
      <c r="C670" s="29" t="inlineStr">
        <is>
          <t>Info</t>
        </is>
      </c>
      <c r="D670" s="24" t="inlineStr">
        <is>
          <t>No FAQ/QA schema</t>
        </is>
      </c>
      <c r="E670" s="24" t="n">
        <v>37</v>
      </c>
      <c r="F670" s="24" t="b">
        <v>0</v>
      </c>
      <c r="G670" s="24" t="inlineStr">
        <is>
          <t>True when page has Q&amp;A intent</t>
        </is>
      </c>
      <c r="H670" s="24" t="inlineStr">
        <is>
          <t>If content is Q&amp;A style, add FAQPage/QAPage schema in AIOSEO and keep markup aligned with on-page content.</t>
        </is>
      </c>
      <c r="I670" s="28" t="inlineStr">
        <is>
          <t>AEO</t>
        </is>
      </c>
      <c r="J670" s="24" t="inlineStr">
        <is>
          <t>QAPage/FAQ Schema Present</t>
        </is>
      </c>
      <c r="K670" s="24" t="inlineStr">
        <is>
          <t>No</t>
        </is>
      </c>
      <c r="L670" s="24" t="inlineStr">
        <is>
          <t>Copy Writer</t>
        </is>
      </c>
      <c r="M670" s="25" t="inlineStr">
        <is>
          <t>Open</t>
        </is>
      </c>
      <c r="N670" s="24" t="n">
        <v>4</v>
      </c>
      <c r="O670" s="24" t="inlineStr">
        <is>
          <t>https://africanmarketingconfederation.org/publication-download-list/::aioseo_no_faq_qa_schema</t>
        </is>
      </c>
      <c r="P670" s="24" t="inlineStr">
        <is>
          <t>Q&amp;A schema can improve eligibility for answer-rich results.</t>
        </is>
      </c>
      <c r="Q670">
        <f>IFERROR(HYPERLINK("#Main!A"&amp;MATCH(A670,Main!A:A,0),"Open"),HYPERLINK("#Main!A1","Open"))</f>
        <v/>
      </c>
      <c r="R670">
        <f>IFERROR(HYPERLINK("#Technical!A"&amp;MATCH(A670,Technical!A:A,0),"Open"),HYPERLINK("#Technical!A1","Open"))</f>
        <v/>
      </c>
    </row>
    <row r="671" ht="45" customHeight="1">
      <c r="A671" s="33" t="inlineStr">
        <is>
          <t>https://africanmarketingconfederation.org/publications-2/</t>
        </is>
      </c>
      <c r="B671" s="6" t="inlineStr">
        <is>
          <t>Schema</t>
        </is>
      </c>
      <c r="C671" s="29" t="inlineStr">
        <is>
          <t>Info</t>
        </is>
      </c>
      <c r="D671" s="6" t="inlineStr">
        <is>
          <t>No FAQ/QA schema</t>
        </is>
      </c>
      <c r="E671" s="6" t="n">
        <v>37</v>
      </c>
      <c r="F671" s="6" t="b">
        <v>0</v>
      </c>
      <c r="G671" s="6" t="inlineStr">
        <is>
          <t>True when page has Q&amp;A intent</t>
        </is>
      </c>
      <c r="H671" s="6" t="inlineStr">
        <is>
          <t>If content is Q&amp;A style, add FAQPage/QAPage schema in AIOSEO and keep markup aligned with on-page content.</t>
        </is>
      </c>
      <c r="I671" s="31" t="inlineStr">
        <is>
          <t>AEO</t>
        </is>
      </c>
      <c r="J671" s="6" t="inlineStr">
        <is>
          <t>QAPage/FAQ Schema Present</t>
        </is>
      </c>
      <c r="K671" s="6" t="inlineStr">
        <is>
          <t>No</t>
        </is>
      </c>
      <c r="L671" s="6" t="inlineStr">
        <is>
          <t>Copy Writer</t>
        </is>
      </c>
      <c r="M671" s="25" t="inlineStr">
        <is>
          <t>Open</t>
        </is>
      </c>
      <c r="N671" s="6" t="n">
        <v>4</v>
      </c>
      <c r="O671" s="6" t="inlineStr">
        <is>
          <t>https://africanmarketingconfederation.org/publications-2/::aioseo_no_faq_qa_schema</t>
        </is>
      </c>
      <c r="P671" s="6" t="inlineStr">
        <is>
          <t>Q&amp;A schema can improve eligibility for answer-rich results.</t>
        </is>
      </c>
      <c r="Q671">
        <f>IFERROR(HYPERLINK("#Main!A"&amp;MATCH(A671,Main!A:A,0),"Open"),HYPERLINK("#Main!A1","Open"))</f>
        <v/>
      </c>
      <c r="R671">
        <f>IFERROR(HYPERLINK("#Technical!A"&amp;MATCH(A671,Technical!A:A,0),"Open"),HYPERLINK("#Technical!A1","Open"))</f>
        <v/>
      </c>
    </row>
    <row r="672" ht="45" customHeight="1">
      <c r="A672" s="33" t="inlineStr">
        <is>
          <t>https://africanmarketingconfederation.org/speakers-2025/</t>
        </is>
      </c>
      <c r="B672" s="24" t="inlineStr">
        <is>
          <t>Schema</t>
        </is>
      </c>
      <c r="C672" s="29" t="inlineStr">
        <is>
          <t>Info</t>
        </is>
      </c>
      <c r="D672" s="24" t="inlineStr">
        <is>
          <t>No FAQ/QA schema</t>
        </is>
      </c>
      <c r="E672" s="24" t="n">
        <v>37</v>
      </c>
      <c r="F672" s="24" t="b">
        <v>0</v>
      </c>
      <c r="G672" s="24" t="inlineStr">
        <is>
          <t>True when page has Q&amp;A intent</t>
        </is>
      </c>
      <c r="H672" s="24" t="inlineStr">
        <is>
          <t>If content is Q&amp;A style, add FAQPage/QAPage schema in AIOSEO and keep markup aligned with on-page content.</t>
        </is>
      </c>
      <c r="I672" s="28" t="inlineStr">
        <is>
          <t>AEO</t>
        </is>
      </c>
      <c r="J672" s="24" t="inlineStr">
        <is>
          <t>QAPage/FAQ Schema Present</t>
        </is>
      </c>
      <c r="K672" s="24" t="inlineStr">
        <is>
          <t>No</t>
        </is>
      </c>
      <c r="L672" s="24" t="inlineStr">
        <is>
          <t>Copy Writer</t>
        </is>
      </c>
      <c r="M672" s="25" t="inlineStr">
        <is>
          <t>Open</t>
        </is>
      </c>
      <c r="N672" s="24" t="n">
        <v>4</v>
      </c>
      <c r="O672" s="24" t="inlineStr">
        <is>
          <t>https://africanmarketingconfederation.org/speakers-2025/::aioseo_no_faq_qa_schema</t>
        </is>
      </c>
      <c r="P672" s="24" t="inlineStr">
        <is>
          <t>Q&amp;A schema can improve eligibility for answer-rich results.</t>
        </is>
      </c>
      <c r="Q672">
        <f>IFERROR(HYPERLINK("#Main!A"&amp;MATCH(A672,Main!A:A,0),"Open"),HYPERLINK("#Main!A1","Open"))</f>
        <v/>
      </c>
      <c r="R672">
        <f>IFERROR(HYPERLINK("#Technical!A"&amp;MATCH(A672,Technical!A:A,0),"Open"),HYPERLINK("#Technical!A1","Open"))</f>
        <v/>
      </c>
    </row>
    <row r="673" ht="45" customHeight="1">
      <c r="A673" s="33" t="inlineStr">
        <is>
          <t>https://africanmarketingconfederation.org/speakers/</t>
        </is>
      </c>
      <c r="B673" s="6" t="inlineStr">
        <is>
          <t>Schema</t>
        </is>
      </c>
      <c r="C673" s="29" t="inlineStr">
        <is>
          <t>Info</t>
        </is>
      </c>
      <c r="D673" s="6" t="inlineStr">
        <is>
          <t>No FAQ/QA schema</t>
        </is>
      </c>
      <c r="E673" s="6" t="n">
        <v>37</v>
      </c>
      <c r="F673" s="6" t="b">
        <v>0</v>
      </c>
      <c r="G673" s="6" t="inlineStr">
        <is>
          <t>True when page has Q&amp;A intent</t>
        </is>
      </c>
      <c r="H673" s="6" t="inlineStr">
        <is>
          <t>If content is Q&amp;A style, add FAQPage/QAPage schema in AIOSEO and keep markup aligned with on-page content.</t>
        </is>
      </c>
      <c r="I673" s="31" t="inlineStr">
        <is>
          <t>AEO</t>
        </is>
      </c>
      <c r="J673" s="6" t="inlineStr">
        <is>
          <t>QAPage/FAQ Schema Present</t>
        </is>
      </c>
      <c r="K673" s="6" t="inlineStr">
        <is>
          <t>No</t>
        </is>
      </c>
      <c r="L673" s="6" t="inlineStr">
        <is>
          <t>Copy Writer</t>
        </is>
      </c>
      <c r="M673" s="25" t="inlineStr">
        <is>
          <t>Open</t>
        </is>
      </c>
      <c r="N673" s="6" t="n">
        <v>4</v>
      </c>
      <c r="O673" s="6" t="inlineStr">
        <is>
          <t>https://africanmarketingconfederation.org/speakers/::aioseo_no_faq_qa_schema</t>
        </is>
      </c>
      <c r="P673" s="6" t="inlineStr">
        <is>
          <t>Q&amp;A schema can improve eligibility for answer-rich results.</t>
        </is>
      </c>
      <c r="Q673">
        <f>IFERROR(HYPERLINK("#Main!A"&amp;MATCH(A673,Main!A:A,0),"Open"),HYPERLINK("#Main!A1","Open"))</f>
        <v/>
      </c>
      <c r="R673">
        <f>IFERROR(HYPERLINK("#Technical!A"&amp;MATCH(A673,Technical!A:A,0),"Open"),HYPERLINK("#Technical!A1","Open"))</f>
        <v/>
      </c>
    </row>
    <row r="674" ht="45" customHeight="1">
      <c r="A674" s="33" t="inlineStr">
        <is>
          <t>https://africanmarketingconfederation.org/sub-committees/</t>
        </is>
      </c>
      <c r="B674" s="24" t="inlineStr">
        <is>
          <t>Schema</t>
        </is>
      </c>
      <c r="C674" s="29" t="inlineStr">
        <is>
          <t>Info</t>
        </is>
      </c>
      <c r="D674" s="24" t="inlineStr">
        <is>
          <t>No FAQ/QA schema</t>
        </is>
      </c>
      <c r="E674" s="24" t="n">
        <v>37</v>
      </c>
      <c r="F674" s="24" t="b">
        <v>0</v>
      </c>
      <c r="G674" s="24" t="inlineStr">
        <is>
          <t>True when page has Q&amp;A intent</t>
        </is>
      </c>
      <c r="H674" s="24" t="inlineStr">
        <is>
          <t>If content is Q&amp;A style, add FAQPage/QAPage schema in AIOSEO and keep markup aligned with on-page content.</t>
        </is>
      </c>
      <c r="I674" s="28" t="inlineStr">
        <is>
          <t>AEO</t>
        </is>
      </c>
      <c r="J674" s="24" t="inlineStr">
        <is>
          <t>QAPage/FAQ Schema Present</t>
        </is>
      </c>
      <c r="K674" s="24" t="inlineStr">
        <is>
          <t>No</t>
        </is>
      </c>
      <c r="L674" s="24" t="inlineStr">
        <is>
          <t>Copy Writer</t>
        </is>
      </c>
      <c r="M674" s="25" t="inlineStr">
        <is>
          <t>Open</t>
        </is>
      </c>
      <c r="N674" s="24" t="n">
        <v>4</v>
      </c>
      <c r="O674" s="24" t="inlineStr">
        <is>
          <t>https://africanmarketingconfederation.org/sub-committees/::aioseo_no_faq_qa_schema</t>
        </is>
      </c>
      <c r="P674" s="24" t="inlineStr">
        <is>
          <t>Q&amp;A schema can improve eligibility for answer-rich results.</t>
        </is>
      </c>
      <c r="Q674">
        <f>IFERROR(HYPERLINK("#Main!A"&amp;MATCH(A674,Main!A:A,0),"Open"),HYPERLINK("#Main!A1","Open"))</f>
        <v/>
      </c>
      <c r="R674">
        <f>IFERROR(HYPERLINK("#Technical!A"&amp;MATCH(A674,Technical!A:A,0),"Open"),HYPERLINK("#Technical!A1","Open"))</f>
        <v/>
      </c>
    </row>
    <row r="675" ht="45" customHeight="1">
      <c r="A675" s="33" t="inlineStr">
        <is>
          <t>https://africanmarketingconfederation.org/subscribe/</t>
        </is>
      </c>
      <c r="B675" s="6" t="inlineStr">
        <is>
          <t>Schema</t>
        </is>
      </c>
      <c r="C675" s="29" t="inlineStr">
        <is>
          <t>Info</t>
        </is>
      </c>
      <c r="D675" s="6" t="inlineStr">
        <is>
          <t>No FAQ/QA schema</t>
        </is>
      </c>
      <c r="E675" s="6" t="n">
        <v>37</v>
      </c>
      <c r="F675" s="6" t="b">
        <v>0</v>
      </c>
      <c r="G675" s="6" t="inlineStr">
        <is>
          <t>True when page has Q&amp;A intent</t>
        </is>
      </c>
      <c r="H675" s="6" t="inlineStr">
        <is>
          <t>If content is Q&amp;A style, add FAQPage/QAPage schema in AIOSEO and keep markup aligned with on-page content.</t>
        </is>
      </c>
      <c r="I675" s="31" t="inlineStr">
        <is>
          <t>AEO</t>
        </is>
      </c>
      <c r="J675" s="6" t="inlineStr">
        <is>
          <t>QAPage/FAQ Schema Present</t>
        </is>
      </c>
      <c r="K675" s="6" t="inlineStr">
        <is>
          <t>No</t>
        </is>
      </c>
      <c r="L675" s="6" t="inlineStr">
        <is>
          <t>Copy Writer</t>
        </is>
      </c>
      <c r="M675" s="25" t="inlineStr">
        <is>
          <t>Open</t>
        </is>
      </c>
      <c r="N675" s="6" t="n">
        <v>4</v>
      </c>
      <c r="O675" s="6" t="inlineStr">
        <is>
          <t>https://africanmarketingconfederation.org/subscribe/::aioseo_no_faq_qa_schema</t>
        </is>
      </c>
      <c r="P675" s="6" t="inlineStr">
        <is>
          <t>Q&amp;A schema can improve eligibility for answer-rich results.</t>
        </is>
      </c>
      <c r="Q675">
        <f>IFERROR(HYPERLINK("#Main!A"&amp;MATCH(A675,Main!A:A,0),"Open"),HYPERLINK("#Main!A1","Open"))</f>
        <v/>
      </c>
      <c r="R675">
        <f>IFERROR(HYPERLINK("#Technical!A"&amp;MATCH(A675,Technical!A:A,0),"Open"),HYPERLINK("#Technical!A1","Open"))</f>
        <v/>
      </c>
    </row>
    <row r="676" ht="45" customHeight="1">
      <c r="A676" s="33" t="inlineStr">
        <is>
          <t>https://africanmarketingconfederation.org/test-homeslider/</t>
        </is>
      </c>
      <c r="B676" s="24" t="inlineStr">
        <is>
          <t>Schema</t>
        </is>
      </c>
      <c r="C676" s="29" t="inlineStr">
        <is>
          <t>Info</t>
        </is>
      </c>
      <c r="D676" s="24" t="inlineStr">
        <is>
          <t>No FAQ/QA schema</t>
        </is>
      </c>
      <c r="E676" s="24" t="n">
        <v>37</v>
      </c>
      <c r="F676" s="24" t="b">
        <v>0</v>
      </c>
      <c r="G676" s="24" t="inlineStr">
        <is>
          <t>True when page has Q&amp;A intent</t>
        </is>
      </c>
      <c r="H676" s="24" t="inlineStr">
        <is>
          <t>If content is Q&amp;A style, add FAQPage/QAPage schema in AIOSEO and keep markup aligned with on-page content.</t>
        </is>
      </c>
      <c r="I676" s="28" t="inlineStr">
        <is>
          <t>AEO</t>
        </is>
      </c>
      <c r="J676" s="24" t="inlineStr">
        <is>
          <t>QAPage/FAQ Schema Present</t>
        </is>
      </c>
      <c r="K676" s="24" t="inlineStr">
        <is>
          <t>No</t>
        </is>
      </c>
      <c r="L676" s="24" t="inlineStr">
        <is>
          <t>Copy Writer</t>
        </is>
      </c>
      <c r="M676" s="25" t="inlineStr">
        <is>
          <t>Open</t>
        </is>
      </c>
      <c r="N676" s="24" t="n">
        <v>4</v>
      </c>
      <c r="O676" s="24" t="inlineStr">
        <is>
          <t>https://africanmarketingconfederation.org/test-homeslider/::aioseo_no_faq_qa_schema</t>
        </is>
      </c>
      <c r="P676" s="24" t="inlineStr">
        <is>
          <t>Q&amp;A schema can improve eligibility for answer-rich results.</t>
        </is>
      </c>
      <c r="Q676">
        <f>IFERROR(HYPERLINK("#Main!A"&amp;MATCH(A676,Main!A:A,0),"Open"),HYPERLINK("#Main!A1","Open"))</f>
        <v/>
      </c>
      <c r="R676">
        <f>IFERROR(HYPERLINK("#Technical!A"&amp;MATCH(A676,Technical!A:A,0),"Open"),HYPERLINK("#Technical!A1","Open"))</f>
        <v/>
      </c>
    </row>
    <row r="677" ht="45" customHeight="1">
      <c r="A677" s="33" t="inlineStr">
        <is>
          <t>https://africanmarketingconfederation.org/test-payment-gate/</t>
        </is>
      </c>
      <c r="B677" s="6" t="inlineStr">
        <is>
          <t>Schema</t>
        </is>
      </c>
      <c r="C677" s="29" t="inlineStr">
        <is>
          <t>Info</t>
        </is>
      </c>
      <c r="D677" s="6" t="inlineStr">
        <is>
          <t>No FAQ/QA schema</t>
        </is>
      </c>
      <c r="E677" s="6" t="n">
        <v>37</v>
      </c>
      <c r="F677" s="6" t="b">
        <v>0</v>
      </c>
      <c r="G677" s="6" t="inlineStr">
        <is>
          <t>True when page has Q&amp;A intent</t>
        </is>
      </c>
      <c r="H677" s="6" t="inlineStr">
        <is>
          <t>If content is Q&amp;A style, add FAQPage/QAPage schema in AIOSEO and keep markup aligned with on-page content.</t>
        </is>
      </c>
      <c r="I677" s="31" t="inlineStr">
        <is>
          <t>AEO</t>
        </is>
      </c>
      <c r="J677" s="6" t="inlineStr">
        <is>
          <t>QAPage/FAQ Schema Present</t>
        </is>
      </c>
      <c r="K677" s="6" t="inlineStr">
        <is>
          <t>No</t>
        </is>
      </c>
      <c r="L677" s="6" t="inlineStr">
        <is>
          <t>Copy Writer</t>
        </is>
      </c>
      <c r="M677" s="25" t="inlineStr">
        <is>
          <t>Open</t>
        </is>
      </c>
      <c r="N677" s="6" t="n">
        <v>4</v>
      </c>
      <c r="O677" s="6" t="inlineStr">
        <is>
          <t>https://africanmarketingconfederation.org/test-payment-gate/::aioseo_no_faq_qa_schema</t>
        </is>
      </c>
      <c r="P677" s="6" t="inlineStr">
        <is>
          <t>Q&amp;A schema can improve eligibility for answer-rich results.</t>
        </is>
      </c>
      <c r="Q677">
        <f>IFERROR(HYPERLINK("#Main!A"&amp;MATCH(A677,Main!A:A,0),"Open"),HYPERLINK("#Main!A1","Open"))</f>
        <v/>
      </c>
      <c r="R677">
        <f>IFERROR(HYPERLINK("#Technical!A"&amp;MATCH(A677,Technical!A:A,0),"Open"),HYPERLINK("#Technical!A1","Open"))</f>
        <v/>
      </c>
    </row>
    <row r="678" ht="45" customHeight="1">
      <c r="A678" s="33" t="inlineStr">
        <is>
          <t>https://africanmarketingconfederation.org/thank-you-for-registering-2024-registrations-kenya/</t>
        </is>
      </c>
      <c r="B678" s="24" t="inlineStr">
        <is>
          <t>Schema</t>
        </is>
      </c>
      <c r="C678" s="29" t="inlineStr">
        <is>
          <t>Info</t>
        </is>
      </c>
      <c r="D678" s="24" t="inlineStr">
        <is>
          <t>No FAQ/QA schema</t>
        </is>
      </c>
      <c r="E678" s="24" t="n">
        <v>37</v>
      </c>
      <c r="F678" s="24" t="b">
        <v>0</v>
      </c>
      <c r="G678" s="24" t="inlineStr">
        <is>
          <t>True when page has Q&amp;A intent</t>
        </is>
      </c>
      <c r="H678" s="24" t="inlineStr">
        <is>
          <t>If content is Q&amp;A style, add FAQPage/QAPage schema in AIOSEO and keep markup aligned with on-page content.</t>
        </is>
      </c>
      <c r="I678" s="28" t="inlineStr">
        <is>
          <t>AEO</t>
        </is>
      </c>
      <c r="J678" s="24" t="inlineStr">
        <is>
          <t>QAPage/FAQ Schema Present</t>
        </is>
      </c>
      <c r="K678" s="24" t="inlineStr">
        <is>
          <t>No</t>
        </is>
      </c>
      <c r="L678" s="24" t="inlineStr">
        <is>
          <t>Copy Writer</t>
        </is>
      </c>
      <c r="M678" s="25" t="inlineStr">
        <is>
          <t>Open</t>
        </is>
      </c>
      <c r="N678" s="24" t="n">
        <v>4</v>
      </c>
      <c r="O678" s="24" t="inlineStr">
        <is>
          <t>https://africanmarketingconfederation.org/thank-you-for-registering-2024-registrations-kenya/::aioseo_no_faq_qa_schema</t>
        </is>
      </c>
      <c r="P678" s="24" t="inlineStr">
        <is>
          <t>Q&amp;A schema can improve eligibility for answer-rich results.</t>
        </is>
      </c>
      <c r="Q678">
        <f>IFERROR(HYPERLINK("#Main!A"&amp;MATCH(A678,Main!A:A,0),"Open"),HYPERLINK("#Main!A1","Open"))</f>
        <v/>
      </c>
      <c r="R678">
        <f>IFERROR(HYPERLINK("#Technical!A"&amp;MATCH(A678,Technical!A:A,0),"Open"),HYPERLINK("#Technical!A1","Open"))</f>
        <v/>
      </c>
    </row>
    <row r="679" ht="45" customHeight="1">
      <c r="A679" s="33" t="inlineStr">
        <is>
          <t>https://africanmarketingconfederation.org/thank-you-for-registering-2024-registrations/</t>
        </is>
      </c>
      <c r="B679" s="6" t="inlineStr">
        <is>
          <t>Schema</t>
        </is>
      </c>
      <c r="C679" s="29" t="inlineStr">
        <is>
          <t>Info</t>
        </is>
      </c>
      <c r="D679" s="6" t="inlineStr">
        <is>
          <t>No FAQ/QA schema</t>
        </is>
      </c>
      <c r="E679" s="6" t="n">
        <v>37</v>
      </c>
      <c r="F679" s="6" t="b">
        <v>0</v>
      </c>
      <c r="G679" s="6" t="inlineStr">
        <is>
          <t>True when page has Q&amp;A intent</t>
        </is>
      </c>
      <c r="H679" s="6" t="inlineStr">
        <is>
          <t>If content is Q&amp;A style, add FAQPage/QAPage schema in AIOSEO and keep markup aligned with on-page content.</t>
        </is>
      </c>
      <c r="I679" s="31" t="inlineStr">
        <is>
          <t>AEO</t>
        </is>
      </c>
      <c r="J679" s="6" t="inlineStr">
        <is>
          <t>QAPage/FAQ Schema Present</t>
        </is>
      </c>
      <c r="K679" s="6" t="inlineStr">
        <is>
          <t>No</t>
        </is>
      </c>
      <c r="L679" s="6" t="inlineStr">
        <is>
          <t>Copy Writer</t>
        </is>
      </c>
      <c r="M679" s="25" t="inlineStr">
        <is>
          <t>Open</t>
        </is>
      </c>
      <c r="N679" s="6" t="n">
        <v>4</v>
      </c>
      <c r="O679" s="6" t="inlineStr">
        <is>
          <t>https://africanmarketingconfederation.org/thank-you-for-registering-2024-registrations/::aioseo_no_faq_qa_schema</t>
        </is>
      </c>
      <c r="P679" s="6" t="inlineStr">
        <is>
          <t>Q&amp;A schema can improve eligibility for answer-rich results.</t>
        </is>
      </c>
      <c r="Q679">
        <f>IFERROR(HYPERLINK("#Main!A"&amp;MATCH(A679,Main!A:A,0),"Open"),HYPERLINK("#Main!A1","Open"))</f>
        <v/>
      </c>
      <c r="R679">
        <f>IFERROR(HYPERLINK("#Technical!A"&amp;MATCH(A679,Technical!A:A,0),"Open"),HYPERLINK("#Technical!A1","Open"))</f>
        <v/>
      </c>
    </row>
    <row r="680" ht="45" customHeight="1">
      <c r="A680" s="33" t="inlineStr">
        <is>
          <t>https://africanmarketingconfederation.org/thank-you-for-subscribing/</t>
        </is>
      </c>
      <c r="B680" s="24" t="inlineStr">
        <is>
          <t>Schema</t>
        </is>
      </c>
      <c r="C680" s="29" t="inlineStr">
        <is>
          <t>Info</t>
        </is>
      </c>
      <c r="D680" s="24" t="inlineStr">
        <is>
          <t>No FAQ/QA schema</t>
        </is>
      </c>
      <c r="E680" s="24" t="n">
        <v>37</v>
      </c>
      <c r="F680" s="24" t="b">
        <v>0</v>
      </c>
      <c r="G680" s="24" t="inlineStr">
        <is>
          <t>True when page has Q&amp;A intent</t>
        </is>
      </c>
      <c r="H680" s="24" t="inlineStr">
        <is>
          <t>If content is Q&amp;A style, add FAQPage/QAPage schema in AIOSEO and keep markup aligned with on-page content.</t>
        </is>
      </c>
      <c r="I680" s="28" t="inlineStr">
        <is>
          <t>AEO</t>
        </is>
      </c>
      <c r="J680" s="24" t="inlineStr">
        <is>
          <t>QAPage/FAQ Schema Present</t>
        </is>
      </c>
      <c r="K680" s="24" t="inlineStr">
        <is>
          <t>No</t>
        </is>
      </c>
      <c r="L680" s="24" t="inlineStr">
        <is>
          <t>Copy Writer</t>
        </is>
      </c>
      <c r="M680" s="25" t="inlineStr">
        <is>
          <t>Open</t>
        </is>
      </c>
      <c r="N680" s="24" t="n">
        <v>4</v>
      </c>
      <c r="O680" s="24" t="inlineStr">
        <is>
          <t>https://africanmarketingconfederation.org/thank-you-for-subscribing/::aioseo_no_faq_qa_schema</t>
        </is>
      </c>
      <c r="P680" s="24" t="inlineStr">
        <is>
          <t>Q&amp;A schema can improve eligibility for answer-rich results.</t>
        </is>
      </c>
      <c r="Q680">
        <f>IFERROR(HYPERLINK("#Main!A"&amp;MATCH(A680,Main!A:A,0),"Open"),HYPERLINK("#Main!A1","Open"))</f>
        <v/>
      </c>
      <c r="R680">
        <f>IFERROR(HYPERLINK("#Technical!A"&amp;MATCH(A680,Technical!A:A,0),"Open"),HYPERLINK("#Technical!A1","Open"))</f>
        <v/>
      </c>
    </row>
    <row r="681" ht="45" customHeight="1">
      <c r="A681" s="33" t="inlineStr">
        <is>
          <t>https://africanmarketingconfederation.org/thank-you-for-the-nomination-2024/</t>
        </is>
      </c>
      <c r="B681" s="6" t="inlineStr">
        <is>
          <t>Schema</t>
        </is>
      </c>
      <c r="C681" s="29" t="inlineStr">
        <is>
          <t>Info</t>
        </is>
      </c>
      <c r="D681" s="6" t="inlineStr">
        <is>
          <t>No FAQ/QA schema</t>
        </is>
      </c>
      <c r="E681" s="6" t="n">
        <v>37</v>
      </c>
      <c r="F681" s="6" t="b">
        <v>0</v>
      </c>
      <c r="G681" s="6" t="inlineStr">
        <is>
          <t>True when page has Q&amp;A intent</t>
        </is>
      </c>
      <c r="H681" s="6" t="inlineStr">
        <is>
          <t>If content is Q&amp;A style, add FAQPage/QAPage schema in AIOSEO and keep markup aligned with on-page content.</t>
        </is>
      </c>
      <c r="I681" s="31" t="inlineStr">
        <is>
          <t>AEO</t>
        </is>
      </c>
      <c r="J681" s="6" t="inlineStr">
        <is>
          <t>QAPage/FAQ Schema Present</t>
        </is>
      </c>
      <c r="K681" s="6" t="inlineStr">
        <is>
          <t>No</t>
        </is>
      </c>
      <c r="L681" s="6" t="inlineStr">
        <is>
          <t>Copy Writer</t>
        </is>
      </c>
      <c r="M681" s="25" t="inlineStr">
        <is>
          <t>Open</t>
        </is>
      </c>
      <c r="N681" s="6" t="n">
        <v>4</v>
      </c>
      <c r="O681" s="6" t="inlineStr">
        <is>
          <t>https://africanmarketingconfederation.org/thank-you-for-the-nomination-2024/::aioseo_no_faq_qa_schema</t>
        </is>
      </c>
      <c r="P681" s="6" t="inlineStr">
        <is>
          <t>Q&amp;A schema can improve eligibility for answer-rich results.</t>
        </is>
      </c>
      <c r="Q681">
        <f>IFERROR(HYPERLINK("#Main!A"&amp;MATCH(A681,Main!A:A,0),"Open"),HYPERLINK("#Main!A1","Open"))</f>
        <v/>
      </c>
      <c r="R681">
        <f>IFERROR(HYPERLINK("#Technical!A"&amp;MATCH(A681,Technical!A:A,0),"Open"),HYPERLINK("#Technical!A1","Open"))</f>
        <v/>
      </c>
    </row>
    <row r="682" ht="45" customHeight="1">
      <c r="A682" s="33" t="inlineStr">
        <is>
          <t>https://africanmarketingconfederation.org/thank-you-for-the-submission-2024/</t>
        </is>
      </c>
      <c r="B682" s="24" t="inlineStr">
        <is>
          <t>Schema</t>
        </is>
      </c>
      <c r="C682" s="29" t="inlineStr">
        <is>
          <t>Info</t>
        </is>
      </c>
      <c r="D682" s="24" t="inlineStr">
        <is>
          <t>No FAQ/QA schema</t>
        </is>
      </c>
      <c r="E682" s="24" t="n">
        <v>37</v>
      </c>
      <c r="F682" s="24" t="b">
        <v>0</v>
      </c>
      <c r="G682" s="24" t="inlineStr">
        <is>
          <t>True when page has Q&amp;A intent</t>
        </is>
      </c>
      <c r="H682" s="24" t="inlineStr">
        <is>
          <t>If content is Q&amp;A style, add FAQPage/QAPage schema in AIOSEO and keep markup aligned with on-page content.</t>
        </is>
      </c>
      <c r="I682" s="28" t="inlineStr">
        <is>
          <t>AEO</t>
        </is>
      </c>
      <c r="J682" s="24" t="inlineStr">
        <is>
          <t>QAPage/FAQ Schema Present</t>
        </is>
      </c>
      <c r="K682" s="24" t="inlineStr">
        <is>
          <t>No</t>
        </is>
      </c>
      <c r="L682" s="24" t="inlineStr">
        <is>
          <t>Copy Writer</t>
        </is>
      </c>
      <c r="M682" s="25" t="inlineStr">
        <is>
          <t>Open</t>
        </is>
      </c>
      <c r="N682" s="24" t="n">
        <v>4</v>
      </c>
      <c r="O682" s="24" t="inlineStr">
        <is>
          <t>https://africanmarketingconfederation.org/thank-you-for-the-submission-2024/::aioseo_no_faq_qa_schema</t>
        </is>
      </c>
      <c r="P682" s="24" t="inlineStr">
        <is>
          <t>Q&amp;A schema can improve eligibility for answer-rich results.</t>
        </is>
      </c>
      <c r="Q682">
        <f>IFERROR(HYPERLINK("#Main!A"&amp;MATCH(A682,Main!A:A,0),"Open"),HYPERLINK("#Main!A1","Open"))</f>
        <v/>
      </c>
      <c r="R682">
        <f>IFERROR(HYPERLINK("#Technical!A"&amp;MATCH(A682,Technical!A:A,0),"Open"),HYPERLINK("#Technical!A1","Open"))</f>
        <v/>
      </c>
    </row>
    <row r="683" ht="45" customHeight="1">
      <c r="A683" s="33" t="inlineStr">
        <is>
          <t>https://africanmarketingconfederation.org/upcoming-events/</t>
        </is>
      </c>
      <c r="B683" s="6" t="inlineStr">
        <is>
          <t>Schema</t>
        </is>
      </c>
      <c r="C683" s="29" t="inlineStr">
        <is>
          <t>Info</t>
        </is>
      </c>
      <c r="D683" s="6" t="inlineStr">
        <is>
          <t>No FAQ/QA schema</t>
        </is>
      </c>
      <c r="E683" s="6" t="n">
        <v>37</v>
      </c>
      <c r="F683" s="6" t="b">
        <v>0</v>
      </c>
      <c r="G683" s="6" t="inlineStr">
        <is>
          <t>True when page has Q&amp;A intent</t>
        </is>
      </c>
      <c r="H683" s="6" t="inlineStr">
        <is>
          <t>If content is Q&amp;A style, add FAQPage/QAPage schema in AIOSEO and keep markup aligned with on-page content.</t>
        </is>
      </c>
      <c r="I683" s="31" t="inlineStr">
        <is>
          <t>AEO</t>
        </is>
      </c>
      <c r="J683" s="6" t="inlineStr">
        <is>
          <t>QAPage/FAQ Schema Present</t>
        </is>
      </c>
      <c r="K683" s="6" t="inlineStr">
        <is>
          <t>No</t>
        </is>
      </c>
      <c r="L683" s="6" t="inlineStr">
        <is>
          <t>Copy Writer</t>
        </is>
      </c>
      <c r="M683" s="25" t="inlineStr">
        <is>
          <t>Open</t>
        </is>
      </c>
      <c r="N683" s="6" t="n">
        <v>4</v>
      </c>
      <c r="O683" s="6" t="inlineStr">
        <is>
          <t>https://africanmarketingconfederation.org/upcoming-events/::aioseo_no_faq_qa_schema</t>
        </is>
      </c>
      <c r="P683" s="6" t="inlineStr">
        <is>
          <t>Q&amp;A schema can improve eligibility for answer-rich results.</t>
        </is>
      </c>
      <c r="Q683">
        <f>IFERROR(HYPERLINK("#Main!A"&amp;MATCH(A683,Main!A:A,0),"Open"),HYPERLINK("#Main!A1","Open"))</f>
        <v/>
      </c>
      <c r="R683">
        <f>IFERROR(HYPERLINK("#Technical!A"&amp;MATCH(A683,Technical!A:A,0),"Open"),HYPERLINK("#Technical!A1","Open"))</f>
        <v/>
      </c>
    </row>
    <row r="684" ht="45" customHeight="1">
      <c r="A684" s="33" t="inlineStr">
        <is>
          <t>https://africanmarketingconfederation.org/virtual-programme/</t>
        </is>
      </c>
      <c r="B684" s="24" t="inlineStr">
        <is>
          <t>Schema</t>
        </is>
      </c>
      <c r="C684" s="29" t="inlineStr">
        <is>
          <t>Info</t>
        </is>
      </c>
      <c r="D684" s="24" t="inlineStr">
        <is>
          <t>No FAQ/QA schema</t>
        </is>
      </c>
      <c r="E684" s="24" t="n">
        <v>37</v>
      </c>
      <c r="F684" s="24" t="b">
        <v>0</v>
      </c>
      <c r="G684" s="24" t="inlineStr">
        <is>
          <t>True when page has Q&amp;A intent</t>
        </is>
      </c>
      <c r="H684" s="24" t="inlineStr">
        <is>
          <t>If content is Q&amp;A style, add FAQPage/QAPage schema in AIOSEO and keep markup aligned with on-page content.</t>
        </is>
      </c>
      <c r="I684" s="28" t="inlineStr">
        <is>
          <t>AEO</t>
        </is>
      </c>
      <c r="J684" s="24" t="inlineStr">
        <is>
          <t>QAPage/FAQ Schema Present</t>
        </is>
      </c>
      <c r="K684" s="24" t="inlineStr">
        <is>
          <t>No</t>
        </is>
      </c>
      <c r="L684" s="24" t="inlineStr">
        <is>
          <t>Copy Writer</t>
        </is>
      </c>
      <c r="M684" s="25" t="inlineStr">
        <is>
          <t>Open</t>
        </is>
      </c>
      <c r="N684" s="24" t="n">
        <v>4</v>
      </c>
      <c r="O684" s="24" t="inlineStr">
        <is>
          <t>https://africanmarketingconfederation.org/virtual-programme/::aioseo_no_faq_qa_schema</t>
        </is>
      </c>
      <c r="P684" s="24" t="inlineStr">
        <is>
          <t>Q&amp;A schema can improve eligibility for answer-rich results.</t>
        </is>
      </c>
      <c r="Q684">
        <f>IFERROR(HYPERLINK("#Main!A"&amp;MATCH(A684,Main!A:A,0),"Open"),HYPERLINK("#Main!A1","Open"))</f>
        <v/>
      </c>
      <c r="R684">
        <f>IFERROR(HYPERLINK("#Technical!A"&amp;MATCH(A684,Technical!A:A,0),"Open"),HYPERLINK("#Technical!A1","Open"))</f>
        <v/>
      </c>
    </row>
    <row r="685" ht="30" customHeight="1">
      <c r="A685" s="33" t="inlineStr">
        <is>
          <t>https://africanmarketingconfederation.org/</t>
        </is>
      </c>
      <c r="B685" s="6" t="inlineStr">
        <is>
          <t>Title</t>
        </is>
      </c>
      <c r="C685" s="29" t="inlineStr">
        <is>
          <t>Info</t>
        </is>
      </c>
      <c r="D685" s="6" t="inlineStr">
        <is>
          <t>SEO title too long</t>
        </is>
      </c>
      <c r="E685" s="6" t="n">
        <v>37</v>
      </c>
      <c r="F685" s="6" t="n">
        <v>66</v>
      </c>
      <c r="G685" s="6" t="inlineStr">
        <is>
          <t>40-60 characters</t>
        </is>
      </c>
      <c r="H685" s="6" t="inlineStr">
        <is>
          <t>Shorten title in AIOSEO snippet editor and keep key terms in the first 55-60 characters.</t>
        </is>
      </c>
      <c r="I685" s="31" t="inlineStr">
        <is>
          <t>Main</t>
        </is>
      </c>
      <c r="J685" s="6" t="inlineStr">
        <is>
          <t>Title</t>
        </is>
      </c>
      <c r="K685" s="6" t="inlineStr">
        <is>
          <t>No</t>
        </is>
      </c>
      <c r="L685" s="6" t="inlineStr">
        <is>
          <t>Copy Writer</t>
        </is>
      </c>
      <c r="M685" s="25" t="inlineStr">
        <is>
          <t>Open</t>
        </is>
      </c>
      <c r="N685" s="6" t="n">
        <v>4</v>
      </c>
      <c r="O685" s="6" t="inlineStr">
        <is>
          <t>https://africanmarketingconfederation.org/::aioseo_seo_title_too_long</t>
        </is>
      </c>
      <c r="P685" s="6" t="inlineStr">
        <is>
          <t>Long titles are more likely to truncate in SERPs.</t>
        </is>
      </c>
      <c r="Q685">
        <f>IFERROR(HYPERLINK("#Main!A"&amp;MATCH(A685,Main!A:A,0),"Open"),HYPERLINK("#Main!A1","Open"))</f>
        <v/>
      </c>
      <c r="R685">
        <f>IFERROR(HYPERLINK("#Technical!A"&amp;MATCH(A685,Technical!A:A,0),"Open"),HYPERLINK("#Technical!A1","Open"))</f>
        <v/>
      </c>
    </row>
    <row r="686" ht="30" customHeight="1">
      <c r="A686" s="33" t="inlineStr">
        <is>
          <t>https://africanmarketingconfederation.org/about-us/</t>
        </is>
      </c>
      <c r="B686" s="24" t="inlineStr">
        <is>
          <t>Title</t>
        </is>
      </c>
      <c r="C686" s="29" t="inlineStr">
        <is>
          <t>Info</t>
        </is>
      </c>
      <c r="D686" s="24" t="inlineStr">
        <is>
          <t>SEO title too long</t>
        </is>
      </c>
      <c r="E686" s="24" t="n">
        <v>37</v>
      </c>
      <c r="F686" s="24" t="n">
        <v>107</v>
      </c>
      <c r="G686" s="24" t="inlineStr">
        <is>
          <t>40-60 characters</t>
        </is>
      </c>
      <c r="H686" s="24" t="inlineStr">
        <is>
          <t>Shorten title in AIOSEO snippet editor and keep key terms in the first 55-60 characters.</t>
        </is>
      </c>
      <c r="I686" s="28" t="inlineStr">
        <is>
          <t>Main</t>
        </is>
      </c>
      <c r="J686" s="24" t="inlineStr">
        <is>
          <t>Title</t>
        </is>
      </c>
      <c r="K686" s="24" t="inlineStr">
        <is>
          <t>No</t>
        </is>
      </c>
      <c r="L686" s="24" t="inlineStr">
        <is>
          <t>Copy Writer</t>
        </is>
      </c>
      <c r="M686" s="25" t="inlineStr">
        <is>
          <t>Open</t>
        </is>
      </c>
      <c r="N686" s="24" t="n">
        <v>4</v>
      </c>
      <c r="O686" s="24" t="inlineStr">
        <is>
          <t>https://africanmarketingconfederation.org/about-us/::aioseo_seo_title_too_long</t>
        </is>
      </c>
      <c r="P686" s="24" t="inlineStr">
        <is>
          <t>Long titles are more likely to truncate in SERPs.</t>
        </is>
      </c>
      <c r="Q686">
        <f>IFERROR(HYPERLINK("#Main!A"&amp;MATCH(A686,Main!A:A,0),"Open"),HYPERLINK("#Main!A1","Open"))</f>
        <v/>
      </c>
      <c r="R686">
        <f>IFERROR(HYPERLINK("#Technical!A"&amp;MATCH(A686,Technical!A:A,0),"Open"),HYPERLINK("#Technical!A1","Open"))</f>
        <v/>
      </c>
    </row>
    <row r="687" ht="30" customHeight="1">
      <c r="A687" s="33" t="inlineStr">
        <is>
          <t>https://africanmarketingconfederation.org/african-marketing-confederation-tourism-chapter/</t>
        </is>
      </c>
      <c r="B687" s="6" t="inlineStr">
        <is>
          <t>Title</t>
        </is>
      </c>
      <c r="C687" s="29" t="inlineStr">
        <is>
          <t>Info</t>
        </is>
      </c>
      <c r="D687" s="6" t="inlineStr">
        <is>
          <t>SEO title too long</t>
        </is>
      </c>
      <c r="E687" s="6" t="n">
        <v>37</v>
      </c>
      <c r="F687" s="6" t="n">
        <v>81</v>
      </c>
      <c r="G687" s="6" t="inlineStr">
        <is>
          <t>40-60 characters</t>
        </is>
      </c>
      <c r="H687" s="6" t="inlineStr">
        <is>
          <t>Shorten title in AIOSEO snippet editor and keep key terms in the first 55-60 characters.</t>
        </is>
      </c>
      <c r="I687" s="31" t="inlineStr">
        <is>
          <t>Main</t>
        </is>
      </c>
      <c r="J687" s="6" t="inlineStr">
        <is>
          <t>Title</t>
        </is>
      </c>
      <c r="K687" s="6" t="inlineStr">
        <is>
          <t>No</t>
        </is>
      </c>
      <c r="L687" s="6" t="inlineStr">
        <is>
          <t>Copy Writer</t>
        </is>
      </c>
      <c r="M687" s="25" t="inlineStr">
        <is>
          <t>Open</t>
        </is>
      </c>
      <c r="N687" s="6" t="n">
        <v>4</v>
      </c>
      <c r="O687" s="6" t="inlineStr">
        <is>
          <t>https://africanmarketingconfederation.org/african-marketing-confederation-tourism-chapter/::aioseo_seo_title_too_long</t>
        </is>
      </c>
      <c r="P687" s="6" t="inlineStr">
        <is>
          <t>Long titles are more likely to truncate in SERPs.</t>
        </is>
      </c>
      <c r="Q687">
        <f>IFERROR(HYPERLINK("#Main!A"&amp;MATCH(A687,Main!A:A,0),"Open"),HYPERLINK("#Main!A1","Open"))</f>
        <v/>
      </c>
      <c r="R687">
        <f>IFERROR(HYPERLINK("#Technical!A"&amp;MATCH(A687,Technical!A:A,0),"Open"),HYPERLINK("#Technical!A1","Open"))</f>
        <v/>
      </c>
    </row>
    <row r="688" ht="30" customHeight="1">
      <c r="A688" s="33" t="inlineStr">
        <is>
          <t>https://africanmarketingconfederation.org/amc-conference-2022-prospectus/</t>
        </is>
      </c>
      <c r="B688" s="24" t="inlineStr">
        <is>
          <t>Title</t>
        </is>
      </c>
      <c r="C688" s="29" t="inlineStr">
        <is>
          <t>Info</t>
        </is>
      </c>
      <c r="D688" s="24" t="inlineStr">
        <is>
          <t>SEO title too long</t>
        </is>
      </c>
      <c r="E688" s="24" t="n">
        <v>37</v>
      </c>
      <c r="F688" s="24" t="n">
        <v>66</v>
      </c>
      <c r="G688" s="24" t="inlineStr">
        <is>
          <t>40-60 characters</t>
        </is>
      </c>
      <c r="H688" s="24" t="inlineStr">
        <is>
          <t>Shorten title in AIOSEO snippet editor and keep key terms in the first 55-60 characters.</t>
        </is>
      </c>
      <c r="I688" s="28" t="inlineStr">
        <is>
          <t>Main</t>
        </is>
      </c>
      <c r="J688" s="24" t="inlineStr">
        <is>
          <t>Title</t>
        </is>
      </c>
      <c r="K688" s="24" t="inlineStr">
        <is>
          <t>No</t>
        </is>
      </c>
      <c r="L688" s="24" t="inlineStr">
        <is>
          <t>Copy Writer</t>
        </is>
      </c>
      <c r="M688" s="25" t="inlineStr">
        <is>
          <t>Open</t>
        </is>
      </c>
      <c r="N688" s="24" t="n">
        <v>4</v>
      </c>
      <c r="O688" s="24" t="inlineStr">
        <is>
          <t>https://africanmarketingconfederation.org/amc-conference-2022-prospectus/::aioseo_seo_title_too_long</t>
        </is>
      </c>
      <c r="P688" s="24" t="inlineStr">
        <is>
          <t>Long titles are more likely to truncate in SERPs.</t>
        </is>
      </c>
      <c r="Q688">
        <f>IFERROR(HYPERLINK("#Main!A"&amp;MATCH(A688,Main!A:A,0),"Open"),HYPERLINK("#Main!A1","Open"))</f>
        <v/>
      </c>
      <c r="R688">
        <f>IFERROR(HYPERLINK("#Technical!A"&amp;MATCH(A688,Technical!A:A,0),"Open"),HYPERLINK("#Technical!A1","Open"))</f>
        <v/>
      </c>
    </row>
    <row r="689" ht="30" customHeight="1">
      <c r="A689" s="33" t="inlineStr">
        <is>
          <t>https://africanmarketingconfederation.org/amc-conference-2022-thank-you/</t>
        </is>
      </c>
      <c r="B689" s="6" t="inlineStr">
        <is>
          <t>Title</t>
        </is>
      </c>
      <c r="C689" s="29" t="inlineStr">
        <is>
          <t>Info</t>
        </is>
      </c>
      <c r="D689" s="6" t="inlineStr">
        <is>
          <t>SEO title too long</t>
        </is>
      </c>
      <c r="E689" s="6" t="n">
        <v>37</v>
      </c>
      <c r="F689" s="6" t="n">
        <v>65</v>
      </c>
      <c r="G689" s="6" t="inlineStr">
        <is>
          <t>40-60 characters</t>
        </is>
      </c>
      <c r="H689" s="6" t="inlineStr">
        <is>
          <t>Shorten title in AIOSEO snippet editor and keep key terms in the first 55-60 characters.</t>
        </is>
      </c>
      <c r="I689" s="31" t="inlineStr">
        <is>
          <t>Main</t>
        </is>
      </c>
      <c r="J689" s="6" t="inlineStr">
        <is>
          <t>Title</t>
        </is>
      </c>
      <c r="K689" s="6" t="inlineStr">
        <is>
          <t>No</t>
        </is>
      </c>
      <c r="L689" s="6" t="inlineStr">
        <is>
          <t>Copy Writer</t>
        </is>
      </c>
      <c r="M689" s="25" t="inlineStr">
        <is>
          <t>Open</t>
        </is>
      </c>
      <c r="N689" s="6" t="n">
        <v>4</v>
      </c>
      <c r="O689" s="6" t="inlineStr">
        <is>
          <t>https://africanmarketingconfederation.org/amc-conference-2022-thank-you/::aioseo_seo_title_too_long</t>
        </is>
      </c>
      <c r="P689" s="6" t="inlineStr">
        <is>
          <t>Long titles are more likely to truncate in SERPs.</t>
        </is>
      </c>
      <c r="Q689">
        <f>IFERROR(HYPERLINK("#Main!A"&amp;MATCH(A689,Main!A:A,0),"Open"),HYPERLINK("#Main!A1","Open"))</f>
        <v/>
      </c>
      <c r="R689">
        <f>IFERROR(HYPERLINK("#Technical!A"&amp;MATCH(A689,Technical!A:A,0),"Open"),HYPERLINK("#Technical!A1","Open"))</f>
        <v/>
      </c>
    </row>
    <row r="690" ht="30" customHeight="1">
      <c r="A690" s="33" t="inlineStr">
        <is>
          <t>https://africanmarketingconfederation.org/amc-conference-2025-highlights/</t>
        </is>
      </c>
      <c r="B690" s="24" t="inlineStr">
        <is>
          <t>Title</t>
        </is>
      </c>
      <c r="C690" s="29" t="inlineStr">
        <is>
          <t>Info</t>
        </is>
      </c>
      <c r="D690" s="24" t="inlineStr">
        <is>
          <t>SEO title too long</t>
        </is>
      </c>
      <c r="E690" s="24" t="n">
        <v>37</v>
      </c>
      <c r="F690" s="24" t="n">
        <v>64</v>
      </c>
      <c r="G690" s="24" t="inlineStr">
        <is>
          <t>40-60 characters</t>
        </is>
      </c>
      <c r="H690" s="24" t="inlineStr">
        <is>
          <t>Shorten title in AIOSEO snippet editor and keep key terms in the first 55-60 characters.</t>
        </is>
      </c>
      <c r="I690" s="28" t="inlineStr">
        <is>
          <t>Main</t>
        </is>
      </c>
      <c r="J690" s="24" t="inlineStr">
        <is>
          <t>Title</t>
        </is>
      </c>
      <c r="K690" s="24" t="inlineStr">
        <is>
          <t>No</t>
        </is>
      </c>
      <c r="L690" s="24" t="inlineStr">
        <is>
          <t>Copy Writer</t>
        </is>
      </c>
      <c r="M690" s="25" t="inlineStr">
        <is>
          <t>Open</t>
        </is>
      </c>
      <c r="N690" s="24" t="n">
        <v>4</v>
      </c>
      <c r="O690" s="24" t="inlineStr">
        <is>
          <t>https://africanmarketingconfederation.org/amc-conference-2025-highlights/::aioseo_seo_title_too_long</t>
        </is>
      </c>
      <c r="P690" s="24" t="inlineStr">
        <is>
          <t>Long titles are more likely to truncate in SERPs.</t>
        </is>
      </c>
      <c r="Q690">
        <f>IFERROR(HYPERLINK("#Main!A"&amp;MATCH(A690,Main!A:A,0),"Open"),HYPERLINK("#Main!A1","Open"))</f>
        <v/>
      </c>
      <c r="R690">
        <f>IFERROR(HYPERLINK("#Technical!A"&amp;MATCH(A690,Technical!A:A,0),"Open"),HYPERLINK("#Technical!A1","Open"))</f>
        <v/>
      </c>
    </row>
    <row r="691" ht="30" customHeight="1">
      <c r="A691" s="33" t="inlineStr">
        <is>
          <t>https://africanmarketingconfederation.org/amc-conference-2025/</t>
        </is>
      </c>
      <c r="B691" s="6" t="inlineStr">
        <is>
          <t>Title</t>
        </is>
      </c>
      <c r="C691" s="29" t="inlineStr">
        <is>
          <t>Info</t>
        </is>
      </c>
      <c r="D691" s="6" t="inlineStr">
        <is>
          <t>SEO title too short</t>
        </is>
      </c>
      <c r="E691" s="6" t="n">
        <v>37</v>
      </c>
      <c r="F691" s="6" t="n">
        <v>19</v>
      </c>
      <c r="G691" s="6" t="inlineStr">
        <is>
          <t>40-60 characters</t>
        </is>
      </c>
      <c r="H691" s="6" t="inlineStr">
        <is>
          <t>Expand title in AIOSEO snippet editor with clearer intent and value proposition.</t>
        </is>
      </c>
      <c r="I691" s="31" t="inlineStr">
        <is>
          <t>Main</t>
        </is>
      </c>
      <c r="J691" s="6" t="inlineStr">
        <is>
          <t>Title</t>
        </is>
      </c>
      <c r="K691" s="6" t="inlineStr">
        <is>
          <t>No</t>
        </is>
      </c>
      <c r="L691" s="6" t="inlineStr">
        <is>
          <t>Copy Writer</t>
        </is>
      </c>
      <c r="M691" s="25" t="inlineStr">
        <is>
          <t>Open</t>
        </is>
      </c>
      <c r="N691" s="6" t="n">
        <v>4</v>
      </c>
      <c r="O691" s="6" t="inlineStr">
        <is>
          <t>https://africanmarketingconfederation.org/amc-conference-2025/::aioseo_seo_title_too_short</t>
        </is>
      </c>
      <c r="P691" s="6" t="inlineStr">
        <is>
          <t>Very short titles often under-describe page intent.</t>
        </is>
      </c>
      <c r="Q691">
        <f>IFERROR(HYPERLINK("#Main!A"&amp;MATCH(A691,Main!A:A,0),"Open"),HYPERLINK("#Main!A1","Open"))</f>
        <v/>
      </c>
      <c r="R691">
        <f>IFERROR(HYPERLINK("#Technical!A"&amp;MATCH(A691,Technical!A:A,0),"Open"),HYPERLINK("#Technical!A1","Open"))</f>
        <v/>
      </c>
    </row>
    <row r="692" ht="30" customHeight="1">
      <c r="A692" s="33" t="inlineStr">
        <is>
          <t>https://africanmarketingconfederation.org/amc-conference-2026-awards-nominations-thank-you/</t>
        </is>
      </c>
      <c r="B692" s="24" t="inlineStr">
        <is>
          <t>Title</t>
        </is>
      </c>
      <c r="C692" s="29" t="inlineStr">
        <is>
          <t>Info</t>
        </is>
      </c>
      <c r="D692" s="24" t="inlineStr">
        <is>
          <t>SEO title too long</t>
        </is>
      </c>
      <c r="E692" s="24" t="n">
        <v>37</v>
      </c>
      <c r="F692" s="24" t="n">
        <v>82</v>
      </c>
      <c r="G692" s="24" t="inlineStr">
        <is>
          <t>40-60 characters</t>
        </is>
      </c>
      <c r="H692" s="24" t="inlineStr">
        <is>
          <t>Shorten title in AIOSEO snippet editor and keep key terms in the first 55-60 characters.</t>
        </is>
      </c>
      <c r="I692" s="28" t="inlineStr">
        <is>
          <t>Main</t>
        </is>
      </c>
      <c r="J692" s="24" t="inlineStr">
        <is>
          <t>Title</t>
        </is>
      </c>
      <c r="K692" s="24" t="inlineStr">
        <is>
          <t>No</t>
        </is>
      </c>
      <c r="L692" s="24" t="inlineStr">
        <is>
          <t>Copy Writer</t>
        </is>
      </c>
      <c r="M692" s="25" t="inlineStr">
        <is>
          <t>Open</t>
        </is>
      </c>
      <c r="N692" s="24" t="n">
        <v>4</v>
      </c>
      <c r="O692" s="24" t="inlineStr">
        <is>
          <t>https://africanmarketingconfederation.org/amc-conference-2026-awards-nominations-thank-you/::aioseo_seo_title_too_long</t>
        </is>
      </c>
      <c r="P692" s="24" t="inlineStr">
        <is>
          <t>Long titles are more likely to truncate in SERPs.</t>
        </is>
      </c>
      <c r="Q692">
        <f>IFERROR(HYPERLINK("#Main!A"&amp;MATCH(A692,Main!A:A,0),"Open"),HYPERLINK("#Main!A1","Open"))</f>
        <v/>
      </c>
      <c r="R692">
        <f>IFERROR(HYPERLINK("#Technical!A"&amp;MATCH(A692,Technical!A:A,0),"Open"),HYPERLINK("#Technical!A1","Open"))</f>
        <v/>
      </c>
    </row>
    <row r="693" ht="30" customHeight="1">
      <c r="A693" s="33" t="inlineStr">
        <is>
          <t>https://africanmarketingconfederation.org/amc-conference-2026-zambia-thank-you/</t>
        </is>
      </c>
      <c r="B693" s="6" t="inlineStr">
        <is>
          <t>Title</t>
        </is>
      </c>
      <c r="C693" s="29" t="inlineStr">
        <is>
          <t>Info</t>
        </is>
      </c>
      <c r="D693" s="6" t="inlineStr">
        <is>
          <t>SEO title too long</t>
        </is>
      </c>
      <c r="E693" s="6" t="n">
        <v>37</v>
      </c>
      <c r="F693" s="6" t="n">
        <v>70</v>
      </c>
      <c r="G693" s="6" t="inlineStr">
        <is>
          <t>40-60 characters</t>
        </is>
      </c>
      <c r="H693" s="6" t="inlineStr">
        <is>
          <t>Shorten title in AIOSEO snippet editor and keep key terms in the first 55-60 characters.</t>
        </is>
      </c>
      <c r="I693" s="31" t="inlineStr">
        <is>
          <t>Main</t>
        </is>
      </c>
      <c r="J693" s="6" t="inlineStr">
        <is>
          <t>Title</t>
        </is>
      </c>
      <c r="K693" s="6" t="inlineStr">
        <is>
          <t>No</t>
        </is>
      </c>
      <c r="L693" s="6" t="inlineStr">
        <is>
          <t>Copy Writer</t>
        </is>
      </c>
      <c r="M693" s="25" t="inlineStr">
        <is>
          <t>Open</t>
        </is>
      </c>
      <c r="N693" s="6" t="n">
        <v>4</v>
      </c>
      <c r="O693" s="6" t="inlineStr">
        <is>
          <t>https://africanmarketingconfederation.org/amc-conference-2026-zambia-thank-you/::aioseo_seo_title_too_long</t>
        </is>
      </c>
      <c r="P693" s="6" t="inlineStr">
        <is>
          <t>Long titles are more likely to truncate in SERPs.</t>
        </is>
      </c>
      <c r="Q693">
        <f>IFERROR(HYPERLINK("#Main!A"&amp;MATCH(A693,Main!A:A,0),"Open"),HYPERLINK("#Main!A1","Open"))</f>
        <v/>
      </c>
      <c r="R693">
        <f>IFERROR(HYPERLINK("#Technical!A"&amp;MATCH(A693,Technical!A:A,0),"Open"),HYPERLINK("#Technical!A1","Open"))</f>
        <v/>
      </c>
    </row>
    <row r="694" ht="30" customHeight="1">
      <c r="A694" s="33" t="inlineStr">
        <is>
          <t>https://africanmarketingconfederation.org/amc-launch-event-zambia-thank-you-2026/</t>
        </is>
      </c>
      <c r="B694" s="24" t="inlineStr">
        <is>
          <t>Title</t>
        </is>
      </c>
      <c r="C694" s="29" t="inlineStr">
        <is>
          <t>Info</t>
        </is>
      </c>
      <c r="D694" s="24" t="inlineStr">
        <is>
          <t>SEO title too long</t>
        </is>
      </c>
      <c r="E694" s="24" t="n">
        <v>37</v>
      </c>
      <c r="F694" s="24" t="n">
        <v>72</v>
      </c>
      <c r="G694" s="24" t="inlineStr">
        <is>
          <t>40-60 characters</t>
        </is>
      </c>
      <c r="H694" s="24" t="inlineStr">
        <is>
          <t>Shorten title in AIOSEO snippet editor and keep key terms in the first 55-60 characters.</t>
        </is>
      </c>
      <c r="I694" s="28" t="inlineStr">
        <is>
          <t>Main</t>
        </is>
      </c>
      <c r="J694" s="24" t="inlineStr">
        <is>
          <t>Title</t>
        </is>
      </c>
      <c r="K694" s="24" t="inlineStr">
        <is>
          <t>No</t>
        </is>
      </c>
      <c r="L694" s="24" t="inlineStr">
        <is>
          <t>Copy Writer</t>
        </is>
      </c>
      <c r="M694" s="25" t="inlineStr">
        <is>
          <t>Open</t>
        </is>
      </c>
      <c r="N694" s="24" t="n">
        <v>4</v>
      </c>
      <c r="O694" s="24" t="inlineStr">
        <is>
          <t>https://africanmarketingconfederation.org/amc-launch-event-zambia-thank-you-2026/::aioseo_seo_title_too_long</t>
        </is>
      </c>
      <c r="P694" s="24" t="inlineStr">
        <is>
          <t>Long titles are more likely to truncate in SERPs.</t>
        </is>
      </c>
      <c r="Q694">
        <f>IFERROR(HYPERLINK("#Main!A"&amp;MATCH(A694,Main!A:A,0),"Open"),HYPERLINK("#Main!A1","Open"))</f>
        <v/>
      </c>
      <c r="R694">
        <f>IFERROR(HYPERLINK("#Technical!A"&amp;MATCH(A694,Technical!A:A,0),"Open"),HYPERLINK("#Technical!A1","Open"))</f>
        <v/>
      </c>
    </row>
    <row r="695" ht="45" customHeight="1">
      <c r="A695" s="33" t="inlineStr">
        <is>
          <t>https://africanmarketingconfederation.org/amc-marketing-conference-2024/amc-conference-2025-ghana-sponsors/</t>
        </is>
      </c>
      <c r="B695" s="6" t="inlineStr">
        <is>
          <t>Title</t>
        </is>
      </c>
      <c r="C695" s="29" t="inlineStr">
        <is>
          <t>Info</t>
        </is>
      </c>
      <c r="D695" s="6" t="inlineStr">
        <is>
          <t>SEO title too long</t>
        </is>
      </c>
      <c r="E695" s="6" t="n">
        <v>37</v>
      </c>
      <c r="F695" s="6" t="n">
        <v>68</v>
      </c>
      <c r="G695" s="6" t="inlineStr">
        <is>
          <t>40-60 characters</t>
        </is>
      </c>
      <c r="H695" s="6" t="inlineStr">
        <is>
          <t>Shorten title in AIOSEO snippet editor and keep key terms in the first 55-60 characters.</t>
        </is>
      </c>
      <c r="I695" s="31" t="inlineStr">
        <is>
          <t>Main</t>
        </is>
      </c>
      <c r="J695" s="6" t="inlineStr">
        <is>
          <t>Title</t>
        </is>
      </c>
      <c r="K695" s="6" t="inlineStr">
        <is>
          <t>No</t>
        </is>
      </c>
      <c r="L695" s="6" t="inlineStr">
        <is>
          <t>Copy Writer</t>
        </is>
      </c>
      <c r="M695" s="25" t="inlineStr">
        <is>
          <t>Open</t>
        </is>
      </c>
      <c r="N695" s="6" t="n">
        <v>4</v>
      </c>
      <c r="O695" s="6" t="inlineStr">
        <is>
          <t>https://africanmarketingconfederation.org/amc-marketing-conference-2024/amc-conference-2025-ghana-sponsors/::aioseo_seo_title_too_long</t>
        </is>
      </c>
      <c r="P695" s="6" t="inlineStr">
        <is>
          <t>Long titles are more likely to truncate in SERPs.</t>
        </is>
      </c>
      <c r="Q695">
        <f>IFERROR(HYPERLINK("#Main!A"&amp;MATCH(A695,Main!A:A,0),"Open"),HYPERLINK("#Main!A1","Open"))</f>
        <v/>
      </c>
      <c r="R695">
        <f>IFERROR(HYPERLINK("#Technical!A"&amp;MATCH(A695,Technical!A:A,0),"Open"),HYPERLINK("#Technical!A1","Open"))</f>
        <v/>
      </c>
    </row>
    <row r="696" ht="30" customHeight="1">
      <c r="A696" s="33" t="inlineStr">
        <is>
          <t>https://africanmarketingconfederation.org/amc-marketing-conference-2024/amc-programme-2025/</t>
        </is>
      </c>
      <c r="B696" s="24" t="inlineStr">
        <is>
          <t>Title</t>
        </is>
      </c>
      <c r="C696" s="29" t="inlineStr">
        <is>
          <t>Info</t>
        </is>
      </c>
      <c r="D696" s="24" t="inlineStr">
        <is>
          <t>SEO title too short</t>
        </is>
      </c>
      <c r="E696" s="24" t="n">
        <v>37</v>
      </c>
      <c r="F696" s="24" t="n">
        <v>26</v>
      </c>
      <c r="G696" s="24" t="inlineStr">
        <is>
          <t>40-60 characters</t>
        </is>
      </c>
      <c r="H696" s="24" t="inlineStr">
        <is>
          <t>Expand title in AIOSEO snippet editor with clearer intent and value proposition.</t>
        </is>
      </c>
      <c r="I696" s="28" t="inlineStr">
        <is>
          <t>Main</t>
        </is>
      </c>
      <c r="J696" s="24" t="inlineStr">
        <is>
          <t>Title</t>
        </is>
      </c>
      <c r="K696" s="24" t="inlineStr">
        <is>
          <t>No</t>
        </is>
      </c>
      <c r="L696" s="24" t="inlineStr">
        <is>
          <t>Copy Writer</t>
        </is>
      </c>
      <c r="M696" s="25" t="inlineStr">
        <is>
          <t>Open</t>
        </is>
      </c>
      <c r="N696" s="24" t="n">
        <v>4</v>
      </c>
      <c r="O696" s="24" t="inlineStr">
        <is>
          <t>https://africanmarketingconfederation.org/amc-marketing-conference-2024/amc-programme-2025/::aioseo_seo_title_too_short</t>
        </is>
      </c>
      <c r="P696" s="24" t="inlineStr">
        <is>
          <t>Very short titles often under-describe page intent.</t>
        </is>
      </c>
      <c r="Q696">
        <f>IFERROR(HYPERLINK("#Main!A"&amp;MATCH(A696,Main!A:A,0),"Open"),HYPERLINK("#Main!A1","Open"))</f>
        <v/>
      </c>
      <c r="R696">
        <f>IFERROR(HYPERLINK("#Technical!A"&amp;MATCH(A696,Technical!A:A,0),"Open"),HYPERLINK("#Technical!A1","Open"))</f>
        <v/>
      </c>
    </row>
    <row r="697" ht="45" customHeight="1">
      <c r="A697" s="33" t="inlineStr">
        <is>
          <t>https://africanmarketingconfederation.org/amc-marketing-conference-2024/amc-speakers-presentations-2024/</t>
        </is>
      </c>
      <c r="B697" s="6" t="inlineStr">
        <is>
          <t>Title</t>
        </is>
      </c>
      <c r="C697" s="29" t="inlineStr">
        <is>
          <t>Info</t>
        </is>
      </c>
      <c r="D697" s="6" t="inlineStr">
        <is>
          <t>SEO title too long</t>
        </is>
      </c>
      <c r="E697" s="6" t="n">
        <v>37</v>
      </c>
      <c r="F697" s="6" t="n">
        <v>65</v>
      </c>
      <c r="G697" s="6" t="inlineStr">
        <is>
          <t>40-60 characters</t>
        </is>
      </c>
      <c r="H697" s="6" t="inlineStr">
        <is>
          <t>Shorten title in AIOSEO snippet editor and keep key terms in the first 55-60 characters.</t>
        </is>
      </c>
      <c r="I697" s="31" t="inlineStr">
        <is>
          <t>Main</t>
        </is>
      </c>
      <c r="J697" s="6" t="inlineStr">
        <is>
          <t>Title</t>
        </is>
      </c>
      <c r="K697" s="6" t="inlineStr">
        <is>
          <t>No</t>
        </is>
      </c>
      <c r="L697" s="6" t="inlineStr">
        <is>
          <t>Copy Writer</t>
        </is>
      </c>
      <c r="M697" s="25" t="inlineStr">
        <is>
          <t>Open</t>
        </is>
      </c>
      <c r="N697" s="6" t="n">
        <v>4</v>
      </c>
      <c r="O697" s="6" t="inlineStr">
        <is>
          <t>https://africanmarketingconfederation.org/amc-marketing-conference-2024/amc-speakers-presentations-2024/::aioseo_seo_title_too_long</t>
        </is>
      </c>
      <c r="P697" s="6" t="inlineStr">
        <is>
          <t>Long titles are more likely to truncate in SERPs.</t>
        </is>
      </c>
      <c r="Q697">
        <f>IFERROR(HYPERLINK("#Main!A"&amp;MATCH(A697,Main!A:A,0),"Open"),HYPERLINK("#Main!A1","Open"))</f>
        <v/>
      </c>
      <c r="R697">
        <f>IFERROR(HYPERLINK("#Technical!A"&amp;MATCH(A697,Technical!A:A,0),"Open"),HYPERLINK("#Technical!A1","Open"))</f>
        <v/>
      </c>
    </row>
    <row r="698" ht="30" customHeight="1">
      <c r="A698" s="33" t="inlineStr">
        <is>
          <t>https://africanmarketingconfederation.org/amc-masterclass-thank-you/</t>
        </is>
      </c>
      <c r="B698" s="24" t="inlineStr">
        <is>
          <t>Title</t>
        </is>
      </c>
      <c r="C698" s="29" t="inlineStr">
        <is>
          <t>Info</t>
        </is>
      </c>
      <c r="D698" s="24" t="inlineStr">
        <is>
          <t>SEO title too long</t>
        </is>
      </c>
      <c r="E698" s="24" t="n">
        <v>37</v>
      </c>
      <c r="F698" s="24" t="n">
        <v>61</v>
      </c>
      <c r="G698" s="24" t="inlineStr">
        <is>
          <t>40-60 characters</t>
        </is>
      </c>
      <c r="H698" s="24" t="inlineStr">
        <is>
          <t>Shorten title in AIOSEO snippet editor and keep key terms in the first 55-60 characters.</t>
        </is>
      </c>
      <c r="I698" s="28" t="inlineStr">
        <is>
          <t>Main</t>
        </is>
      </c>
      <c r="J698" s="24" t="inlineStr">
        <is>
          <t>Title</t>
        </is>
      </c>
      <c r="K698" s="24" t="inlineStr">
        <is>
          <t>No</t>
        </is>
      </c>
      <c r="L698" s="24" t="inlineStr">
        <is>
          <t>Copy Writer</t>
        </is>
      </c>
      <c r="M698" s="25" t="inlineStr">
        <is>
          <t>Open</t>
        </is>
      </c>
      <c r="N698" s="24" t="n">
        <v>4</v>
      </c>
      <c r="O698" s="24" t="inlineStr">
        <is>
          <t>https://africanmarketingconfederation.org/amc-masterclass-thank-you/::aioseo_seo_title_too_long</t>
        </is>
      </c>
      <c r="P698" s="24" t="inlineStr">
        <is>
          <t>Long titles are more likely to truncate in SERPs.</t>
        </is>
      </c>
      <c r="Q698">
        <f>IFERROR(HYPERLINK("#Main!A"&amp;MATCH(A698,Main!A:A,0),"Open"),HYPERLINK("#Main!A1","Open"))</f>
        <v/>
      </c>
      <c r="R698">
        <f>IFERROR(HYPERLINK("#Technical!A"&amp;MATCH(A698,Technical!A:A,0),"Open"),HYPERLINK("#Technical!A1","Open"))</f>
        <v/>
      </c>
    </row>
    <row r="699" ht="30" customHeight="1">
      <c r="A699" s="33" t="inlineStr">
        <is>
          <t>https://africanmarketingconfederation.org/certified-professional-marketer-africa/</t>
        </is>
      </c>
      <c r="B699" s="6" t="inlineStr">
        <is>
          <t>Title</t>
        </is>
      </c>
      <c r="C699" s="29" t="inlineStr">
        <is>
          <t>Info</t>
        </is>
      </c>
      <c r="D699" s="6" t="inlineStr">
        <is>
          <t>SEO title too long</t>
        </is>
      </c>
      <c r="E699" s="6" t="n">
        <v>37</v>
      </c>
      <c r="F699" s="6" t="n">
        <v>74</v>
      </c>
      <c r="G699" s="6" t="inlineStr">
        <is>
          <t>40-60 characters</t>
        </is>
      </c>
      <c r="H699" s="6" t="inlineStr">
        <is>
          <t>Shorten title in AIOSEO snippet editor and keep key terms in the first 55-60 characters.</t>
        </is>
      </c>
      <c r="I699" s="31" t="inlineStr">
        <is>
          <t>Main</t>
        </is>
      </c>
      <c r="J699" s="6" t="inlineStr">
        <is>
          <t>Title</t>
        </is>
      </c>
      <c r="K699" s="6" t="inlineStr">
        <is>
          <t>No</t>
        </is>
      </c>
      <c r="L699" s="6" t="inlineStr">
        <is>
          <t>Copy Writer</t>
        </is>
      </c>
      <c r="M699" s="25" t="inlineStr">
        <is>
          <t>Open</t>
        </is>
      </c>
      <c r="N699" s="6" t="n">
        <v>4</v>
      </c>
      <c r="O699" s="6" t="inlineStr">
        <is>
          <t>https://africanmarketingconfederation.org/certified-professional-marketer-africa/::aioseo_seo_title_too_long</t>
        </is>
      </c>
      <c r="P699" s="6" t="inlineStr">
        <is>
          <t>Long titles are more likely to truncate in SERPs.</t>
        </is>
      </c>
      <c r="Q699">
        <f>IFERROR(HYPERLINK("#Main!A"&amp;MATCH(A699,Main!A:A,0),"Open"),HYPERLINK("#Main!A1","Open"))</f>
        <v/>
      </c>
      <c r="R699">
        <f>IFERROR(HYPERLINK("#Technical!A"&amp;MATCH(A699,Technical!A:A,0),"Open"),HYPERLINK("#Technical!A1","Open"))</f>
        <v/>
      </c>
    </row>
    <row r="700" ht="30" customHeight="1">
      <c r="A700" s="33" t="inlineStr">
        <is>
          <t>https://africanmarketingconfederation.org/chartered-marketer-africa-final-submission-fee/</t>
        </is>
      </c>
      <c r="B700" s="24" t="inlineStr">
        <is>
          <t>Title</t>
        </is>
      </c>
      <c r="C700" s="29" t="inlineStr">
        <is>
          <t>Info</t>
        </is>
      </c>
      <c r="D700" s="24" t="inlineStr">
        <is>
          <t>SEO title too long</t>
        </is>
      </c>
      <c r="E700" s="24" t="n">
        <v>37</v>
      </c>
      <c r="F700" s="24" t="n">
        <v>82</v>
      </c>
      <c r="G700" s="24" t="inlineStr">
        <is>
          <t>40-60 characters</t>
        </is>
      </c>
      <c r="H700" s="24" t="inlineStr">
        <is>
          <t>Shorten title in AIOSEO snippet editor and keep key terms in the first 55-60 characters.</t>
        </is>
      </c>
      <c r="I700" s="28" t="inlineStr">
        <is>
          <t>Main</t>
        </is>
      </c>
      <c r="J700" s="24" t="inlineStr">
        <is>
          <t>Title</t>
        </is>
      </c>
      <c r="K700" s="24" t="inlineStr">
        <is>
          <t>No</t>
        </is>
      </c>
      <c r="L700" s="24" t="inlineStr">
        <is>
          <t>Copy Writer</t>
        </is>
      </c>
      <c r="M700" s="25" t="inlineStr">
        <is>
          <t>Open</t>
        </is>
      </c>
      <c r="N700" s="24" t="n">
        <v>4</v>
      </c>
      <c r="O700" s="24" t="inlineStr">
        <is>
          <t>https://africanmarketingconfederation.org/chartered-marketer-africa-final-submission-fee/::aioseo_seo_title_too_long</t>
        </is>
      </c>
      <c r="P700" s="24" t="inlineStr">
        <is>
          <t>Long titles are more likely to truncate in SERPs.</t>
        </is>
      </c>
      <c r="Q700">
        <f>IFERROR(HYPERLINK("#Main!A"&amp;MATCH(A700,Main!A:A,0),"Open"),HYPERLINK("#Main!A1","Open"))</f>
        <v/>
      </c>
      <c r="R700">
        <f>IFERROR(HYPERLINK("#Technical!A"&amp;MATCH(A700,Technical!A:A,0),"Open"),HYPERLINK("#Technical!A1","Open"))</f>
        <v/>
      </c>
    </row>
    <row r="701" ht="30" customHeight="1">
      <c r="A701" s="33" t="inlineStr">
        <is>
          <t>https://africanmarketingconfederation.org/chartered-marketer-africa-programme-fee/</t>
        </is>
      </c>
      <c r="B701" s="6" t="inlineStr">
        <is>
          <t>Title</t>
        </is>
      </c>
      <c r="C701" s="29" t="inlineStr">
        <is>
          <t>Info</t>
        </is>
      </c>
      <c r="D701" s="6" t="inlineStr">
        <is>
          <t>SEO title too long</t>
        </is>
      </c>
      <c r="E701" s="6" t="n">
        <v>37</v>
      </c>
      <c r="F701" s="6" t="n">
        <v>75</v>
      </c>
      <c r="G701" s="6" t="inlineStr">
        <is>
          <t>40-60 characters</t>
        </is>
      </c>
      <c r="H701" s="6" t="inlineStr">
        <is>
          <t>Shorten title in AIOSEO snippet editor and keep key terms in the first 55-60 characters.</t>
        </is>
      </c>
      <c r="I701" s="31" t="inlineStr">
        <is>
          <t>Main</t>
        </is>
      </c>
      <c r="J701" s="6" t="inlineStr">
        <is>
          <t>Title</t>
        </is>
      </c>
      <c r="K701" s="6" t="inlineStr">
        <is>
          <t>No</t>
        </is>
      </c>
      <c r="L701" s="6" t="inlineStr">
        <is>
          <t>Copy Writer</t>
        </is>
      </c>
      <c r="M701" s="25" t="inlineStr">
        <is>
          <t>Open</t>
        </is>
      </c>
      <c r="N701" s="6" t="n">
        <v>4</v>
      </c>
      <c r="O701" s="6" t="inlineStr">
        <is>
          <t>https://africanmarketingconfederation.org/chartered-marketer-africa-programme-fee/::aioseo_seo_title_too_long</t>
        </is>
      </c>
      <c r="P701" s="6" t="inlineStr">
        <is>
          <t>Long titles are more likely to truncate in SERPs.</t>
        </is>
      </c>
      <c r="Q701">
        <f>IFERROR(HYPERLINK("#Main!A"&amp;MATCH(A701,Main!A:A,0),"Open"),HYPERLINK("#Main!A1","Open"))</f>
        <v/>
      </c>
      <c r="R701">
        <f>IFERROR(HYPERLINK("#Technical!A"&amp;MATCH(A701,Technical!A:A,0),"Open"),HYPERLINK("#Technical!A1","Open"))</f>
        <v/>
      </c>
    </row>
    <row r="702" ht="30" customHeight="1">
      <c r="A702" s="33" t="inlineStr">
        <is>
          <t>https://africanmarketingconfederation.org/chartered-marketer-africa-thank-you/</t>
        </is>
      </c>
      <c r="B702" s="24" t="inlineStr">
        <is>
          <t>Title</t>
        </is>
      </c>
      <c r="C702" s="29" t="inlineStr">
        <is>
          <t>Info</t>
        </is>
      </c>
      <c r="D702" s="24" t="inlineStr">
        <is>
          <t>SEO title too long</t>
        </is>
      </c>
      <c r="E702" s="24" t="n">
        <v>37</v>
      </c>
      <c r="F702" s="24" t="n">
        <v>73</v>
      </c>
      <c r="G702" s="24" t="inlineStr">
        <is>
          <t>40-60 characters</t>
        </is>
      </c>
      <c r="H702" s="24" t="inlineStr">
        <is>
          <t>Shorten title in AIOSEO snippet editor and keep key terms in the first 55-60 characters.</t>
        </is>
      </c>
      <c r="I702" s="28" t="inlineStr">
        <is>
          <t>Main</t>
        </is>
      </c>
      <c r="J702" s="24" t="inlineStr">
        <is>
          <t>Title</t>
        </is>
      </c>
      <c r="K702" s="24" t="inlineStr">
        <is>
          <t>No</t>
        </is>
      </c>
      <c r="L702" s="24" t="inlineStr">
        <is>
          <t>Copy Writer</t>
        </is>
      </c>
      <c r="M702" s="25" t="inlineStr">
        <is>
          <t>Open</t>
        </is>
      </c>
      <c r="N702" s="24" t="n">
        <v>4</v>
      </c>
      <c r="O702" s="24" t="inlineStr">
        <is>
          <t>https://africanmarketingconfederation.org/chartered-marketer-africa-thank-you/::aioseo_seo_title_too_long</t>
        </is>
      </c>
      <c r="P702" s="24" t="inlineStr">
        <is>
          <t>Long titles are more likely to truncate in SERPs.</t>
        </is>
      </c>
      <c r="Q702">
        <f>IFERROR(HYPERLINK("#Main!A"&amp;MATCH(A702,Main!A:A,0),"Open"),HYPERLINK("#Main!A1","Open"))</f>
        <v/>
      </c>
      <c r="R702">
        <f>IFERROR(HYPERLINK("#Technical!A"&amp;MATCH(A702,Technical!A:A,0),"Open"),HYPERLINK("#Technical!A1","Open"))</f>
        <v/>
      </c>
    </row>
    <row r="703" ht="30" customHeight="1">
      <c r="A703" s="33" t="inlineStr">
        <is>
          <t>https://africanmarketingconfederation.org/chartered-marketer-africa/</t>
        </is>
      </c>
      <c r="B703" s="6" t="inlineStr">
        <is>
          <t>Title</t>
        </is>
      </c>
      <c r="C703" s="29" t="inlineStr">
        <is>
          <t>Info</t>
        </is>
      </c>
      <c r="D703" s="6" t="inlineStr">
        <is>
          <t>SEO title too long</t>
        </is>
      </c>
      <c r="E703" s="6" t="n">
        <v>37</v>
      </c>
      <c r="F703" s="6" t="n">
        <v>63</v>
      </c>
      <c r="G703" s="6" t="inlineStr">
        <is>
          <t>40-60 characters</t>
        </is>
      </c>
      <c r="H703" s="6" t="inlineStr">
        <is>
          <t>Shorten title in AIOSEO snippet editor and keep key terms in the first 55-60 characters.</t>
        </is>
      </c>
      <c r="I703" s="31" t="inlineStr">
        <is>
          <t>Main</t>
        </is>
      </c>
      <c r="J703" s="6" t="inlineStr">
        <is>
          <t>Title</t>
        </is>
      </c>
      <c r="K703" s="6" t="inlineStr">
        <is>
          <t>No</t>
        </is>
      </c>
      <c r="L703" s="6" t="inlineStr">
        <is>
          <t>Copy Writer</t>
        </is>
      </c>
      <c r="M703" s="25" t="inlineStr">
        <is>
          <t>Open</t>
        </is>
      </c>
      <c r="N703" s="6" t="n">
        <v>4</v>
      </c>
      <c r="O703" s="6" t="inlineStr">
        <is>
          <t>https://africanmarketingconfederation.org/chartered-marketer-africa/::aioseo_seo_title_too_long</t>
        </is>
      </c>
      <c r="P703" s="6" t="inlineStr">
        <is>
          <t>Long titles are more likely to truncate in SERPs.</t>
        </is>
      </c>
      <c r="Q703">
        <f>IFERROR(HYPERLINK("#Main!A"&amp;MATCH(A703,Main!A:A,0),"Open"),HYPERLINK("#Main!A1","Open"))</f>
        <v/>
      </c>
      <c r="R703">
        <f>IFERROR(HYPERLINK("#Technical!A"&amp;MATCH(A703,Technical!A:A,0),"Open"),HYPERLINK("#Technical!A1","Open"))</f>
        <v/>
      </c>
    </row>
    <row r="704" ht="30" customHeight="1">
      <c r="A704" s="33" t="inlineStr">
        <is>
          <t>https://africanmarketingconfederation.org/checkout/</t>
        </is>
      </c>
      <c r="B704" s="24" t="inlineStr">
        <is>
          <t>Title</t>
        </is>
      </c>
      <c r="C704" s="29" t="inlineStr">
        <is>
          <t>Info</t>
        </is>
      </c>
      <c r="D704" s="24" t="inlineStr">
        <is>
          <t>SEO title too short</t>
        </is>
      </c>
      <c r="E704" s="24" t="n">
        <v>37</v>
      </c>
      <c r="F704" s="24" t="n">
        <v>38</v>
      </c>
      <c r="G704" s="24" t="inlineStr">
        <is>
          <t>40-60 characters</t>
        </is>
      </c>
      <c r="H704" s="24" t="inlineStr">
        <is>
          <t>Expand title in AIOSEO snippet editor with clearer intent and value proposition.</t>
        </is>
      </c>
      <c r="I704" s="28" t="inlineStr">
        <is>
          <t>Main</t>
        </is>
      </c>
      <c r="J704" s="24" t="inlineStr">
        <is>
          <t>Title</t>
        </is>
      </c>
      <c r="K704" s="24" t="inlineStr">
        <is>
          <t>No</t>
        </is>
      </c>
      <c r="L704" s="24" t="inlineStr">
        <is>
          <t>Copy Writer</t>
        </is>
      </c>
      <c r="M704" s="25" t="inlineStr">
        <is>
          <t>Open</t>
        </is>
      </c>
      <c r="N704" s="24" t="n">
        <v>4</v>
      </c>
      <c r="O704" s="24" t="inlineStr">
        <is>
          <t>https://africanmarketingconfederation.org/checkout/::aioseo_seo_title_too_short</t>
        </is>
      </c>
      <c r="P704" s="24" t="inlineStr">
        <is>
          <t>Very short titles often under-describe page intent.</t>
        </is>
      </c>
      <c r="Q704">
        <f>IFERROR(HYPERLINK("#Main!A"&amp;MATCH(A704,Main!A:A,0),"Open"),HYPERLINK("#Main!A1","Open"))</f>
        <v/>
      </c>
      <c r="R704">
        <f>IFERROR(HYPERLINK("#Technical!A"&amp;MATCH(A704,Technical!A:A,0),"Open"),HYPERLINK("#Technical!A1","Open"))</f>
        <v/>
      </c>
    </row>
    <row r="705" ht="30" customHeight="1">
      <c r="A705" s="33" t="inlineStr">
        <is>
          <t>https://africanmarketingconfederation.org/conference-faq-2025/</t>
        </is>
      </c>
      <c r="B705" s="6" t="inlineStr">
        <is>
          <t>Title</t>
        </is>
      </c>
      <c r="C705" s="29" t="inlineStr">
        <is>
          <t>Info</t>
        </is>
      </c>
      <c r="D705" s="6" t="inlineStr">
        <is>
          <t>SEO title too short</t>
        </is>
      </c>
      <c r="E705" s="6" t="n">
        <v>37</v>
      </c>
      <c r="F705" s="6" t="n">
        <v>31</v>
      </c>
      <c r="G705" s="6" t="inlineStr">
        <is>
          <t>40-60 characters</t>
        </is>
      </c>
      <c r="H705" s="6" t="inlineStr">
        <is>
          <t>Expand title in AIOSEO snippet editor with clearer intent and value proposition.</t>
        </is>
      </c>
      <c r="I705" s="31" t="inlineStr">
        <is>
          <t>Main</t>
        </is>
      </c>
      <c r="J705" s="6" t="inlineStr">
        <is>
          <t>Title</t>
        </is>
      </c>
      <c r="K705" s="6" t="inlineStr">
        <is>
          <t>No</t>
        </is>
      </c>
      <c r="L705" s="6" t="inlineStr">
        <is>
          <t>Copy Writer</t>
        </is>
      </c>
      <c r="M705" s="25" t="inlineStr">
        <is>
          <t>Open</t>
        </is>
      </c>
      <c r="N705" s="6" t="n">
        <v>4</v>
      </c>
      <c r="O705" s="6" t="inlineStr">
        <is>
          <t>https://africanmarketingconfederation.org/conference-faq-2025/::aioseo_seo_title_too_short</t>
        </is>
      </c>
      <c r="P705" s="6" t="inlineStr">
        <is>
          <t>Very short titles often under-describe page intent.</t>
        </is>
      </c>
      <c r="Q705">
        <f>IFERROR(HYPERLINK("#Main!A"&amp;MATCH(A705,Main!A:A,0),"Open"),HYPERLINK("#Main!A1","Open"))</f>
        <v/>
      </c>
      <c r="R705">
        <f>IFERROR(HYPERLINK("#Technical!A"&amp;MATCH(A705,Technical!A:A,0),"Open"),HYPERLINK("#Technical!A1","Open"))</f>
        <v/>
      </c>
    </row>
    <row r="706" ht="30" customHeight="1">
      <c r="A706" s="33" t="inlineStr">
        <is>
          <t>https://africanmarketingconfederation.org/conference-registrations-2024/</t>
        </is>
      </c>
      <c r="B706" s="24" t="inlineStr">
        <is>
          <t>Title</t>
        </is>
      </c>
      <c r="C706" s="29" t="inlineStr">
        <is>
          <t>Info</t>
        </is>
      </c>
      <c r="D706" s="24" t="inlineStr">
        <is>
          <t>SEO title too long</t>
        </is>
      </c>
      <c r="E706" s="24" t="n">
        <v>37</v>
      </c>
      <c r="F706" s="24" t="n">
        <v>63</v>
      </c>
      <c r="G706" s="24" t="inlineStr">
        <is>
          <t>40-60 characters</t>
        </is>
      </c>
      <c r="H706" s="24" t="inlineStr">
        <is>
          <t>Shorten title in AIOSEO snippet editor and keep key terms in the first 55-60 characters.</t>
        </is>
      </c>
      <c r="I706" s="28" t="inlineStr">
        <is>
          <t>Main</t>
        </is>
      </c>
      <c r="J706" s="24" t="inlineStr">
        <is>
          <t>Title</t>
        </is>
      </c>
      <c r="K706" s="24" t="inlineStr">
        <is>
          <t>No</t>
        </is>
      </c>
      <c r="L706" s="24" t="inlineStr">
        <is>
          <t>Copy Writer</t>
        </is>
      </c>
      <c r="M706" s="25" t="inlineStr">
        <is>
          <t>Open</t>
        </is>
      </c>
      <c r="N706" s="24" t="n">
        <v>4</v>
      </c>
      <c r="O706" s="24" t="inlineStr">
        <is>
          <t>https://africanmarketingconfederation.org/conference-registrations-2024/::aioseo_seo_title_too_long</t>
        </is>
      </c>
      <c r="P706" s="24" t="inlineStr">
        <is>
          <t>Long titles are more likely to truncate in SERPs.</t>
        </is>
      </c>
      <c r="Q706">
        <f>IFERROR(HYPERLINK("#Main!A"&amp;MATCH(A706,Main!A:A,0),"Open"),HYPERLINK("#Main!A1","Open"))</f>
        <v/>
      </c>
      <c r="R706">
        <f>IFERROR(HYPERLINK("#Technical!A"&amp;MATCH(A706,Technical!A:A,0),"Open"),HYPERLINK("#Technical!A1","Open"))</f>
        <v/>
      </c>
    </row>
    <row r="707" ht="30" customHeight="1">
      <c r="A707" s="33" t="inlineStr">
        <is>
          <t>https://africanmarketingconfederation.org/general-enquiry-form-thank-you/</t>
        </is>
      </c>
      <c r="B707" s="6" t="inlineStr">
        <is>
          <t>Title</t>
        </is>
      </c>
      <c r="C707" s="29" t="inlineStr">
        <is>
          <t>Info</t>
        </is>
      </c>
      <c r="D707" s="6" t="inlineStr">
        <is>
          <t>SEO title too long</t>
        </is>
      </c>
      <c r="E707" s="6" t="n">
        <v>37</v>
      </c>
      <c r="F707" s="6" t="n">
        <v>66</v>
      </c>
      <c r="G707" s="6" t="inlineStr">
        <is>
          <t>40-60 characters</t>
        </is>
      </c>
      <c r="H707" s="6" t="inlineStr">
        <is>
          <t>Shorten title in AIOSEO snippet editor and keep key terms in the first 55-60 characters.</t>
        </is>
      </c>
      <c r="I707" s="31" t="inlineStr">
        <is>
          <t>Main</t>
        </is>
      </c>
      <c r="J707" s="6" t="inlineStr">
        <is>
          <t>Title</t>
        </is>
      </c>
      <c r="K707" s="6" t="inlineStr">
        <is>
          <t>No</t>
        </is>
      </c>
      <c r="L707" s="6" t="inlineStr">
        <is>
          <t>Copy Writer</t>
        </is>
      </c>
      <c r="M707" s="25" t="inlineStr">
        <is>
          <t>Open</t>
        </is>
      </c>
      <c r="N707" s="6" t="n">
        <v>4</v>
      </c>
      <c r="O707" s="6" t="inlineStr">
        <is>
          <t>https://africanmarketingconfederation.org/general-enquiry-form-thank-you/::aioseo_seo_title_too_long</t>
        </is>
      </c>
      <c r="P707" s="6" t="inlineStr">
        <is>
          <t>Long titles are more likely to truncate in SERPs.</t>
        </is>
      </c>
      <c r="Q707">
        <f>IFERROR(HYPERLINK("#Main!A"&amp;MATCH(A707,Main!A:A,0),"Open"),HYPERLINK("#Main!A1","Open"))</f>
        <v/>
      </c>
      <c r="R707">
        <f>IFERROR(HYPERLINK("#Technical!A"&amp;MATCH(A707,Technical!A:A,0),"Open"),HYPERLINK("#Technical!A1","Open"))</f>
        <v/>
      </c>
    </row>
    <row r="708" ht="30" customHeight="1">
      <c r="A708" s="33" t="inlineStr">
        <is>
          <t>https://africanmarketingconfederation.org/launch-event-2026-amc-conference/</t>
        </is>
      </c>
      <c r="B708" s="24" t="inlineStr">
        <is>
          <t>Title</t>
        </is>
      </c>
      <c r="C708" s="29" t="inlineStr">
        <is>
          <t>Info</t>
        </is>
      </c>
      <c r="D708" s="24" t="inlineStr">
        <is>
          <t>SEO title too long</t>
        </is>
      </c>
      <c r="E708" s="24" t="n">
        <v>37</v>
      </c>
      <c r="F708" s="24" t="n">
        <v>66</v>
      </c>
      <c r="G708" s="24" t="inlineStr">
        <is>
          <t>40-60 characters</t>
        </is>
      </c>
      <c r="H708" s="24" t="inlineStr">
        <is>
          <t>Shorten title in AIOSEO snippet editor and keep key terms in the first 55-60 characters.</t>
        </is>
      </c>
      <c r="I708" s="28" t="inlineStr">
        <is>
          <t>Main</t>
        </is>
      </c>
      <c r="J708" s="24" t="inlineStr">
        <is>
          <t>Title</t>
        </is>
      </c>
      <c r="K708" s="24" t="inlineStr">
        <is>
          <t>No</t>
        </is>
      </c>
      <c r="L708" s="24" t="inlineStr">
        <is>
          <t>Copy Writer</t>
        </is>
      </c>
      <c r="M708" s="25" t="inlineStr">
        <is>
          <t>Open</t>
        </is>
      </c>
      <c r="N708" s="24" t="n">
        <v>4</v>
      </c>
      <c r="O708" s="24" t="inlineStr">
        <is>
          <t>https://africanmarketingconfederation.org/launch-event-2026-amc-conference/::aioseo_seo_title_too_long</t>
        </is>
      </c>
      <c r="P708" s="24" t="inlineStr">
        <is>
          <t>Long titles are more likely to truncate in SERPs.</t>
        </is>
      </c>
      <c r="Q708">
        <f>IFERROR(HYPERLINK("#Main!A"&amp;MATCH(A708,Main!A:A,0),"Open"),HYPERLINK("#Main!A1","Open"))</f>
        <v/>
      </c>
      <c r="R708">
        <f>IFERROR(HYPERLINK("#Technical!A"&amp;MATCH(A708,Technical!A:A,0),"Open"),HYPERLINK("#Technical!A1","Open"))</f>
        <v/>
      </c>
    </row>
    <row r="709" ht="30" customHeight="1">
      <c r="A709" s="33" t="inlineStr">
        <is>
          <t>https://africanmarketingconfederation.org/speakers-2025/</t>
        </is>
      </c>
      <c r="B709" s="6" t="inlineStr">
        <is>
          <t>Title</t>
        </is>
      </c>
      <c r="C709" s="29" t="inlineStr">
        <is>
          <t>Info</t>
        </is>
      </c>
      <c r="D709" s="6" t="inlineStr">
        <is>
          <t>SEO title too short</t>
        </is>
      </c>
      <c r="E709" s="6" t="n">
        <v>37</v>
      </c>
      <c r="F709" s="6" t="n">
        <v>34</v>
      </c>
      <c r="G709" s="6" t="inlineStr">
        <is>
          <t>40-60 characters</t>
        </is>
      </c>
      <c r="H709" s="6" t="inlineStr">
        <is>
          <t>Expand title in AIOSEO snippet editor with clearer intent and value proposition.</t>
        </is>
      </c>
      <c r="I709" s="31" t="inlineStr">
        <is>
          <t>Main</t>
        </is>
      </c>
      <c r="J709" s="6" t="inlineStr">
        <is>
          <t>Title</t>
        </is>
      </c>
      <c r="K709" s="6" t="inlineStr">
        <is>
          <t>No</t>
        </is>
      </c>
      <c r="L709" s="6" t="inlineStr">
        <is>
          <t>Copy Writer</t>
        </is>
      </c>
      <c r="M709" s="25" t="inlineStr">
        <is>
          <t>Open</t>
        </is>
      </c>
      <c r="N709" s="6" t="n">
        <v>4</v>
      </c>
      <c r="O709" s="6" t="inlineStr">
        <is>
          <t>https://africanmarketingconfederation.org/speakers-2025/::aioseo_seo_title_too_short</t>
        </is>
      </c>
      <c r="P709" s="6" t="inlineStr">
        <is>
          <t>Very short titles often under-describe page intent.</t>
        </is>
      </c>
      <c r="Q709">
        <f>IFERROR(HYPERLINK("#Main!A"&amp;MATCH(A709,Main!A:A,0),"Open"),HYPERLINK("#Main!A1","Open"))</f>
        <v/>
      </c>
      <c r="R709">
        <f>IFERROR(HYPERLINK("#Technical!A"&amp;MATCH(A709,Technical!A:A,0),"Open"),HYPERLINK("#Technical!A1","Open"))</f>
        <v/>
      </c>
    </row>
    <row r="710" ht="30" customHeight="1">
      <c r="A710" s="33" t="inlineStr">
        <is>
          <t>https://africanmarketingconfederation.org/thank-you-for-registering-2024-registrations-kenya/</t>
        </is>
      </c>
      <c r="B710" s="24" t="inlineStr">
        <is>
          <t>Title</t>
        </is>
      </c>
      <c r="C710" s="29" t="inlineStr">
        <is>
          <t>Info</t>
        </is>
      </c>
      <c r="D710" s="24" t="inlineStr">
        <is>
          <t>SEO title too long</t>
        </is>
      </c>
      <c r="E710" s="24" t="n">
        <v>37</v>
      </c>
      <c r="F710" s="24" t="n">
        <v>84</v>
      </c>
      <c r="G710" s="24" t="inlineStr">
        <is>
          <t>40-60 characters</t>
        </is>
      </c>
      <c r="H710" s="24" t="inlineStr">
        <is>
          <t>Shorten title in AIOSEO snippet editor and keep key terms in the first 55-60 characters.</t>
        </is>
      </c>
      <c r="I710" s="28" t="inlineStr">
        <is>
          <t>Main</t>
        </is>
      </c>
      <c r="J710" s="24" t="inlineStr">
        <is>
          <t>Title</t>
        </is>
      </c>
      <c r="K710" s="24" t="inlineStr">
        <is>
          <t>No</t>
        </is>
      </c>
      <c r="L710" s="24" t="inlineStr">
        <is>
          <t>Copy Writer</t>
        </is>
      </c>
      <c r="M710" s="25" t="inlineStr">
        <is>
          <t>Open</t>
        </is>
      </c>
      <c r="N710" s="24" t="n">
        <v>4</v>
      </c>
      <c r="O710" s="24" t="inlineStr">
        <is>
          <t>https://africanmarketingconfederation.org/thank-you-for-registering-2024-registrations-kenya/::aioseo_seo_title_too_long</t>
        </is>
      </c>
      <c r="P710" s="24" t="inlineStr">
        <is>
          <t>Long titles are more likely to truncate in SERPs.</t>
        </is>
      </c>
      <c r="Q710">
        <f>IFERROR(HYPERLINK("#Main!A"&amp;MATCH(A710,Main!A:A,0),"Open"),HYPERLINK("#Main!A1","Open"))</f>
        <v/>
      </c>
      <c r="R710">
        <f>IFERROR(HYPERLINK("#Technical!A"&amp;MATCH(A710,Technical!A:A,0),"Open"),HYPERLINK("#Technical!A1","Open"))</f>
        <v/>
      </c>
    </row>
    <row r="711" ht="30" customHeight="1">
      <c r="A711" s="33" t="inlineStr">
        <is>
          <t>https://africanmarketingconfederation.org/thank-you-for-registering-2024-registrations/</t>
        </is>
      </c>
      <c r="B711" s="6" t="inlineStr">
        <is>
          <t>Title</t>
        </is>
      </c>
      <c r="C711" s="29" t="inlineStr">
        <is>
          <t>Info</t>
        </is>
      </c>
      <c r="D711" s="6" t="inlineStr">
        <is>
          <t>SEO title too long</t>
        </is>
      </c>
      <c r="E711" s="6" t="n">
        <v>37</v>
      </c>
      <c r="F711" s="6" t="n">
        <v>78</v>
      </c>
      <c r="G711" s="6" t="inlineStr">
        <is>
          <t>40-60 characters</t>
        </is>
      </c>
      <c r="H711" s="6" t="inlineStr">
        <is>
          <t>Shorten title in AIOSEO snippet editor and keep key terms in the first 55-60 characters.</t>
        </is>
      </c>
      <c r="I711" s="31" t="inlineStr">
        <is>
          <t>Main</t>
        </is>
      </c>
      <c r="J711" s="6" t="inlineStr">
        <is>
          <t>Title</t>
        </is>
      </c>
      <c r="K711" s="6" t="inlineStr">
        <is>
          <t>No</t>
        </is>
      </c>
      <c r="L711" s="6" t="inlineStr">
        <is>
          <t>Copy Writer</t>
        </is>
      </c>
      <c r="M711" s="25" t="inlineStr">
        <is>
          <t>Open</t>
        </is>
      </c>
      <c r="N711" s="6" t="n">
        <v>4</v>
      </c>
      <c r="O711" s="6" t="inlineStr">
        <is>
          <t>https://africanmarketingconfederation.org/thank-you-for-registering-2024-registrations/::aioseo_seo_title_too_long</t>
        </is>
      </c>
      <c r="P711" s="6" t="inlineStr">
        <is>
          <t>Long titles are more likely to truncate in SERPs.</t>
        </is>
      </c>
      <c r="Q711">
        <f>IFERROR(HYPERLINK("#Main!A"&amp;MATCH(A711,Main!A:A,0),"Open"),HYPERLINK("#Main!A1","Open"))</f>
        <v/>
      </c>
      <c r="R711">
        <f>IFERROR(HYPERLINK("#Technical!A"&amp;MATCH(A711,Technical!A:A,0),"Open"),HYPERLINK("#Technical!A1","Open"))</f>
        <v/>
      </c>
    </row>
    <row r="712" ht="30" customHeight="1">
      <c r="A712" s="33" t="inlineStr">
        <is>
          <t>https://africanmarketingconfederation.org/thank-you-for-the-nomination-2024/</t>
        </is>
      </c>
      <c r="B712" s="24" t="inlineStr">
        <is>
          <t>Title</t>
        </is>
      </c>
      <c r="C712" s="29" t="inlineStr">
        <is>
          <t>Info</t>
        </is>
      </c>
      <c r="D712" s="24" t="inlineStr">
        <is>
          <t>SEO title too long</t>
        </is>
      </c>
      <c r="E712" s="24" t="n">
        <v>37</v>
      </c>
      <c r="F712" s="24" t="n">
        <v>67</v>
      </c>
      <c r="G712" s="24" t="inlineStr">
        <is>
          <t>40-60 characters</t>
        </is>
      </c>
      <c r="H712" s="24" t="inlineStr">
        <is>
          <t>Shorten title in AIOSEO snippet editor and keep key terms in the first 55-60 characters.</t>
        </is>
      </c>
      <c r="I712" s="28" t="inlineStr">
        <is>
          <t>Main</t>
        </is>
      </c>
      <c r="J712" s="24" t="inlineStr">
        <is>
          <t>Title</t>
        </is>
      </c>
      <c r="K712" s="24" t="inlineStr">
        <is>
          <t>No</t>
        </is>
      </c>
      <c r="L712" s="24" t="inlineStr">
        <is>
          <t>Copy Writer</t>
        </is>
      </c>
      <c r="M712" s="25" t="inlineStr">
        <is>
          <t>Open</t>
        </is>
      </c>
      <c r="N712" s="24" t="n">
        <v>4</v>
      </c>
      <c r="O712" s="24" t="inlineStr">
        <is>
          <t>https://africanmarketingconfederation.org/thank-you-for-the-nomination-2024/::aioseo_seo_title_too_long</t>
        </is>
      </c>
      <c r="P712" s="24" t="inlineStr">
        <is>
          <t>Long titles are more likely to truncate in SERPs.</t>
        </is>
      </c>
      <c r="Q712">
        <f>IFERROR(HYPERLINK("#Main!A"&amp;MATCH(A712,Main!A:A,0),"Open"),HYPERLINK("#Main!A1","Open"))</f>
        <v/>
      </c>
      <c r="R712">
        <f>IFERROR(HYPERLINK("#Technical!A"&amp;MATCH(A712,Technical!A:A,0),"Open"),HYPERLINK("#Technical!A1","Open"))</f>
        <v/>
      </c>
    </row>
    <row r="713" ht="30" customHeight="1">
      <c r="A713" s="33" t="inlineStr">
        <is>
          <t>https://africanmarketingconfederation.org/thank-you-for-the-submission-2024/</t>
        </is>
      </c>
      <c r="B713" s="6" t="inlineStr">
        <is>
          <t>Title</t>
        </is>
      </c>
      <c r="C713" s="29" t="inlineStr">
        <is>
          <t>Info</t>
        </is>
      </c>
      <c r="D713" s="6" t="inlineStr">
        <is>
          <t>SEO title too long</t>
        </is>
      </c>
      <c r="E713" s="6" t="n">
        <v>37</v>
      </c>
      <c r="F713" s="6" t="n">
        <v>67</v>
      </c>
      <c r="G713" s="6" t="inlineStr">
        <is>
          <t>40-60 characters</t>
        </is>
      </c>
      <c r="H713" s="6" t="inlineStr">
        <is>
          <t>Shorten title in AIOSEO snippet editor and keep key terms in the first 55-60 characters.</t>
        </is>
      </c>
      <c r="I713" s="31" t="inlineStr">
        <is>
          <t>Main</t>
        </is>
      </c>
      <c r="J713" s="6" t="inlineStr">
        <is>
          <t>Title</t>
        </is>
      </c>
      <c r="K713" s="6" t="inlineStr">
        <is>
          <t>No</t>
        </is>
      </c>
      <c r="L713" s="6" t="inlineStr">
        <is>
          <t>Copy Writer</t>
        </is>
      </c>
      <c r="M713" s="25" t="inlineStr">
        <is>
          <t>Open</t>
        </is>
      </c>
      <c r="N713" s="6" t="n">
        <v>4</v>
      </c>
      <c r="O713" s="6" t="inlineStr">
        <is>
          <t>https://africanmarketingconfederation.org/thank-you-for-the-submission-2024/::aioseo_seo_title_too_long</t>
        </is>
      </c>
      <c r="P713" s="6" t="inlineStr">
        <is>
          <t>Long titles are more likely to truncate in SERPs.</t>
        </is>
      </c>
      <c r="Q713">
        <f>IFERROR(HYPERLINK("#Main!A"&amp;MATCH(A713,Main!A:A,0),"Open"),HYPERLINK("#Main!A1","Open"))</f>
        <v/>
      </c>
      <c r="R713">
        <f>IFERROR(HYPERLINK("#Technical!A"&amp;MATCH(A713,Technical!A:A,0),"Open"),HYPERLINK("#Technical!A1","Open"))</f>
        <v/>
      </c>
    </row>
  </sheetData>
  <autoFilter ref="A1:P713"/>
  <conditionalFormatting sqref="E2:E713">
    <cfRule type="cellIs" priority="1" operator="greaterThanOrEqual" dxfId="6">
      <formula>85</formula>
    </cfRule>
    <cfRule type="cellIs" priority="2" operator="between" dxfId="7">
      <formula>65</formula>
      <formula>84</formula>
    </cfRule>
  </conditionalFormatting>
  <conditionalFormatting sqref="K2:K713">
    <cfRule type="expression" priority="3" dxfId="2" stopIfTrue="1">
      <formula>LOWER(K2)="yes"</formula>
    </cfRule>
    <cfRule type="expression" priority="4" dxfId="0" stopIfTrue="1">
      <formula>LOWER(K2)="no"</formula>
    </cfRule>
  </conditionalFormatting>
  <conditionalFormatting sqref="M2:M713">
    <cfRule type="expression" priority="5" dxfId="4" stopIfTrue="1">
      <formula>LOWER(M2)="done"</formula>
    </cfRule>
    <cfRule type="expression" priority="6" dxfId="5" stopIfTrue="1">
      <formula>OR(LOWER(M2)="to do",LOWER(M2)="in progress",LOWER(M2)="in review")</formula>
    </cfRule>
  </conditionalFormatting>
  <dataValidations count="2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IOSEO Panel" prompt="AIOSEO Panel.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Issue" prompt="Issue. Review this metric to identify risk, then use linked tabs for details and remediation." type="custom">
      <formula1>TRUE</formula1>
    </dataValidation>
    <dataValidation sqref="E1" showDropDown="0" showInputMessage="1" showErrorMessage="0" allowBlank="1" promptTitle="Priority Score" prompt="Execution priority score combining impact and effort. Fix: Start from highest scores." type="custom">
      <formula1>TRUE</formula1>
    </dataValidation>
    <dataValidation sqref="F1" showDropDown="0" showInputMessage="1" showErrorMessage="0" allowBlank="1" promptTitle="Current Value" prompt="Current Value. Review this metric to identify risk, then use linked tabs for details and remediation." type="custom">
      <formula1>TRUE</formula1>
    </dataValidation>
    <dataValidation sqref="G1" showDropDown="0" showInputMessage="1" showErrorMessage="0" allowBlank="1" promptTitle="Recommended Target" prompt="Recommended Target. Review this metric to identify risk, then use linked tabs for details and remediation." type="custom">
      <formula1>TRUE</formula1>
    </dataValidation>
    <dataValidation sqref="H1" showDropDown="0" showInputMessage="1" showErrorMessage="0" allowBlank="1" promptTitle="How to Fix in AIOSEO" prompt="How to Fix in AIOSEO. Review this metric to identify risk, then use linked tabs for details and remediation." type="custom">
      <formula1>TRUE</formula1>
    </dataValidation>
    <dataValidation sqref="I1" showDropDown="0" showInputMessage="1" showErrorMessage="0" allowBlank="1" promptTitle="Reference Tab" prompt="Summary grouping/navigation field. Use with hyperlinks to jump into detailed tabs." type="custom">
      <formula1>TRUE</formula1>
    </dataValidation>
    <dataValidation sqref="J1" showDropDown="0" showInputMessage="1" showErrorMessage="0" allowBlank="1" promptTitle="Reference Field" prompt="Reference Field. Review this metric to identify risk, then use linked tabs for details and remediation."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Stable Issue ID" prompt="Stable Issue ID. Review this metric to identify risk, then use linked tabs for details and remediation." type="custom">
      <formula1>TRUE</formula1>
    </dataValidation>
    <dataValidation sqref="P1" showDropDown="0" showInputMessage="1" showErrorMessage="0" allowBlank="1" promptTitle="Why It Matters" prompt="Why It Matters. Review this metric to identify risk, then use linked tabs for details and remediation." type="custom">
      <formula1>TRUE</formula1>
    </dataValidation>
    <dataValidation sqref="Q1" showDropDown="0" showInputMessage="1" showErrorMessage="0" allowBlank="1" promptTitle="Open in Main" prompt="Navigation helper. Click to jump directly to the related record in another tab." type="custom">
      <formula1>TRUE</formula1>
    </dataValidation>
    <dataValidation sqref="R1" showDropDown="0" showInputMessage="1" showErrorMessage="0" allowBlank="1" promptTitle="Open in Technical" prompt="Open in Technical. Review this metric to identify risk, then use linked tabs for details and remediation."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E1" showDropDown="0" showInputMessage="1" showErrorMessage="0" allowBlank="1" promptTitle="Priority Score" prompt="Issue priority score for execution order. Fix: Start with the highest values to reduce risk fastest." type="custom">
      <formula1>TRUE</formula1>
    </dataValidation>
    <dataValidation sqref="C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I2" r:id="rId3"/>
    <hyperlink xmlns:r="http://schemas.openxmlformats.org/officeDocument/2006/relationships" ref="A3" r:id="rId4"/>
    <hyperlink xmlns:r="http://schemas.openxmlformats.org/officeDocument/2006/relationships" ref="I3" r:id="rId5"/>
    <hyperlink xmlns:r="http://schemas.openxmlformats.org/officeDocument/2006/relationships" ref="A4" r:id="rId6"/>
    <hyperlink xmlns:r="http://schemas.openxmlformats.org/officeDocument/2006/relationships" ref="I4" r:id="rId7"/>
    <hyperlink xmlns:r="http://schemas.openxmlformats.org/officeDocument/2006/relationships" ref="A5" r:id="rId8"/>
    <hyperlink xmlns:r="http://schemas.openxmlformats.org/officeDocument/2006/relationships" ref="I5" r:id="rId9"/>
    <hyperlink xmlns:r="http://schemas.openxmlformats.org/officeDocument/2006/relationships" ref="A6" r:id="rId10"/>
    <hyperlink xmlns:r="http://schemas.openxmlformats.org/officeDocument/2006/relationships" ref="I6" r:id="rId11"/>
    <hyperlink xmlns:r="http://schemas.openxmlformats.org/officeDocument/2006/relationships" ref="A7" r:id="rId12"/>
    <hyperlink xmlns:r="http://schemas.openxmlformats.org/officeDocument/2006/relationships" ref="I7" r:id="rId13"/>
    <hyperlink xmlns:r="http://schemas.openxmlformats.org/officeDocument/2006/relationships" ref="A8" r:id="rId14"/>
    <hyperlink xmlns:r="http://schemas.openxmlformats.org/officeDocument/2006/relationships" ref="I8" r:id="rId15"/>
    <hyperlink xmlns:r="http://schemas.openxmlformats.org/officeDocument/2006/relationships" ref="A9" r:id="rId16"/>
    <hyperlink xmlns:r="http://schemas.openxmlformats.org/officeDocument/2006/relationships" ref="I9" r:id="rId17"/>
    <hyperlink xmlns:r="http://schemas.openxmlformats.org/officeDocument/2006/relationships" ref="A10" r:id="rId18"/>
    <hyperlink xmlns:r="http://schemas.openxmlformats.org/officeDocument/2006/relationships" ref="I10" r:id="rId19"/>
    <hyperlink xmlns:r="http://schemas.openxmlformats.org/officeDocument/2006/relationships" ref="A11" r:id="rId20"/>
    <hyperlink xmlns:r="http://schemas.openxmlformats.org/officeDocument/2006/relationships" ref="I11" r:id="rId21"/>
    <hyperlink xmlns:r="http://schemas.openxmlformats.org/officeDocument/2006/relationships" ref="A12" r:id="rId22"/>
    <hyperlink xmlns:r="http://schemas.openxmlformats.org/officeDocument/2006/relationships" ref="I12" r:id="rId23"/>
    <hyperlink xmlns:r="http://schemas.openxmlformats.org/officeDocument/2006/relationships" ref="A13" r:id="rId24"/>
    <hyperlink xmlns:r="http://schemas.openxmlformats.org/officeDocument/2006/relationships" ref="I13" r:id="rId25"/>
    <hyperlink xmlns:r="http://schemas.openxmlformats.org/officeDocument/2006/relationships" ref="A14" r:id="rId26"/>
    <hyperlink xmlns:r="http://schemas.openxmlformats.org/officeDocument/2006/relationships" ref="I14" r:id="rId27"/>
    <hyperlink xmlns:r="http://schemas.openxmlformats.org/officeDocument/2006/relationships" ref="A15" r:id="rId28"/>
    <hyperlink xmlns:r="http://schemas.openxmlformats.org/officeDocument/2006/relationships" ref="I15" r:id="rId29"/>
    <hyperlink xmlns:r="http://schemas.openxmlformats.org/officeDocument/2006/relationships" ref="A16" r:id="rId30"/>
    <hyperlink xmlns:r="http://schemas.openxmlformats.org/officeDocument/2006/relationships" ref="I16" r:id="rId31"/>
    <hyperlink xmlns:r="http://schemas.openxmlformats.org/officeDocument/2006/relationships" ref="A17" r:id="rId32"/>
    <hyperlink xmlns:r="http://schemas.openxmlformats.org/officeDocument/2006/relationships" ref="I17" r:id="rId33"/>
    <hyperlink xmlns:r="http://schemas.openxmlformats.org/officeDocument/2006/relationships" ref="A18" r:id="rId34"/>
    <hyperlink xmlns:r="http://schemas.openxmlformats.org/officeDocument/2006/relationships" ref="I18" r:id="rId35"/>
    <hyperlink xmlns:r="http://schemas.openxmlformats.org/officeDocument/2006/relationships" ref="A19" r:id="rId36"/>
    <hyperlink xmlns:r="http://schemas.openxmlformats.org/officeDocument/2006/relationships" ref="I19" r:id="rId37"/>
    <hyperlink xmlns:r="http://schemas.openxmlformats.org/officeDocument/2006/relationships" ref="A20" r:id="rId38"/>
    <hyperlink xmlns:r="http://schemas.openxmlformats.org/officeDocument/2006/relationships" ref="I20" r:id="rId39"/>
    <hyperlink xmlns:r="http://schemas.openxmlformats.org/officeDocument/2006/relationships" ref="A21" r:id="rId40"/>
    <hyperlink xmlns:r="http://schemas.openxmlformats.org/officeDocument/2006/relationships" ref="I21" r:id="rId41"/>
    <hyperlink xmlns:r="http://schemas.openxmlformats.org/officeDocument/2006/relationships" ref="A22" r:id="rId42"/>
    <hyperlink xmlns:r="http://schemas.openxmlformats.org/officeDocument/2006/relationships" ref="I22" r:id="rId43"/>
    <hyperlink xmlns:r="http://schemas.openxmlformats.org/officeDocument/2006/relationships" ref="A23" r:id="rId44"/>
    <hyperlink xmlns:r="http://schemas.openxmlformats.org/officeDocument/2006/relationships" ref="I23" r:id="rId45"/>
    <hyperlink xmlns:r="http://schemas.openxmlformats.org/officeDocument/2006/relationships" ref="A24" r:id="rId46"/>
    <hyperlink xmlns:r="http://schemas.openxmlformats.org/officeDocument/2006/relationships" ref="I24" r:id="rId47"/>
    <hyperlink xmlns:r="http://schemas.openxmlformats.org/officeDocument/2006/relationships" ref="A25" r:id="rId48"/>
    <hyperlink xmlns:r="http://schemas.openxmlformats.org/officeDocument/2006/relationships" ref="I25" r:id="rId49"/>
    <hyperlink xmlns:r="http://schemas.openxmlformats.org/officeDocument/2006/relationships" ref="A26" r:id="rId50"/>
    <hyperlink xmlns:r="http://schemas.openxmlformats.org/officeDocument/2006/relationships" ref="I26" r:id="rId51"/>
    <hyperlink xmlns:r="http://schemas.openxmlformats.org/officeDocument/2006/relationships" ref="A27" r:id="rId52"/>
    <hyperlink xmlns:r="http://schemas.openxmlformats.org/officeDocument/2006/relationships" ref="I27" r:id="rId53"/>
    <hyperlink xmlns:r="http://schemas.openxmlformats.org/officeDocument/2006/relationships" ref="A28" r:id="rId54"/>
    <hyperlink xmlns:r="http://schemas.openxmlformats.org/officeDocument/2006/relationships" ref="I28" r:id="rId55"/>
    <hyperlink xmlns:r="http://schemas.openxmlformats.org/officeDocument/2006/relationships" ref="A29" r:id="rId56"/>
    <hyperlink xmlns:r="http://schemas.openxmlformats.org/officeDocument/2006/relationships" ref="I29" r:id="rId57"/>
    <hyperlink xmlns:r="http://schemas.openxmlformats.org/officeDocument/2006/relationships" ref="A30" r:id="rId58"/>
    <hyperlink xmlns:r="http://schemas.openxmlformats.org/officeDocument/2006/relationships" ref="I30" r:id="rId59"/>
    <hyperlink xmlns:r="http://schemas.openxmlformats.org/officeDocument/2006/relationships" ref="A31" r:id="rId60"/>
    <hyperlink xmlns:r="http://schemas.openxmlformats.org/officeDocument/2006/relationships" ref="I31" r:id="rId61"/>
    <hyperlink xmlns:r="http://schemas.openxmlformats.org/officeDocument/2006/relationships" ref="A32" r:id="rId62"/>
    <hyperlink xmlns:r="http://schemas.openxmlformats.org/officeDocument/2006/relationships" ref="I32" r:id="rId63"/>
    <hyperlink xmlns:r="http://schemas.openxmlformats.org/officeDocument/2006/relationships" ref="A33" r:id="rId64"/>
    <hyperlink xmlns:r="http://schemas.openxmlformats.org/officeDocument/2006/relationships" ref="I33" r:id="rId65"/>
    <hyperlink xmlns:r="http://schemas.openxmlformats.org/officeDocument/2006/relationships" ref="A34" r:id="rId66"/>
    <hyperlink xmlns:r="http://schemas.openxmlformats.org/officeDocument/2006/relationships" ref="I34" r:id="rId67"/>
    <hyperlink xmlns:r="http://schemas.openxmlformats.org/officeDocument/2006/relationships" ref="A35" r:id="rId68"/>
    <hyperlink xmlns:r="http://schemas.openxmlformats.org/officeDocument/2006/relationships" ref="I35" r:id="rId69"/>
    <hyperlink xmlns:r="http://schemas.openxmlformats.org/officeDocument/2006/relationships" ref="A36" r:id="rId70"/>
    <hyperlink xmlns:r="http://schemas.openxmlformats.org/officeDocument/2006/relationships" ref="I36" r:id="rId71"/>
    <hyperlink xmlns:r="http://schemas.openxmlformats.org/officeDocument/2006/relationships" ref="A37" r:id="rId72"/>
    <hyperlink xmlns:r="http://schemas.openxmlformats.org/officeDocument/2006/relationships" ref="I37" r:id="rId73"/>
    <hyperlink xmlns:r="http://schemas.openxmlformats.org/officeDocument/2006/relationships" ref="A38" r:id="rId74"/>
    <hyperlink xmlns:r="http://schemas.openxmlformats.org/officeDocument/2006/relationships" ref="I38" r:id="rId75"/>
    <hyperlink xmlns:r="http://schemas.openxmlformats.org/officeDocument/2006/relationships" ref="A39" r:id="rId76"/>
    <hyperlink xmlns:r="http://schemas.openxmlformats.org/officeDocument/2006/relationships" ref="I39" r:id="rId77"/>
    <hyperlink xmlns:r="http://schemas.openxmlformats.org/officeDocument/2006/relationships" ref="A40" r:id="rId78"/>
    <hyperlink xmlns:r="http://schemas.openxmlformats.org/officeDocument/2006/relationships" ref="I40" r:id="rId79"/>
    <hyperlink xmlns:r="http://schemas.openxmlformats.org/officeDocument/2006/relationships" ref="A41" r:id="rId80"/>
    <hyperlink xmlns:r="http://schemas.openxmlformats.org/officeDocument/2006/relationships" ref="I41" r:id="rId81"/>
    <hyperlink xmlns:r="http://schemas.openxmlformats.org/officeDocument/2006/relationships" ref="A42" r:id="rId82"/>
    <hyperlink xmlns:r="http://schemas.openxmlformats.org/officeDocument/2006/relationships" ref="I42" r:id="rId83"/>
    <hyperlink xmlns:r="http://schemas.openxmlformats.org/officeDocument/2006/relationships" ref="A43" r:id="rId84"/>
    <hyperlink xmlns:r="http://schemas.openxmlformats.org/officeDocument/2006/relationships" ref="I43" r:id="rId85"/>
    <hyperlink xmlns:r="http://schemas.openxmlformats.org/officeDocument/2006/relationships" ref="A44" r:id="rId86"/>
    <hyperlink xmlns:r="http://schemas.openxmlformats.org/officeDocument/2006/relationships" ref="I44" r:id="rId87"/>
    <hyperlink xmlns:r="http://schemas.openxmlformats.org/officeDocument/2006/relationships" ref="A45" r:id="rId88"/>
    <hyperlink xmlns:r="http://schemas.openxmlformats.org/officeDocument/2006/relationships" ref="I45" r:id="rId89"/>
    <hyperlink xmlns:r="http://schemas.openxmlformats.org/officeDocument/2006/relationships" ref="A46" r:id="rId90"/>
    <hyperlink xmlns:r="http://schemas.openxmlformats.org/officeDocument/2006/relationships" ref="I46" r:id="rId91"/>
    <hyperlink xmlns:r="http://schemas.openxmlformats.org/officeDocument/2006/relationships" ref="A47" r:id="rId92"/>
    <hyperlink xmlns:r="http://schemas.openxmlformats.org/officeDocument/2006/relationships" ref="I47" r:id="rId93"/>
    <hyperlink xmlns:r="http://schemas.openxmlformats.org/officeDocument/2006/relationships" ref="A48" r:id="rId94"/>
    <hyperlink xmlns:r="http://schemas.openxmlformats.org/officeDocument/2006/relationships" ref="I48" r:id="rId95"/>
    <hyperlink xmlns:r="http://schemas.openxmlformats.org/officeDocument/2006/relationships" ref="A49" r:id="rId96"/>
    <hyperlink xmlns:r="http://schemas.openxmlformats.org/officeDocument/2006/relationships" ref="I49" r:id="rId97"/>
    <hyperlink xmlns:r="http://schemas.openxmlformats.org/officeDocument/2006/relationships" ref="A50" r:id="rId98"/>
    <hyperlink xmlns:r="http://schemas.openxmlformats.org/officeDocument/2006/relationships" ref="I50" r:id="rId99"/>
    <hyperlink xmlns:r="http://schemas.openxmlformats.org/officeDocument/2006/relationships" ref="A51" r:id="rId100"/>
    <hyperlink xmlns:r="http://schemas.openxmlformats.org/officeDocument/2006/relationships" ref="I51" r:id="rId101"/>
    <hyperlink xmlns:r="http://schemas.openxmlformats.org/officeDocument/2006/relationships" ref="A52" r:id="rId102"/>
    <hyperlink xmlns:r="http://schemas.openxmlformats.org/officeDocument/2006/relationships" ref="I52" r:id="rId103"/>
    <hyperlink xmlns:r="http://schemas.openxmlformats.org/officeDocument/2006/relationships" ref="A53" r:id="rId104"/>
    <hyperlink xmlns:r="http://schemas.openxmlformats.org/officeDocument/2006/relationships" ref="I53" r:id="rId105"/>
    <hyperlink xmlns:r="http://schemas.openxmlformats.org/officeDocument/2006/relationships" ref="A54" r:id="rId106"/>
    <hyperlink xmlns:r="http://schemas.openxmlformats.org/officeDocument/2006/relationships" ref="I54" r:id="rId107"/>
    <hyperlink xmlns:r="http://schemas.openxmlformats.org/officeDocument/2006/relationships" ref="A55" r:id="rId108"/>
    <hyperlink xmlns:r="http://schemas.openxmlformats.org/officeDocument/2006/relationships" ref="I55" r:id="rId109"/>
    <hyperlink xmlns:r="http://schemas.openxmlformats.org/officeDocument/2006/relationships" ref="A56" r:id="rId110"/>
    <hyperlink xmlns:r="http://schemas.openxmlformats.org/officeDocument/2006/relationships" ref="I56" r:id="rId111"/>
    <hyperlink xmlns:r="http://schemas.openxmlformats.org/officeDocument/2006/relationships" ref="A57" r:id="rId112"/>
    <hyperlink xmlns:r="http://schemas.openxmlformats.org/officeDocument/2006/relationships" ref="I57" r:id="rId113"/>
    <hyperlink xmlns:r="http://schemas.openxmlformats.org/officeDocument/2006/relationships" ref="A58" r:id="rId114"/>
    <hyperlink xmlns:r="http://schemas.openxmlformats.org/officeDocument/2006/relationships" ref="I58" r:id="rId115"/>
    <hyperlink xmlns:r="http://schemas.openxmlformats.org/officeDocument/2006/relationships" ref="A59" r:id="rId116"/>
    <hyperlink xmlns:r="http://schemas.openxmlformats.org/officeDocument/2006/relationships" ref="I59" r:id="rId117"/>
    <hyperlink xmlns:r="http://schemas.openxmlformats.org/officeDocument/2006/relationships" ref="A60" r:id="rId118"/>
    <hyperlink xmlns:r="http://schemas.openxmlformats.org/officeDocument/2006/relationships" ref="I60" r:id="rId119"/>
    <hyperlink xmlns:r="http://schemas.openxmlformats.org/officeDocument/2006/relationships" ref="A61" r:id="rId120"/>
    <hyperlink xmlns:r="http://schemas.openxmlformats.org/officeDocument/2006/relationships" ref="I61" r:id="rId121"/>
    <hyperlink xmlns:r="http://schemas.openxmlformats.org/officeDocument/2006/relationships" ref="A62" r:id="rId122"/>
    <hyperlink xmlns:r="http://schemas.openxmlformats.org/officeDocument/2006/relationships" ref="I62" r:id="rId123"/>
    <hyperlink xmlns:r="http://schemas.openxmlformats.org/officeDocument/2006/relationships" ref="A63" r:id="rId124"/>
    <hyperlink xmlns:r="http://schemas.openxmlformats.org/officeDocument/2006/relationships" ref="I63" r:id="rId125"/>
    <hyperlink xmlns:r="http://schemas.openxmlformats.org/officeDocument/2006/relationships" ref="A64" r:id="rId126"/>
    <hyperlink xmlns:r="http://schemas.openxmlformats.org/officeDocument/2006/relationships" ref="I64" r:id="rId127"/>
    <hyperlink xmlns:r="http://schemas.openxmlformats.org/officeDocument/2006/relationships" ref="A65" r:id="rId128"/>
    <hyperlink xmlns:r="http://schemas.openxmlformats.org/officeDocument/2006/relationships" ref="I65" r:id="rId129"/>
    <hyperlink xmlns:r="http://schemas.openxmlformats.org/officeDocument/2006/relationships" ref="A66" r:id="rId130"/>
    <hyperlink xmlns:r="http://schemas.openxmlformats.org/officeDocument/2006/relationships" ref="I66" r:id="rId131"/>
    <hyperlink xmlns:r="http://schemas.openxmlformats.org/officeDocument/2006/relationships" ref="A67" r:id="rId132"/>
    <hyperlink xmlns:r="http://schemas.openxmlformats.org/officeDocument/2006/relationships" ref="I67" r:id="rId133"/>
    <hyperlink xmlns:r="http://schemas.openxmlformats.org/officeDocument/2006/relationships" ref="A68" r:id="rId134"/>
    <hyperlink xmlns:r="http://schemas.openxmlformats.org/officeDocument/2006/relationships" ref="I68" r:id="rId135"/>
    <hyperlink xmlns:r="http://schemas.openxmlformats.org/officeDocument/2006/relationships" ref="A69" r:id="rId136"/>
    <hyperlink xmlns:r="http://schemas.openxmlformats.org/officeDocument/2006/relationships" ref="I69" r:id="rId137"/>
    <hyperlink xmlns:r="http://schemas.openxmlformats.org/officeDocument/2006/relationships" ref="A70" r:id="rId138"/>
    <hyperlink xmlns:r="http://schemas.openxmlformats.org/officeDocument/2006/relationships" ref="I70" r:id="rId139"/>
    <hyperlink xmlns:r="http://schemas.openxmlformats.org/officeDocument/2006/relationships" ref="A71" r:id="rId140"/>
    <hyperlink xmlns:r="http://schemas.openxmlformats.org/officeDocument/2006/relationships" ref="I71" r:id="rId141"/>
    <hyperlink xmlns:r="http://schemas.openxmlformats.org/officeDocument/2006/relationships" ref="A72" r:id="rId142"/>
    <hyperlink xmlns:r="http://schemas.openxmlformats.org/officeDocument/2006/relationships" ref="I72" r:id="rId143"/>
    <hyperlink xmlns:r="http://schemas.openxmlformats.org/officeDocument/2006/relationships" ref="A73" r:id="rId144"/>
    <hyperlink xmlns:r="http://schemas.openxmlformats.org/officeDocument/2006/relationships" ref="I73" r:id="rId145"/>
    <hyperlink xmlns:r="http://schemas.openxmlformats.org/officeDocument/2006/relationships" ref="A74" r:id="rId146"/>
    <hyperlink xmlns:r="http://schemas.openxmlformats.org/officeDocument/2006/relationships" ref="I74" r:id="rId147"/>
    <hyperlink xmlns:r="http://schemas.openxmlformats.org/officeDocument/2006/relationships" ref="A75" r:id="rId148"/>
    <hyperlink xmlns:r="http://schemas.openxmlformats.org/officeDocument/2006/relationships" ref="I75" r:id="rId149"/>
    <hyperlink xmlns:r="http://schemas.openxmlformats.org/officeDocument/2006/relationships" ref="A76" r:id="rId150"/>
    <hyperlink xmlns:r="http://schemas.openxmlformats.org/officeDocument/2006/relationships" ref="I76" r:id="rId151"/>
    <hyperlink xmlns:r="http://schemas.openxmlformats.org/officeDocument/2006/relationships" ref="A77" r:id="rId152"/>
    <hyperlink xmlns:r="http://schemas.openxmlformats.org/officeDocument/2006/relationships" ref="I77" r:id="rId153"/>
    <hyperlink xmlns:r="http://schemas.openxmlformats.org/officeDocument/2006/relationships" ref="A78" r:id="rId154"/>
    <hyperlink xmlns:r="http://schemas.openxmlformats.org/officeDocument/2006/relationships" ref="I78" r:id="rId155"/>
    <hyperlink xmlns:r="http://schemas.openxmlformats.org/officeDocument/2006/relationships" ref="A79" r:id="rId156"/>
    <hyperlink xmlns:r="http://schemas.openxmlformats.org/officeDocument/2006/relationships" ref="I79" r:id="rId157"/>
    <hyperlink xmlns:r="http://schemas.openxmlformats.org/officeDocument/2006/relationships" ref="A80" r:id="rId158"/>
    <hyperlink xmlns:r="http://schemas.openxmlformats.org/officeDocument/2006/relationships" ref="I80" r:id="rId159"/>
    <hyperlink xmlns:r="http://schemas.openxmlformats.org/officeDocument/2006/relationships" ref="A81" r:id="rId160"/>
    <hyperlink xmlns:r="http://schemas.openxmlformats.org/officeDocument/2006/relationships" ref="I81" r:id="rId161"/>
    <hyperlink xmlns:r="http://schemas.openxmlformats.org/officeDocument/2006/relationships" ref="A82" r:id="rId162"/>
    <hyperlink xmlns:r="http://schemas.openxmlformats.org/officeDocument/2006/relationships" ref="I82" r:id="rId163"/>
    <hyperlink xmlns:r="http://schemas.openxmlformats.org/officeDocument/2006/relationships" ref="A83" r:id="rId164"/>
    <hyperlink xmlns:r="http://schemas.openxmlformats.org/officeDocument/2006/relationships" ref="I83" r:id="rId165"/>
    <hyperlink xmlns:r="http://schemas.openxmlformats.org/officeDocument/2006/relationships" ref="A84" r:id="rId166"/>
    <hyperlink xmlns:r="http://schemas.openxmlformats.org/officeDocument/2006/relationships" ref="I84" r:id="rId167"/>
    <hyperlink xmlns:r="http://schemas.openxmlformats.org/officeDocument/2006/relationships" ref="A85" r:id="rId168"/>
    <hyperlink xmlns:r="http://schemas.openxmlformats.org/officeDocument/2006/relationships" ref="I85" r:id="rId169"/>
    <hyperlink xmlns:r="http://schemas.openxmlformats.org/officeDocument/2006/relationships" ref="A86" r:id="rId170"/>
    <hyperlink xmlns:r="http://schemas.openxmlformats.org/officeDocument/2006/relationships" ref="I86" r:id="rId171"/>
    <hyperlink xmlns:r="http://schemas.openxmlformats.org/officeDocument/2006/relationships" ref="A87" r:id="rId172"/>
    <hyperlink xmlns:r="http://schemas.openxmlformats.org/officeDocument/2006/relationships" ref="I87" r:id="rId173"/>
    <hyperlink xmlns:r="http://schemas.openxmlformats.org/officeDocument/2006/relationships" ref="A88" r:id="rId174"/>
    <hyperlink xmlns:r="http://schemas.openxmlformats.org/officeDocument/2006/relationships" ref="I88" r:id="rId175"/>
    <hyperlink xmlns:r="http://schemas.openxmlformats.org/officeDocument/2006/relationships" ref="A89" r:id="rId176"/>
    <hyperlink xmlns:r="http://schemas.openxmlformats.org/officeDocument/2006/relationships" ref="I89" r:id="rId177"/>
    <hyperlink xmlns:r="http://schemas.openxmlformats.org/officeDocument/2006/relationships" ref="A90" r:id="rId178"/>
    <hyperlink xmlns:r="http://schemas.openxmlformats.org/officeDocument/2006/relationships" ref="I90" r:id="rId179"/>
    <hyperlink xmlns:r="http://schemas.openxmlformats.org/officeDocument/2006/relationships" ref="A91" r:id="rId180"/>
    <hyperlink xmlns:r="http://schemas.openxmlformats.org/officeDocument/2006/relationships" ref="I91" r:id="rId181"/>
    <hyperlink xmlns:r="http://schemas.openxmlformats.org/officeDocument/2006/relationships" ref="A92" r:id="rId182"/>
    <hyperlink xmlns:r="http://schemas.openxmlformats.org/officeDocument/2006/relationships" ref="I92" r:id="rId183"/>
    <hyperlink xmlns:r="http://schemas.openxmlformats.org/officeDocument/2006/relationships" ref="A93" r:id="rId184"/>
    <hyperlink xmlns:r="http://schemas.openxmlformats.org/officeDocument/2006/relationships" ref="I93" r:id="rId185"/>
    <hyperlink xmlns:r="http://schemas.openxmlformats.org/officeDocument/2006/relationships" ref="A94" r:id="rId186"/>
    <hyperlink xmlns:r="http://schemas.openxmlformats.org/officeDocument/2006/relationships" ref="I94" r:id="rId187"/>
    <hyperlink xmlns:r="http://schemas.openxmlformats.org/officeDocument/2006/relationships" ref="A95" r:id="rId188"/>
    <hyperlink xmlns:r="http://schemas.openxmlformats.org/officeDocument/2006/relationships" ref="I95" r:id="rId189"/>
    <hyperlink xmlns:r="http://schemas.openxmlformats.org/officeDocument/2006/relationships" ref="A96" r:id="rId190"/>
    <hyperlink xmlns:r="http://schemas.openxmlformats.org/officeDocument/2006/relationships" ref="I96" r:id="rId191"/>
    <hyperlink xmlns:r="http://schemas.openxmlformats.org/officeDocument/2006/relationships" ref="A97" r:id="rId192"/>
    <hyperlink xmlns:r="http://schemas.openxmlformats.org/officeDocument/2006/relationships" ref="I97" r:id="rId193"/>
    <hyperlink xmlns:r="http://schemas.openxmlformats.org/officeDocument/2006/relationships" ref="A98" r:id="rId194"/>
    <hyperlink xmlns:r="http://schemas.openxmlformats.org/officeDocument/2006/relationships" ref="I98" r:id="rId195"/>
    <hyperlink xmlns:r="http://schemas.openxmlformats.org/officeDocument/2006/relationships" ref="A99" r:id="rId196"/>
    <hyperlink xmlns:r="http://schemas.openxmlformats.org/officeDocument/2006/relationships" ref="I99" r:id="rId197"/>
    <hyperlink xmlns:r="http://schemas.openxmlformats.org/officeDocument/2006/relationships" ref="A100" r:id="rId198"/>
    <hyperlink xmlns:r="http://schemas.openxmlformats.org/officeDocument/2006/relationships" ref="I100" r:id="rId199"/>
    <hyperlink xmlns:r="http://schemas.openxmlformats.org/officeDocument/2006/relationships" ref="A101" r:id="rId200"/>
    <hyperlink xmlns:r="http://schemas.openxmlformats.org/officeDocument/2006/relationships" ref="I101" r:id="rId201"/>
    <hyperlink xmlns:r="http://schemas.openxmlformats.org/officeDocument/2006/relationships" ref="A102" r:id="rId202"/>
    <hyperlink xmlns:r="http://schemas.openxmlformats.org/officeDocument/2006/relationships" ref="I102" r:id="rId203"/>
    <hyperlink xmlns:r="http://schemas.openxmlformats.org/officeDocument/2006/relationships" ref="A103" r:id="rId204"/>
    <hyperlink xmlns:r="http://schemas.openxmlformats.org/officeDocument/2006/relationships" ref="I103" r:id="rId205"/>
    <hyperlink xmlns:r="http://schemas.openxmlformats.org/officeDocument/2006/relationships" ref="A104" r:id="rId206"/>
    <hyperlink xmlns:r="http://schemas.openxmlformats.org/officeDocument/2006/relationships" ref="I104" r:id="rId207"/>
    <hyperlink xmlns:r="http://schemas.openxmlformats.org/officeDocument/2006/relationships" ref="A105" r:id="rId208"/>
    <hyperlink xmlns:r="http://schemas.openxmlformats.org/officeDocument/2006/relationships" ref="I105" r:id="rId209"/>
    <hyperlink xmlns:r="http://schemas.openxmlformats.org/officeDocument/2006/relationships" ref="A106" r:id="rId210"/>
    <hyperlink xmlns:r="http://schemas.openxmlformats.org/officeDocument/2006/relationships" ref="I106" r:id="rId211"/>
    <hyperlink xmlns:r="http://schemas.openxmlformats.org/officeDocument/2006/relationships" ref="A107" r:id="rId212"/>
    <hyperlink xmlns:r="http://schemas.openxmlformats.org/officeDocument/2006/relationships" ref="I107" r:id="rId213"/>
    <hyperlink xmlns:r="http://schemas.openxmlformats.org/officeDocument/2006/relationships" ref="A108" r:id="rId214"/>
    <hyperlink xmlns:r="http://schemas.openxmlformats.org/officeDocument/2006/relationships" ref="I108" r:id="rId215"/>
    <hyperlink xmlns:r="http://schemas.openxmlformats.org/officeDocument/2006/relationships" ref="A109" r:id="rId216"/>
    <hyperlink xmlns:r="http://schemas.openxmlformats.org/officeDocument/2006/relationships" ref="I109" r:id="rId217"/>
    <hyperlink xmlns:r="http://schemas.openxmlformats.org/officeDocument/2006/relationships" ref="A110" r:id="rId218"/>
    <hyperlink xmlns:r="http://schemas.openxmlformats.org/officeDocument/2006/relationships" ref="I110" r:id="rId219"/>
    <hyperlink xmlns:r="http://schemas.openxmlformats.org/officeDocument/2006/relationships" ref="A111" r:id="rId220"/>
    <hyperlink xmlns:r="http://schemas.openxmlformats.org/officeDocument/2006/relationships" ref="I111" r:id="rId221"/>
    <hyperlink xmlns:r="http://schemas.openxmlformats.org/officeDocument/2006/relationships" ref="A112" r:id="rId222"/>
    <hyperlink xmlns:r="http://schemas.openxmlformats.org/officeDocument/2006/relationships" ref="I112" r:id="rId223"/>
    <hyperlink xmlns:r="http://schemas.openxmlformats.org/officeDocument/2006/relationships" ref="A113" r:id="rId224"/>
    <hyperlink xmlns:r="http://schemas.openxmlformats.org/officeDocument/2006/relationships" ref="I113" r:id="rId225"/>
    <hyperlink xmlns:r="http://schemas.openxmlformats.org/officeDocument/2006/relationships" ref="A114" r:id="rId226"/>
    <hyperlink xmlns:r="http://schemas.openxmlformats.org/officeDocument/2006/relationships" ref="I114" r:id="rId227"/>
    <hyperlink xmlns:r="http://schemas.openxmlformats.org/officeDocument/2006/relationships" ref="A115" r:id="rId228"/>
    <hyperlink xmlns:r="http://schemas.openxmlformats.org/officeDocument/2006/relationships" ref="I115" r:id="rId229"/>
    <hyperlink xmlns:r="http://schemas.openxmlformats.org/officeDocument/2006/relationships" ref="A116" r:id="rId230"/>
    <hyperlink xmlns:r="http://schemas.openxmlformats.org/officeDocument/2006/relationships" ref="I116" r:id="rId231"/>
    <hyperlink xmlns:r="http://schemas.openxmlformats.org/officeDocument/2006/relationships" ref="A117" r:id="rId232"/>
    <hyperlink xmlns:r="http://schemas.openxmlformats.org/officeDocument/2006/relationships" ref="I117" r:id="rId233"/>
    <hyperlink xmlns:r="http://schemas.openxmlformats.org/officeDocument/2006/relationships" ref="A118" r:id="rId234"/>
    <hyperlink xmlns:r="http://schemas.openxmlformats.org/officeDocument/2006/relationships" ref="I118" r:id="rId235"/>
    <hyperlink xmlns:r="http://schemas.openxmlformats.org/officeDocument/2006/relationships" ref="A119" r:id="rId236"/>
    <hyperlink xmlns:r="http://schemas.openxmlformats.org/officeDocument/2006/relationships" ref="I119" r:id="rId237"/>
    <hyperlink xmlns:r="http://schemas.openxmlformats.org/officeDocument/2006/relationships" ref="A120" r:id="rId238"/>
    <hyperlink xmlns:r="http://schemas.openxmlformats.org/officeDocument/2006/relationships" ref="I120" r:id="rId239"/>
    <hyperlink xmlns:r="http://schemas.openxmlformats.org/officeDocument/2006/relationships" ref="A121" r:id="rId240"/>
    <hyperlink xmlns:r="http://schemas.openxmlformats.org/officeDocument/2006/relationships" ref="I121" r:id="rId241"/>
    <hyperlink xmlns:r="http://schemas.openxmlformats.org/officeDocument/2006/relationships" ref="A122" r:id="rId242"/>
    <hyperlink xmlns:r="http://schemas.openxmlformats.org/officeDocument/2006/relationships" ref="I122" r:id="rId243"/>
    <hyperlink xmlns:r="http://schemas.openxmlformats.org/officeDocument/2006/relationships" ref="A123" r:id="rId244"/>
    <hyperlink xmlns:r="http://schemas.openxmlformats.org/officeDocument/2006/relationships" ref="I123" r:id="rId245"/>
    <hyperlink xmlns:r="http://schemas.openxmlformats.org/officeDocument/2006/relationships" ref="A124" r:id="rId246"/>
    <hyperlink xmlns:r="http://schemas.openxmlformats.org/officeDocument/2006/relationships" ref="I124" r:id="rId247"/>
    <hyperlink xmlns:r="http://schemas.openxmlformats.org/officeDocument/2006/relationships" ref="A125" r:id="rId248"/>
    <hyperlink xmlns:r="http://schemas.openxmlformats.org/officeDocument/2006/relationships" ref="I125" r:id="rId249"/>
    <hyperlink xmlns:r="http://schemas.openxmlformats.org/officeDocument/2006/relationships" ref="A126" r:id="rId250"/>
    <hyperlink xmlns:r="http://schemas.openxmlformats.org/officeDocument/2006/relationships" ref="I126" r:id="rId251"/>
    <hyperlink xmlns:r="http://schemas.openxmlformats.org/officeDocument/2006/relationships" ref="A127" r:id="rId252"/>
    <hyperlink xmlns:r="http://schemas.openxmlformats.org/officeDocument/2006/relationships" ref="I127" r:id="rId253"/>
    <hyperlink xmlns:r="http://schemas.openxmlformats.org/officeDocument/2006/relationships" ref="A128" r:id="rId254"/>
    <hyperlink xmlns:r="http://schemas.openxmlformats.org/officeDocument/2006/relationships" ref="I128" r:id="rId255"/>
    <hyperlink xmlns:r="http://schemas.openxmlformats.org/officeDocument/2006/relationships" ref="A129" r:id="rId256"/>
    <hyperlink xmlns:r="http://schemas.openxmlformats.org/officeDocument/2006/relationships" ref="I129" r:id="rId257"/>
    <hyperlink xmlns:r="http://schemas.openxmlformats.org/officeDocument/2006/relationships" ref="A130" r:id="rId258"/>
    <hyperlink xmlns:r="http://schemas.openxmlformats.org/officeDocument/2006/relationships" ref="I130" r:id="rId259"/>
    <hyperlink xmlns:r="http://schemas.openxmlformats.org/officeDocument/2006/relationships" ref="A131" r:id="rId260"/>
    <hyperlink xmlns:r="http://schemas.openxmlformats.org/officeDocument/2006/relationships" ref="I131" r:id="rId261"/>
    <hyperlink xmlns:r="http://schemas.openxmlformats.org/officeDocument/2006/relationships" ref="A132" r:id="rId262"/>
    <hyperlink xmlns:r="http://schemas.openxmlformats.org/officeDocument/2006/relationships" ref="I132" r:id="rId263"/>
    <hyperlink xmlns:r="http://schemas.openxmlformats.org/officeDocument/2006/relationships" ref="A133" r:id="rId264"/>
    <hyperlink xmlns:r="http://schemas.openxmlformats.org/officeDocument/2006/relationships" ref="I133" r:id="rId265"/>
    <hyperlink xmlns:r="http://schemas.openxmlformats.org/officeDocument/2006/relationships" ref="A134" r:id="rId266"/>
    <hyperlink xmlns:r="http://schemas.openxmlformats.org/officeDocument/2006/relationships" ref="I134" r:id="rId267"/>
    <hyperlink xmlns:r="http://schemas.openxmlformats.org/officeDocument/2006/relationships" ref="A135" r:id="rId268"/>
    <hyperlink xmlns:r="http://schemas.openxmlformats.org/officeDocument/2006/relationships" ref="I135" r:id="rId269"/>
    <hyperlink xmlns:r="http://schemas.openxmlformats.org/officeDocument/2006/relationships" ref="A136" r:id="rId270"/>
    <hyperlink xmlns:r="http://schemas.openxmlformats.org/officeDocument/2006/relationships" ref="I136" r:id="rId271"/>
    <hyperlink xmlns:r="http://schemas.openxmlformats.org/officeDocument/2006/relationships" ref="A137" r:id="rId272"/>
    <hyperlink xmlns:r="http://schemas.openxmlformats.org/officeDocument/2006/relationships" ref="I137" r:id="rId273"/>
    <hyperlink xmlns:r="http://schemas.openxmlformats.org/officeDocument/2006/relationships" ref="A138" r:id="rId274"/>
    <hyperlink xmlns:r="http://schemas.openxmlformats.org/officeDocument/2006/relationships" ref="I138" r:id="rId275"/>
    <hyperlink xmlns:r="http://schemas.openxmlformats.org/officeDocument/2006/relationships" ref="A139" r:id="rId276"/>
    <hyperlink xmlns:r="http://schemas.openxmlformats.org/officeDocument/2006/relationships" ref="I139" r:id="rId277"/>
    <hyperlink xmlns:r="http://schemas.openxmlformats.org/officeDocument/2006/relationships" ref="A140" r:id="rId278"/>
    <hyperlink xmlns:r="http://schemas.openxmlformats.org/officeDocument/2006/relationships" ref="I140" r:id="rId279"/>
    <hyperlink xmlns:r="http://schemas.openxmlformats.org/officeDocument/2006/relationships" ref="A141" r:id="rId280"/>
    <hyperlink xmlns:r="http://schemas.openxmlformats.org/officeDocument/2006/relationships" ref="I141" r:id="rId281"/>
    <hyperlink xmlns:r="http://schemas.openxmlformats.org/officeDocument/2006/relationships" ref="A142" r:id="rId282"/>
    <hyperlink xmlns:r="http://schemas.openxmlformats.org/officeDocument/2006/relationships" ref="I142" r:id="rId283"/>
    <hyperlink xmlns:r="http://schemas.openxmlformats.org/officeDocument/2006/relationships" ref="A143" r:id="rId284"/>
    <hyperlink xmlns:r="http://schemas.openxmlformats.org/officeDocument/2006/relationships" ref="I143" r:id="rId285"/>
    <hyperlink xmlns:r="http://schemas.openxmlformats.org/officeDocument/2006/relationships" ref="A144" r:id="rId286"/>
    <hyperlink xmlns:r="http://schemas.openxmlformats.org/officeDocument/2006/relationships" ref="I144" r:id="rId287"/>
    <hyperlink xmlns:r="http://schemas.openxmlformats.org/officeDocument/2006/relationships" ref="A145" r:id="rId288"/>
    <hyperlink xmlns:r="http://schemas.openxmlformats.org/officeDocument/2006/relationships" ref="I145" r:id="rId289"/>
    <hyperlink xmlns:r="http://schemas.openxmlformats.org/officeDocument/2006/relationships" ref="A146" r:id="rId290"/>
    <hyperlink xmlns:r="http://schemas.openxmlformats.org/officeDocument/2006/relationships" ref="I146" r:id="rId291"/>
    <hyperlink xmlns:r="http://schemas.openxmlformats.org/officeDocument/2006/relationships" ref="A147" r:id="rId292"/>
    <hyperlink xmlns:r="http://schemas.openxmlformats.org/officeDocument/2006/relationships" ref="I147" r:id="rId293"/>
    <hyperlink xmlns:r="http://schemas.openxmlformats.org/officeDocument/2006/relationships" ref="A148" r:id="rId294"/>
    <hyperlink xmlns:r="http://schemas.openxmlformats.org/officeDocument/2006/relationships" ref="I148" r:id="rId295"/>
    <hyperlink xmlns:r="http://schemas.openxmlformats.org/officeDocument/2006/relationships" ref="A149" r:id="rId296"/>
    <hyperlink xmlns:r="http://schemas.openxmlformats.org/officeDocument/2006/relationships" ref="I149" r:id="rId297"/>
    <hyperlink xmlns:r="http://schemas.openxmlformats.org/officeDocument/2006/relationships" ref="A150" r:id="rId298"/>
    <hyperlink xmlns:r="http://schemas.openxmlformats.org/officeDocument/2006/relationships" ref="I150" r:id="rId299"/>
    <hyperlink xmlns:r="http://schemas.openxmlformats.org/officeDocument/2006/relationships" ref="A151" r:id="rId300"/>
    <hyperlink xmlns:r="http://schemas.openxmlformats.org/officeDocument/2006/relationships" ref="I151" r:id="rId301"/>
    <hyperlink xmlns:r="http://schemas.openxmlformats.org/officeDocument/2006/relationships" ref="A152" r:id="rId302"/>
    <hyperlink xmlns:r="http://schemas.openxmlformats.org/officeDocument/2006/relationships" ref="I152" r:id="rId303"/>
    <hyperlink xmlns:r="http://schemas.openxmlformats.org/officeDocument/2006/relationships" ref="A153" r:id="rId304"/>
    <hyperlink xmlns:r="http://schemas.openxmlformats.org/officeDocument/2006/relationships" ref="I153" r:id="rId305"/>
    <hyperlink xmlns:r="http://schemas.openxmlformats.org/officeDocument/2006/relationships" ref="A154" r:id="rId306"/>
    <hyperlink xmlns:r="http://schemas.openxmlformats.org/officeDocument/2006/relationships" ref="I154" r:id="rId307"/>
    <hyperlink xmlns:r="http://schemas.openxmlformats.org/officeDocument/2006/relationships" ref="A155" r:id="rId308"/>
    <hyperlink xmlns:r="http://schemas.openxmlformats.org/officeDocument/2006/relationships" ref="I155" r:id="rId309"/>
    <hyperlink xmlns:r="http://schemas.openxmlformats.org/officeDocument/2006/relationships" ref="A156" r:id="rId310"/>
    <hyperlink xmlns:r="http://schemas.openxmlformats.org/officeDocument/2006/relationships" ref="I156" r:id="rId311"/>
    <hyperlink xmlns:r="http://schemas.openxmlformats.org/officeDocument/2006/relationships" ref="A157" r:id="rId312"/>
    <hyperlink xmlns:r="http://schemas.openxmlformats.org/officeDocument/2006/relationships" ref="I157" r:id="rId313"/>
    <hyperlink xmlns:r="http://schemas.openxmlformats.org/officeDocument/2006/relationships" ref="A158" r:id="rId314"/>
    <hyperlink xmlns:r="http://schemas.openxmlformats.org/officeDocument/2006/relationships" ref="I158" r:id="rId315"/>
    <hyperlink xmlns:r="http://schemas.openxmlformats.org/officeDocument/2006/relationships" ref="A159" r:id="rId316"/>
    <hyperlink xmlns:r="http://schemas.openxmlformats.org/officeDocument/2006/relationships" ref="I159" r:id="rId317"/>
    <hyperlink xmlns:r="http://schemas.openxmlformats.org/officeDocument/2006/relationships" ref="A160" r:id="rId318"/>
    <hyperlink xmlns:r="http://schemas.openxmlformats.org/officeDocument/2006/relationships" ref="I160" r:id="rId319"/>
    <hyperlink xmlns:r="http://schemas.openxmlformats.org/officeDocument/2006/relationships" ref="A161" r:id="rId320"/>
    <hyperlink xmlns:r="http://schemas.openxmlformats.org/officeDocument/2006/relationships" ref="I161" r:id="rId321"/>
    <hyperlink xmlns:r="http://schemas.openxmlformats.org/officeDocument/2006/relationships" ref="A162" r:id="rId322"/>
    <hyperlink xmlns:r="http://schemas.openxmlformats.org/officeDocument/2006/relationships" ref="I162" r:id="rId323"/>
    <hyperlink xmlns:r="http://schemas.openxmlformats.org/officeDocument/2006/relationships" ref="A163" r:id="rId324"/>
    <hyperlink xmlns:r="http://schemas.openxmlformats.org/officeDocument/2006/relationships" ref="I163" r:id="rId325"/>
    <hyperlink xmlns:r="http://schemas.openxmlformats.org/officeDocument/2006/relationships" ref="A164" r:id="rId326"/>
    <hyperlink xmlns:r="http://schemas.openxmlformats.org/officeDocument/2006/relationships" ref="I164" r:id="rId327"/>
    <hyperlink xmlns:r="http://schemas.openxmlformats.org/officeDocument/2006/relationships" ref="A165" r:id="rId328"/>
    <hyperlink xmlns:r="http://schemas.openxmlformats.org/officeDocument/2006/relationships" ref="I165" r:id="rId329"/>
    <hyperlink xmlns:r="http://schemas.openxmlformats.org/officeDocument/2006/relationships" ref="A166" r:id="rId330"/>
    <hyperlink xmlns:r="http://schemas.openxmlformats.org/officeDocument/2006/relationships" ref="I166" r:id="rId331"/>
    <hyperlink xmlns:r="http://schemas.openxmlformats.org/officeDocument/2006/relationships" ref="A167" r:id="rId332"/>
    <hyperlink xmlns:r="http://schemas.openxmlformats.org/officeDocument/2006/relationships" ref="I167" r:id="rId333"/>
    <hyperlink xmlns:r="http://schemas.openxmlformats.org/officeDocument/2006/relationships" ref="A168" r:id="rId334"/>
    <hyperlink xmlns:r="http://schemas.openxmlformats.org/officeDocument/2006/relationships" ref="I168" r:id="rId335"/>
    <hyperlink xmlns:r="http://schemas.openxmlformats.org/officeDocument/2006/relationships" ref="A169" r:id="rId336"/>
    <hyperlink xmlns:r="http://schemas.openxmlformats.org/officeDocument/2006/relationships" ref="I169" r:id="rId337"/>
    <hyperlink xmlns:r="http://schemas.openxmlformats.org/officeDocument/2006/relationships" ref="A170" r:id="rId338"/>
    <hyperlink xmlns:r="http://schemas.openxmlformats.org/officeDocument/2006/relationships" ref="I170" r:id="rId339"/>
    <hyperlink xmlns:r="http://schemas.openxmlformats.org/officeDocument/2006/relationships" ref="A171" r:id="rId340"/>
    <hyperlink xmlns:r="http://schemas.openxmlformats.org/officeDocument/2006/relationships" ref="I171" r:id="rId341"/>
    <hyperlink xmlns:r="http://schemas.openxmlformats.org/officeDocument/2006/relationships" ref="A172" r:id="rId342"/>
    <hyperlink xmlns:r="http://schemas.openxmlformats.org/officeDocument/2006/relationships" ref="I172" r:id="rId343"/>
    <hyperlink xmlns:r="http://schemas.openxmlformats.org/officeDocument/2006/relationships" ref="A173" r:id="rId344"/>
    <hyperlink xmlns:r="http://schemas.openxmlformats.org/officeDocument/2006/relationships" ref="I173" r:id="rId345"/>
    <hyperlink xmlns:r="http://schemas.openxmlformats.org/officeDocument/2006/relationships" ref="A174" r:id="rId346"/>
    <hyperlink xmlns:r="http://schemas.openxmlformats.org/officeDocument/2006/relationships" ref="I174" r:id="rId347"/>
    <hyperlink xmlns:r="http://schemas.openxmlformats.org/officeDocument/2006/relationships" ref="A175" r:id="rId348"/>
    <hyperlink xmlns:r="http://schemas.openxmlformats.org/officeDocument/2006/relationships" ref="I175" r:id="rId349"/>
    <hyperlink xmlns:r="http://schemas.openxmlformats.org/officeDocument/2006/relationships" ref="A176" r:id="rId350"/>
    <hyperlink xmlns:r="http://schemas.openxmlformats.org/officeDocument/2006/relationships" ref="I176" r:id="rId351"/>
    <hyperlink xmlns:r="http://schemas.openxmlformats.org/officeDocument/2006/relationships" ref="A177" r:id="rId352"/>
    <hyperlink xmlns:r="http://schemas.openxmlformats.org/officeDocument/2006/relationships" ref="I177" r:id="rId353"/>
    <hyperlink xmlns:r="http://schemas.openxmlformats.org/officeDocument/2006/relationships" ref="A178" r:id="rId354"/>
    <hyperlink xmlns:r="http://schemas.openxmlformats.org/officeDocument/2006/relationships" ref="I178" r:id="rId355"/>
    <hyperlink xmlns:r="http://schemas.openxmlformats.org/officeDocument/2006/relationships" ref="A179" r:id="rId356"/>
    <hyperlink xmlns:r="http://schemas.openxmlformats.org/officeDocument/2006/relationships" ref="I179" r:id="rId357"/>
    <hyperlink xmlns:r="http://schemas.openxmlformats.org/officeDocument/2006/relationships" ref="A180" r:id="rId358"/>
    <hyperlink xmlns:r="http://schemas.openxmlformats.org/officeDocument/2006/relationships" ref="I180" r:id="rId359"/>
    <hyperlink xmlns:r="http://schemas.openxmlformats.org/officeDocument/2006/relationships" ref="A181" r:id="rId360"/>
    <hyperlink xmlns:r="http://schemas.openxmlformats.org/officeDocument/2006/relationships" ref="I181" r:id="rId361"/>
    <hyperlink xmlns:r="http://schemas.openxmlformats.org/officeDocument/2006/relationships" ref="A182" r:id="rId362"/>
    <hyperlink xmlns:r="http://schemas.openxmlformats.org/officeDocument/2006/relationships" ref="I182" r:id="rId363"/>
    <hyperlink xmlns:r="http://schemas.openxmlformats.org/officeDocument/2006/relationships" ref="A183" r:id="rId364"/>
    <hyperlink xmlns:r="http://schemas.openxmlformats.org/officeDocument/2006/relationships" ref="I183" r:id="rId365"/>
    <hyperlink xmlns:r="http://schemas.openxmlformats.org/officeDocument/2006/relationships" ref="A184" r:id="rId366"/>
    <hyperlink xmlns:r="http://schemas.openxmlformats.org/officeDocument/2006/relationships" ref="I184" r:id="rId367"/>
    <hyperlink xmlns:r="http://schemas.openxmlformats.org/officeDocument/2006/relationships" ref="A185" r:id="rId368"/>
    <hyperlink xmlns:r="http://schemas.openxmlformats.org/officeDocument/2006/relationships" ref="I185" r:id="rId369"/>
    <hyperlink xmlns:r="http://schemas.openxmlformats.org/officeDocument/2006/relationships" ref="A186" r:id="rId370"/>
    <hyperlink xmlns:r="http://schemas.openxmlformats.org/officeDocument/2006/relationships" ref="I186" r:id="rId371"/>
    <hyperlink xmlns:r="http://schemas.openxmlformats.org/officeDocument/2006/relationships" ref="A187" r:id="rId372"/>
    <hyperlink xmlns:r="http://schemas.openxmlformats.org/officeDocument/2006/relationships" ref="I187" r:id="rId373"/>
    <hyperlink xmlns:r="http://schemas.openxmlformats.org/officeDocument/2006/relationships" ref="A188" r:id="rId374"/>
    <hyperlink xmlns:r="http://schemas.openxmlformats.org/officeDocument/2006/relationships" ref="I188" r:id="rId375"/>
    <hyperlink xmlns:r="http://schemas.openxmlformats.org/officeDocument/2006/relationships" ref="A189" r:id="rId376"/>
    <hyperlink xmlns:r="http://schemas.openxmlformats.org/officeDocument/2006/relationships" ref="I189" r:id="rId377"/>
    <hyperlink xmlns:r="http://schemas.openxmlformats.org/officeDocument/2006/relationships" ref="A190" r:id="rId378"/>
    <hyperlink xmlns:r="http://schemas.openxmlformats.org/officeDocument/2006/relationships" ref="I190" r:id="rId379"/>
    <hyperlink xmlns:r="http://schemas.openxmlformats.org/officeDocument/2006/relationships" ref="A191" r:id="rId380"/>
    <hyperlink xmlns:r="http://schemas.openxmlformats.org/officeDocument/2006/relationships" ref="I191" r:id="rId381"/>
    <hyperlink xmlns:r="http://schemas.openxmlformats.org/officeDocument/2006/relationships" ref="A192" r:id="rId382"/>
    <hyperlink xmlns:r="http://schemas.openxmlformats.org/officeDocument/2006/relationships" ref="I192" r:id="rId383"/>
    <hyperlink xmlns:r="http://schemas.openxmlformats.org/officeDocument/2006/relationships" ref="A193" r:id="rId384"/>
    <hyperlink xmlns:r="http://schemas.openxmlformats.org/officeDocument/2006/relationships" ref="I193" r:id="rId385"/>
    <hyperlink xmlns:r="http://schemas.openxmlformats.org/officeDocument/2006/relationships" ref="A194" r:id="rId386"/>
    <hyperlink xmlns:r="http://schemas.openxmlformats.org/officeDocument/2006/relationships" ref="I194" r:id="rId387"/>
    <hyperlink xmlns:r="http://schemas.openxmlformats.org/officeDocument/2006/relationships" ref="A195" r:id="rId388"/>
    <hyperlink xmlns:r="http://schemas.openxmlformats.org/officeDocument/2006/relationships" ref="I195" r:id="rId389"/>
    <hyperlink xmlns:r="http://schemas.openxmlformats.org/officeDocument/2006/relationships" ref="A196" r:id="rId390"/>
    <hyperlink xmlns:r="http://schemas.openxmlformats.org/officeDocument/2006/relationships" ref="I196" r:id="rId391"/>
    <hyperlink xmlns:r="http://schemas.openxmlformats.org/officeDocument/2006/relationships" ref="A197" r:id="rId392"/>
    <hyperlink xmlns:r="http://schemas.openxmlformats.org/officeDocument/2006/relationships" ref="I197" r:id="rId393"/>
    <hyperlink xmlns:r="http://schemas.openxmlformats.org/officeDocument/2006/relationships" ref="A198" r:id="rId394"/>
    <hyperlink xmlns:r="http://schemas.openxmlformats.org/officeDocument/2006/relationships" ref="I198" r:id="rId395"/>
    <hyperlink xmlns:r="http://schemas.openxmlformats.org/officeDocument/2006/relationships" ref="A199" r:id="rId396"/>
    <hyperlink xmlns:r="http://schemas.openxmlformats.org/officeDocument/2006/relationships" ref="I199" r:id="rId397"/>
    <hyperlink xmlns:r="http://schemas.openxmlformats.org/officeDocument/2006/relationships" ref="A200" r:id="rId398"/>
    <hyperlink xmlns:r="http://schemas.openxmlformats.org/officeDocument/2006/relationships" ref="I200" r:id="rId399"/>
    <hyperlink xmlns:r="http://schemas.openxmlformats.org/officeDocument/2006/relationships" ref="A201" r:id="rId400"/>
    <hyperlink xmlns:r="http://schemas.openxmlformats.org/officeDocument/2006/relationships" ref="I201" r:id="rId401"/>
    <hyperlink xmlns:r="http://schemas.openxmlformats.org/officeDocument/2006/relationships" ref="A202" r:id="rId402"/>
    <hyperlink xmlns:r="http://schemas.openxmlformats.org/officeDocument/2006/relationships" ref="I202" r:id="rId403"/>
    <hyperlink xmlns:r="http://schemas.openxmlformats.org/officeDocument/2006/relationships" ref="A203" r:id="rId404"/>
    <hyperlink xmlns:r="http://schemas.openxmlformats.org/officeDocument/2006/relationships" ref="I203" r:id="rId405"/>
    <hyperlink xmlns:r="http://schemas.openxmlformats.org/officeDocument/2006/relationships" ref="A204" r:id="rId406"/>
    <hyperlink xmlns:r="http://schemas.openxmlformats.org/officeDocument/2006/relationships" ref="I204" r:id="rId407"/>
    <hyperlink xmlns:r="http://schemas.openxmlformats.org/officeDocument/2006/relationships" ref="A205" r:id="rId408"/>
    <hyperlink xmlns:r="http://schemas.openxmlformats.org/officeDocument/2006/relationships" ref="I205" r:id="rId409"/>
    <hyperlink xmlns:r="http://schemas.openxmlformats.org/officeDocument/2006/relationships" ref="A206" r:id="rId410"/>
    <hyperlink xmlns:r="http://schemas.openxmlformats.org/officeDocument/2006/relationships" ref="I206" r:id="rId411"/>
    <hyperlink xmlns:r="http://schemas.openxmlformats.org/officeDocument/2006/relationships" ref="A207" r:id="rId412"/>
    <hyperlink xmlns:r="http://schemas.openxmlformats.org/officeDocument/2006/relationships" ref="I207" r:id="rId413"/>
    <hyperlink xmlns:r="http://schemas.openxmlformats.org/officeDocument/2006/relationships" ref="A208" r:id="rId414"/>
    <hyperlink xmlns:r="http://schemas.openxmlformats.org/officeDocument/2006/relationships" ref="I208" r:id="rId415"/>
    <hyperlink xmlns:r="http://schemas.openxmlformats.org/officeDocument/2006/relationships" ref="A209" r:id="rId416"/>
    <hyperlink xmlns:r="http://schemas.openxmlformats.org/officeDocument/2006/relationships" ref="I209" r:id="rId417"/>
    <hyperlink xmlns:r="http://schemas.openxmlformats.org/officeDocument/2006/relationships" ref="A210" r:id="rId418"/>
    <hyperlink xmlns:r="http://schemas.openxmlformats.org/officeDocument/2006/relationships" ref="I210" r:id="rId419"/>
    <hyperlink xmlns:r="http://schemas.openxmlformats.org/officeDocument/2006/relationships" ref="A211" r:id="rId420"/>
    <hyperlink xmlns:r="http://schemas.openxmlformats.org/officeDocument/2006/relationships" ref="I211" r:id="rId421"/>
    <hyperlink xmlns:r="http://schemas.openxmlformats.org/officeDocument/2006/relationships" ref="A212" r:id="rId422"/>
    <hyperlink xmlns:r="http://schemas.openxmlformats.org/officeDocument/2006/relationships" ref="I212" r:id="rId423"/>
    <hyperlink xmlns:r="http://schemas.openxmlformats.org/officeDocument/2006/relationships" ref="A213" r:id="rId424"/>
    <hyperlink xmlns:r="http://schemas.openxmlformats.org/officeDocument/2006/relationships" ref="I213" r:id="rId425"/>
    <hyperlink xmlns:r="http://schemas.openxmlformats.org/officeDocument/2006/relationships" ref="A214" r:id="rId426"/>
    <hyperlink xmlns:r="http://schemas.openxmlformats.org/officeDocument/2006/relationships" ref="I214" r:id="rId427"/>
    <hyperlink xmlns:r="http://schemas.openxmlformats.org/officeDocument/2006/relationships" ref="A215" r:id="rId428"/>
    <hyperlink xmlns:r="http://schemas.openxmlformats.org/officeDocument/2006/relationships" ref="I215" r:id="rId429"/>
    <hyperlink xmlns:r="http://schemas.openxmlformats.org/officeDocument/2006/relationships" ref="A216" r:id="rId430"/>
    <hyperlink xmlns:r="http://schemas.openxmlformats.org/officeDocument/2006/relationships" ref="I216" r:id="rId431"/>
    <hyperlink xmlns:r="http://schemas.openxmlformats.org/officeDocument/2006/relationships" ref="A217" r:id="rId432"/>
    <hyperlink xmlns:r="http://schemas.openxmlformats.org/officeDocument/2006/relationships" ref="I217" r:id="rId433"/>
    <hyperlink xmlns:r="http://schemas.openxmlformats.org/officeDocument/2006/relationships" ref="A218" r:id="rId434"/>
    <hyperlink xmlns:r="http://schemas.openxmlformats.org/officeDocument/2006/relationships" ref="I218" r:id="rId435"/>
    <hyperlink xmlns:r="http://schemas.openxmlformats.org/officeDocument/2006/relationships" ref="A219" r:id="rId436"/>
    <hyperlink xmlns:r="http://schemas.openxmlformats.org/officeDocument/2006/relationships" ref="I219" r:id="rId437"/>
    <hyperlink xmlns:r="http://schemas.openxmlformats.org/officeDocument/2006/relationships" ref="A220" r:id="rId438"/>
    <hyperlink xmlns:r="http://schemas.openxmlformats.org/officeDocument/2006/relationships" ref="I220" r:id="rId439"/>
    <hyperlink xmlns:r="http://schemas.openxmlformats.org/officeDocument/2006/relationships" ref="A221" r:id="rId440"/>
    <hyperlink xmlns:r="http://schemas.openxmlformats.org/officeDocument/2006/relationships" ref="I221" r:id="rId441"/>
    <hyperlink xmlns:r="http://schemas.openxmlformats.org/officeDocument/2006/relationships" ref="A222" r:id="rId442"/>
    <hyperlink xmlns:r="http://schemas.openxmlformats.org/officeDocument/2006/relationships" ref="I222" r:id="rId443"/>
    <hyperlink xmlns:r="http://schemas.openxmlformats.org/officeDocument/2006/relationships" ref="A223" r:id="rId444"/>
    <hyperlink xmlns:r="http://schemas.openxmlformats.org/officeDocument/2006/relationships" ref="I223" r:id="rId445"/>
    <hyperlink xmlns:r="http://schemas.openxmlformats.org/officeDocument/2006/relationships" ref="A224" r:id="rId446"/>
    <hyperlink xmlns:r="http://schemas.openxmlformats.org/officeDocument/2006/relationships" ref="I224" r:id="rId447"/>
    <hyperlink xmlns:r="http://schemas.openxmlformats.org/officeDocument/2006/relationships" ref="A225" r:id="rId448"/>
    <hyperlink xmlns:r="http://schemas.openxmlformats.org/officeDocument/2006/relationships" ref="I225" r:id="rId449"/>
    <hyperlink xmlns:r="http://schemas.openxmlformats.org/officeDocument/2006/relationships" ref="A226" r:id="rId450"/>
    <hyperlink xmlns:r="http://schemas.openxmlformats.org/officeDocument/2006/relationships" ref="I226" r:id="rId451"/>
    <hyperlink xmlns:r="http://schemas.openxmlformats.org/officeDocument/2006/relationships" ref="A227" r:id="rId452"/>
    <hyperlink xmlns:r="http://schemas.openxmlformats.org/officeDocument/2006/relationships" ref="I227" r:id="rId453"/>
    <hyperlink xmlns:r="http://schemas.openxmlformats.org/officeDocument/2006/relationships" ref="A228" r:id="rId454"/>
    <hyperlink xmlns:r="http://schemas.openxmlformats.org/officeDocument/2006/relationships" ref="I228" r:id="rId455"/>
    <hyperlink xmlns:r="http://schemas.openxmlformats.org/officeDocument/2006/relationships" ref="A229" r:id="rId456"/>
    <hyperlink xmlns:r="http://schemas.openxmlformats.org/officeDocument/2006/relationships" ref="I229" r:id="rId457"/>
    <hyperlink xmlns:r="http://schemas.openxmlformats.org/officeDocument/2006/relationships" ref="A230" r:id="rId458"/>
    <hyperlink xmlns:r="http://schemas.openxmlformats.org/officeDocument/2006/relationships" ref="I230" r:id="rId459"/>
    <hyperlink xmlns:r="http://schemas.openxmlformats.org/officeDocument/2006/relationships" ref="A231" r:id="rId460"/>
    <hyperlink xmlns:r="http://schemas.openxmlformats.org/officeDocument/2006/relationships" ref="I231" r:id="rId461"/>
    <hyperlink xmlns:r="http://schemas.openxmlformats.org/officeDocument/2006/relationships" ref="A232" r:id="rId462"/>
    <hyperlink xmlns:r="http://schemas.openxmlformats.org/officeDocument/2006/relationships" ref="I232" r:id="rId463"/>
    <hyperlink xmlns:r="http://schemas.openxmlformats.org/officeDocument/2006/relationships" ref="A233" r:id="rId464"/>
    <hyperlink xmlns:r="http://schemas.openxmlformats.org/officeDocument/2006/relationships" ref="I233" r:id="rId465"/>
    <hyperlink xmlns:r="http://schemas.openxmlformats.org/officeDocument/2006/relationships" ref="A234" r:id="rId466"/>
    <hyperlink xmlns:r="http://schemas.openxmlformats.org/officeDocument/2006/relationships" ref="I234" r:id="rId467"/>
    <hyperlink xmlns:r="http://schemas.openxmlformats.org/officeDocument/2006/relationships" ref="A235" r:id="rId468"/>
    <hyperlink xmlns:r="http://schemas.openxmlformats.org/officeDocument/2006/relationships" ref="I235" r:id="rId469"/>
    <hyperlink xmlns:r="http://schemas.openxmlformats.org/officeDocument/2006/relationships" ref="A236" r:id="rId470"/>
    <hyperlink xmlns:r="http://schemas.openxmlformats.org/officeDocument/2006/relationships" ref="I236" r:id="rId471"/>
    <hyperlink xmlns:r="http://schemas.openxmlformats.org/officeDocument/2006/relationships" ref="A237" r:id="rId472"/>
    <hyperlink xmlns:r="http://schemas.openxmlformats.org/officeDocument/2006/relationships" ref="I237" r:id="rId473"/>
    <hyperlink xmlns:r="http://schemas.openxmlformats.org/officeDocument/2006/relationships" ref="A238" r:id="rId474"/>
    <hyperlink xmlns:r="http://schemas.openxmlformats.org/officeDocument/2006/relationships" ref="I238" r:id="rId475"/>
    <hyperlink xmlns:r="http://schemas.openxmlformats.org/officeDocument/2006/relationships" ref="A239" r:id="rId476"/>
    <hyperlink xmlns:r="http://schemas.openxmlformats.org/officeDocument/2006/relationships" ref="I239" r:id="rId477"/>
    <hyperlink xmlns:r="http://schemas.openxmlformats.org/officeDocument/2006/relationships" ref="A240" r:id="rId478"/>
    <hyperlink xmlns:r="http://schemas.openxmlformats.org/officeDocument/2006/relationships" ref="I240" r:id="rId479"/>
    <hyperlink xmlns:r="http://schemas.openxmlformats.org/officeDocument/2006/relationships" ref="A241" r:id="rId480"/>
    <hyperlink xmlns:r="http://schemas.openxmlformats.org/officeDocument/2006/relationships" ref="I241" r:id="rId481"/>
    <hyperlink xmlns:r="http://schemas.openxmlformats.org/officeDocument/2006/relationships" ref="A242" r:id="rId482"/>
    <hyperlink xmlns:r="http://schemas.openxmlformats.org/officeDocument/2006/relationships" ref="I242" r:id="rId483"/>
    <hyperlink xmlns:r="http://schemas.openxmlformats.org/officeDocument/2006/relationships" ref="A243" r:id="rId484"/>
    <hyperlink xmlns:r="http://schemas.openxmlformats.org/officeDocument/2006/relationships" ref="I243" r:id="rId485"/>
    <hyperlink xmlns:r="http://schemas.openxmlformats.org/officeDocument/2006/relationships" ref="A244" r:id="rId486"/>
    <hyperlink xmlns:r="http://schemas.openxmlformats.org/officeDocument/2006/relationships" ref="I244" r:id="rId487"/>
    <hyperlink xmlns:r="http://schemas.openxmlformats.org/officeDocument/2006/relationships" ref="A245" r:id="rId488"/>
    <hyperlink xmlns:r="http://schemas.openxmlformats.org/officeDocument/2006/relationships" ref="I245" r:id="rId489"/>
    <hyperlink xmlns:r="http://schemas.openxmlformats.org/officeDocument/2006/relationships" ref="A246" r:id="rId490"/>
    <hyperlink xmlns:r="http://schemas.openxmlformats.org/officeDocument/2006/relationships" ref="I246" r:id="rId491"/>
    <hyperlink xmlns:r="http://schemas.openxmlformats.org/officeDocument/2006/relationships" ref="A247" r:id="rId492"/>
    <hyperlink xmlns:r="http://schemas.openxmlformats.org/officeDocument/2006/relationships" ref="I247" r:id="rId493"/>
    <hyperlink xmlns:r="http://schemas.openxmlformats.org/officeDocument/2006/relationships" ref="A248" r:id="rId494"/>
    <hyperlink xmlns:r="http://schemas.openxmlformats.org/officeDocument/2006/relationships" ref="I248" r:id="rId495"/>
    <hyperlink xmlns:r="http://schemas.openxmlformats.org/officeDocument/2006/relationships" ref="A249" r:id="rId496"/>
    <hyperlink xmlns:r="http://schemas.openxmlformats.org/officeDocument/2006/relationships" ref="I249" r:id="rId497"/>
    <hyperlink xmlns:r="http://schemas.openxmlformats.org/officeDocument/2006/relationships" ref="A250" r:id="rId498"/>
    <hyperlink xmlns:r="http://schemas.openxmlformats.org/officeDocument/2006/relationships" ref="I250" r:id="rId499"/>
    <hyperlink xmlns:r="http://schemas.openxmlformats.org/officeDocument/2006/relationships" ref="A251" r:id="rId500"/>
    <hyperlink xmlns:r="http://schemas.openxmlformats.org/officeDocument/2006/relationships" ref="I251" r:id="rId501"/>
    <hyperlink xmlns:r="http://schemas.openxmlformats.org/officeDocument/2006/relationships" ref="A252" r:id="rId502"/>
    <hyperlink xmlns:r="http://schemas.openxmlformats.org/officeDocument/2006/relationships" ref="I252" r:id="rId503"/>
    <hyperlink xmlns:r="http://schemas.openxmlformats.org/officeDocument/2006/relationships" ref="A253" r:id="rId504"/>
    <hyperlink xmlns:r="http://schemas.openxmlformats.org/officeDocument/2006/relationships" ref="I253" r:id="rId505"/>
    <hyperlink xmlns:r="http://schemas.openxmlformats.org/officeDocument/2006/relationships" ref="A254" r:id="rId506"/>
    <hyperlink xmlns:r="http://schemas.openxmlformats.org/officeDocument/2006/relationships" ref="I254" r:id="rId507"/>
    <hyperlink xmlns:r="http://schemas.openxmlformats.org/officeDocument/2006/relationships" ref="A255" r:id="rId508"/>
    <hyperlink xmlns:r="http://schemas.openxmlformats.org/officeDocument/2006/relationships" ref="I255" r:id="rId509"/>
    <hyperlink xmlns:r="http://schemas.openxmlformats.org/officeDocument/2006/relationships" ref="A256" r:id="rId510"/>
    <hyperlink xmlns:r="http://schemas.openxmlformats.org/officeDocument/2006/relationships" ref="I256" r:id="rId511"/>
    <hyperlink xmlns:r="http://schemas.openxmlformats.org/officeDocument/2006/relationships" ref="A257" r:id="rId512"/>
    <hyperlink xmlns:r="http://schemas.openxmlformats.org/officeDocument/2006/relationships" ref="I257" r:id="rId513"/>
    <hyperlink xmlns:r="http://schemas.openxmlformats.org/officeDocument/2006/relationships" ref="A258" r:id="rId514"/>
    <hyperlink xmlns:r="http://schemas.openxmlformats.org/officeDocument/2006/relationships" ref="I258" r:id="rId515"/>
    <hyperlink xmlns:r="http://schemas.openxmlformats.org/officeDocument/2006/relationships" ref="A259" r:id="rId516"/>
    <hyperlink xmlns:r="http://schemas.openxmlformats.org/officeDocument/2006/relationships" ref="I259" r:id="rId517"/>
    <hyperlink xmlns:r="http://schemas.openxmlformats.org/officeDocument/2006/relationships" ref="A260" r:id="rId518"/>
    <hyperlink xmlns:r="http://schemas.openxmlformats.org/officeDocument/2006/relationships" ref="I260" r:id="rId519"/>
    <hyperlink xmlns:r="http://schemas.openxmlformats.org/officeDocument/2006/relationships" ref="A261" r:id="rId520"/>
    <hyperlink xmlns:r="http://schemas.openxmlformats.org/officeDocument/2006/relationships" ref="I261" r:id="rId521"/>
    <hyperlink xmlns:r="http://schemas.openxmlformats.org/officeDocument/2006/relationships" ref="A262" r:id="rId522"/>
    <hyperlink xmlns:r="http://schemas.openxmlformats.org/officeDocument/2006/relationships" ref="I262" r:id="rId523"/>
    <hyperlink xmlns:r="http://schemas.openxmlformats.org/officeDocument/2006/relationships" ref="A263" r:id="rId524"/>
    <hyperlink xmlns:r="http://schemas.openxmlformats.org/officeDocument/2006/relationships" ref="I263" r:id="rId525"/>
    <hyperlink xmlns:r="http://schemas.openxmlformats.org/officeDocument/2006/relationships" ref="A264" r:id="rId526"/>
    <hyperlink xmlns:r="http://schemas.openxmlformats.org/officeDocument/2006/relationships" ref="I264" r:id="rId527"/>
    <hyperlink xmlns:r="http://schemas.openxmlformats.org/officeDocument/2006/relationships" ref="A265" r:id="rId528"/>
    <hyperlink xmlns:r="http://schemas.openxmlformats.org/officeDocument/2006/relationships" ref="I265" r:id="rId529"/>
    <hyperlink xmlns:r="http://schemas.openxmlformats.org/officeDocument/2006/relationships" ref="A266" r:id="rId530"/>
    <hyperlink xmlns:r="http://schemas.openxmlformats.org/officeDocument/2006/relationships" ref="I266" r:id="rId531"/>
    <hyperlink xmlns:r="http://schemas.openxmlformats.org/officeDocument/2006/relationships" ref="A267" r:id="rId532"/>
    <hyperlink xmlns:r="http://schemas.openxmlformats.org/officeDocument/2006/relationships" ref="I267" r:id="rId533"/>
    <hyperlink xmlns:r="http://schemas.openxmlformats.org/officeDocument/2006/relationships" ref="A268" r:id="rId534"/>
    <hyperlink xmlns:r="http://schemas.openxmlformats.org/officeDocument/2006/relationships" ref="I268" r:id="rId535"/>
    <hyperlink xmlns:r="http://schemas.openxmlformats.org/officeDocument/2006/relationships" ref="A269" r:id="rId536"/>
    <hyperlink xmlns:r="http://schemas.openxmlformats.org/officeDocument/2006/relationships" ref="I269" r:id="rId537"/>
    <hyperlink xmlns:r="http://schemas.openxmlformats.org/officeDocument/2006/relationships" ref="A270" r:id="rId538"/>
    <hyperlink xmlns:r="http://schemas.openxmlformats.org/officeDocument/2006/relationships" ref="I270" r:id="rId539"/>
    <hyperlink xmlns:r="http://schemas.openxmlformats.org/officeDocument/2006/relationships" ref="A271" r:id="rId540"/>
    <hyperlink xmlns:r="http://schemas.openxmlformats.org/officeDocument/2006/relationships" ref="I271" r:id="rId541"/>
    <hyperlink xmlns:r="http://schemas.openxmlformats.org/officeDocument/2006/relationships" ref="A272" r:id="rId542"/>
    <hyperlink xmlns:r="http://schemas.openxmlformats.org/officeDocument/2006/relationships" ref="I272" r:id="rId543"/>
    <hyperlink xmlns:r="http://schemas.openxmlformats.org/officeDocument/2006/relationships" ref="A273" r:id="rId544"/>
    <hyperlink xmlns:r="http://schemas.openxmlformats.org/officeDocument/2006/relationships" ref="I273" r:id="rId545"/>
    <hyperlink xmlns:r="http://schemas.openxmlformats.org/officeDocument/2006/relationships" ref="A274" r:id="rId546"/>
    <hyperlink xmlns:r="http://schemas.openxmlformats.org/officeDocument/2006/relationships" ref="I274" r:id="rId547"/>
    <hyperlink xmlns:r="http://schemas.openxmlformats.org/officeDocument/2006/relationships" ref="A275" r:id="rId548"/>
    <hyperlink xmlns:r="http://schemas.openxmlformats.org/officeDocument/2006/relationships" ref="I275" r:id="rId549"/>
    <hyperlink xmlns:r="http://schemas.openxmlformats.org/officeDocument/2006/relationships" ref="A276" r:id="rId550"/>
    <hyperlink xmlns:r="http://schemas.openxmlformats.org/officeDocument/2006/relationships" ref="I276" r:id="rId551"/>
    <hyperlink xmlns:r="http://schemas.openxmlformats.org/officeDocument/2006/relationships" ref="A277" r:id="rId552"/>
    <hyperlink xmlns:r="http://schemas.openxmlformats.org/officeDocument/2006/relationships" ref="I277" r:id="rId553"/>
    <hyperlink xmlns:r="http://schemas.openxmlformats.org/officeDocument/2006/relationships" ref="A278" r:id="rId554"/>
    <hyperlink xmlns:r="http://schemas.openxmlformats.org/officeDocument/2006/relationships" ref="I278" r:id="rId555"/>
    <hyperlink xmlns:r="http://schemas.openxmlformats.org/officeDocument/2006/relationships" ref="A279" r:id="rId556"/>
    <hyperlink xmlns:r="http://schemas.openxmlformats.org/officeDocument/2006/relationships" ref="I279" r:id="rId557"/>
    <hyperlink xmlns:r="http://schemas.openxmlformats.org/officeDocument/2006/relationships" ref="A280" r:id="rId558"/>
    <hyperlink xmlns:r="http://schemas.openxmlformats.org/officeDocument/2006/relationships" ref="I280" r:id="rId559"/>
    <hyperlink xmlns:r="http://schemas.openxmlformats.org/officeDocument/2006/relationships" ref="A281" r:id="rId560"/>
    <hyperlink xmlns:r="http://schemas.openxmlformats.org/officeDocument/2006/relationships" ref="I281" r:id="rId561"/>
    <hyperlink xmlns:r="http://schemas.openxmlformats.org/officeDocument/2006/relationships" ref="A282" r:id="rId562"/>
    <hyperlink xmlns:r="http://schemas.openxmlformats.org/officeDocument/2006/relationships" ref="I282" r:id="rId563"/>
    <hyperlink xmlns:r="http://schemas.openxmlformats.org/officeDocument/2006/relationships" ref="A283" r:id="rId564"/>
    <hyperlink xmlns:r="http://schemas.openxmlformats.org/officeDocument/2006/relationships" ref="I283" r:id="rId565"/>
    <hyperlink xmlns:r="http://schemas.openxmlformats.org/officeDocument/2006/relationships" ref="A284" r:id="rId566"/>
    <hyperlink xmlns:r="http://schemas.openxmlformats.org/officeDocument/2006/relationships" ref="I284" r:id="rId567"/>
    <hyperlink xmlns:r="http://schemas.openxmlformats.org/officeDocument/2006/relationships" ref="A285" r:id="rId568"/>
    <hyperlink xmlns:r="http://schemas.openxmlformats.org/officeDocument/2006/relationships" ref="I285" r:id="rId569"/>
    <hyperlink xmlns:r="http://schemas.openxmlformats.org/officeDocument/2006/relationships" ref="A286" r:id="rId570"/>
    <hyperlink xmlns:r="http://schemas.openxmlformats.org/officeDocument/2006/relationships" ref="I286" r:id="rId571"/>
    <hyperlink xmlns:r="http://schemas.openxmlformats.org/officeDocument/2006/relationships" ref="A287" r:id="rId572"/>
    <hyperlink xmlns:r="http://schemas.openxmlformats.org/officeDocument/2006/relationships" ref="I287" r:id="rId573"/>
    <hyperlink xmlns:r="http://schemas.openxmlformats.org/officeDocument/2006/relationships" ref="A288" r:id="rId574"/>
    <hyperlink xmlns:r="http://schemas.openxmlformats.org/officeDocument/2006/relationships" ref="I288" r:id="rId575"/>
    <hyperlink xmlns:r="http://schemas.openxmlformats.org/officeDocument/2006/relationships" ref="A289" r:id="rId576"/>
    <hyperlink xmlns:r="http://schemas.openxmlformats.org/officeDocument/2006/relationships" ref="I289" r:id="rId577"/>
    <hyperlink xmlns:r="http://schemas.openxmlformats.org/officeDocument/2006/relationships" ref="A290" r:id="rId578"/>
    <hyperlink xmlns:r="http://schemas.openxmlformats.org/officeDocument/2006/relationships" ref="I290" r:id="rId579"/>
    <hyperlink xmlns:r="http://schemas.openxmlformats.org/officeDocument/2006/relationships" ref="A291" r:id="rId580"/>
    <hyperlink xmlns:r="http://schemas.openxmlformats.org/officeDocument/2006/relationships" ref="I291" r:id="rId581"/>
    <hyperlink xmlns:r="http://schemas.openxmlformats.org/officeDocument/2006/relationships" ref="A292" r:id="rId582"/>
    <hyperlink xmlns:r="http://schemas.openxmlformats.org/officeDocument/2006/relationships" ref="I292" r:id="rId583"/>
    <hyperlink xmlns:r="http://schemas.openxmlformats.org/officeDocument/2006/relationships" ref="A293" r:id="rId584"/>
    <hyperlink xmlns:r="http://schemas.openxmlformats.org/officeDocument/2006/relationships" ref="I293" r:id="rId585"/>
    <hyperlink xmlns:r="http://schemas.openxmlformats.org/officeDocument/2006/relationships" ref="A294" r:id="rId586"/>
    <hyperlink xmlns:r="http://schemas.openxmlformats.org/officeDocument/2006/relationships" ref="I294" r:id="rId587"/>
    <hyperlink xmlns:r="http://schemas.openxmlformats.org/officeDocument/2006/relationships" ref="A295" r:id="rId588"/>
    <hyperlink xmlns:r="http://schemas.openxmlformats.org/officeDocument/2006/relationships" ref="I295" r:id="rId589"/>
    <hyperlink xmlns:r="http://schemas.openxmlformats.org/officeDocument/2006/relationships" ref="A296" r:id="rId590"/>
    <hyperlink xmlns:r="http://schemas.openxmlformats.org/officeDocument/2006/relationships" ref="I296" r:id="rId591"/>
    <hyperlink xmlns:r="http://schemas.openxmlformats.org/officeDocument/2006/relationships" ref="A297" r:id="rId592"/>
    <hyperlink xmlns:r="http://schemas.openxmlformats.org/officeDocument/2006/relationships" ref="I297" r:id="rId593"/>
    <hyperlink xmlns:r="http://schemas.openxmlformats.org/officeDocument/2006/relationships" ref="A298" r:id="rId594"/>
    <hyperlink xmlns:r="http://schemas.openxmlformats.org/officeDocument/2006/relationships" ref="I298" r:id="rId595"/>
    <hyperlink xmlns:r="http://schemas.openxmlformats.org/officeDocument/2006/relationships" ref="A299" r:id="rId596"/>
    <hyperlink xmlns:r="http://schemas.openxmlformats.org/officeDocument/2006/relationships" ref="I299" r:id="rId597"/>
    <hyperlink xmlns:r="http://schemas.openxmlformats.org/officeDocument/2006/relationships" ref="A300" r:id="rId598"/>
    <hyperlink xmlns:r="http://schemas.openxmlformats.org/officeDocument/2006/relationships" ref="I300" r:id="rId599"/>
    <hyperlink xmlns:r="http://schemas.openxmlformats.org/officeDocument/2006/relationships" ref="A301" r:id="rId600"/>
    <hyperlink xmlns:r="http://schemas.openxmlformats.org/officeDocument/2006/relationships" ref="I301" r:id="rId601"/>
    <hyperlink xmlns:r="http://schemas.openxmlformats.org/officeDocument/2006/relationships" ref="A302" r:id="rId602"/>
    <hyperlink xmlns:r="http://schemas.openxmlformats.org/officeDocument/2006/relationships" ref="I302" r:id="rId603"/>
    <hyperlink xmlns:r="http://schemas.openxmlformats.org/officeDocument/2006/relationships" ref="A303" r:id="rId604"/>
    <hyperlink xmlns:r="http://schemas.openxmlformats.org/officeDocument/2006/relationships" ref="I303" r:id="rId605"/>
    <hyperlink xmlns:r="http://schemas.openxmlformats.org/officeDocument/2006/relationships" ref="A304" r:id="rId606"/>
    <hyperlink xmlns:r="http://schemas.openxmlformats.org/officeDocument/2006/relationships" ref="I304" r:id="rId607"/>
    <hyperlink xmlns:r="http://schemas.openxmlformats.org/officeDocument/2006/relationships" ref="A305" r:id="rId608"/>
    <hyperlink xmlns:r="http://schemas.openxmlformats.org/officeDocument/2006/relationships" ref="I305" r:id="rId609"/>
    <hyperlink xmlns:r="http://schemas.openxmlformats.org/officeDocument/2006/relationships" ref="A306" r:id="rId610"/>
    <hyperlink xmlns:r="http://schemas.openxmlformats.org/officeDocument/2006/relationships" ref="I306" r:id="rId611"/>
    <hyperlink xmlns:r="http://schemas.openxmlformats.org/officeDocument/2006/relationships" ref="A307" r:id="rId612"/>
    <hyperlink xmlns:r="http://schemas.openxmlformats.org/officeDocument/2006/relationships" ref="I307" r:id="rId613"/>
    <hyperlink xmlns:r="http://schemas.openxmlformats.org/officeDocument/2006/relationships" ref="A308" r:id="rId614"/>
    <hyperlink xmlns:r="http://schemas.openxmlformats.org/officeDocument/2006/relationships" ref="I308" r:id="rId615"/>
    <hyperlink xmlns:r="http://schemas.openxmlformats.org/officeDocument/2006/relationships" ref="A309" r:id="rId616"/>
    <hyperlink xmlns:r="http://schemas.openxmlformats.org/officeDocument/2006/relationships" ref="I309" r:id="rId617"/>
    <hyperlink xmlns:r="http://schemas.openxmlformats.org/officeDocument/2006/relationships" ref="A310" r:id="rId618"/>
    <hyperlink xmlns:r="http://schemas.openxmlformats.org/officeDocument/2006/relationships" ref="I310" r:id="rId619"/>
    <hyperlink xmlns:r="http://schemas.openxmlformats.org/officeDocument/2006/relationships" ref="A311" r:id="rId620"/>
    <hyperlink xmlns:r="http://schemas.openxmlformats.org/officeDocument/2006/relationships" ref="I311" r:id="rId621"/>
    <hyperlink xmlns:r="http://schemas.openxmlformats.org/officeDocument/2006/relationships" ref="A312" r:id="rId622"/>
    <hyperlink xmlns:r="http://schemas.openxmlformats.org/officeDocument/2006/relationships" ref="I312" r:id="rId623"/>
    <hyperlink xmlns:r="http://schemas.openxmlformats.org/officeDocument/2006/relationships" ref="A313" r:id="rId624"/>
    <hyperlink xmlns:r="http://schemas.openxmlformats.org/officeDocument/2006/relationships" ref="I313" r:id="rId625"/>
    <hyperlink xmlns:r="http://schemas.openxmlformats.org/officeDocument/2006/relationships" ref="A314" r:id="rId626"/>
    <hyperlink xmlns:r="http://schemas.openxmlformats.org/officeDocument/2006/relationships" ref="I314" r:id="rId627"/>
    <hyperlink xmlns:r="http://schemas.openxmlformats.org/officeDocument/2006/relationships" ref="A315" r:id="rId628"/>
    <hyperlink xmlns:r="http://schemas.openxmlformats.org/officeDocument/2006/relationships" ref="I315" r:id="rId629"/>
    <hyperlink xmlns:r="http://schemas.openxmlformats.org/officeDocument/2006/relationships" ref="A316" r:id="rId630"/>
    <hyperlink xmlns:r="http://schemas.openxmlformats.org/officeDocument/2006/relationships" ref="I316" r:id="rId631"/>
    <hyperlink xmlns:r="http://schemas.openxmlformats.org/officeDocument/2006/relationships" ref="A317" r:id="rId632"/>
    <hyperlink xmlns:r="http://schemas.openxmlformats.org/officeDocument/2006/relationships" ref="I317" r:id="rId633"/>
    <hyperlink xmlns:r="http://schemas.openxmlformats.org/officeDocument/2006/relationships" ref="A318" r:id="rId634"/>
    <hyperlink xmlns:r="http://schemas.openxmlformats.org/officeDocument/2006/relationships" ref="I318" r:id="rId635"/>
    <hyperlink xmlns:r="http://schemas.openxmlformats.org/officeDocument/2006/relationships" ref="A319" r:id="rId636"/>
    <hyperlink xmlns:r="http://schemas.openxmlformats.org/officeDocument/2006/relationships" ref="I319" r:id="rId637"/>
    <hyperlink xmlns:r="http://schemas.openxmlformats.org/officeDocument/2006/relationships" ref="A320" r:id="rId638"/>
    <hyperlink xmlns:r="http://schemas.openxmlformats.org/officeDocument/2006/relationships" ref="I320" r:id="rId639"/>
    <hyperlink xmlns:r="http://schemas.openxmlformats.org/officeDocument/2006/relationships" ref="A321" r:id="rId640"/>
    <hyperlink xmlns:r="http://schemas.openxmlformats.org/officeDocument/2006/relationships" ref="I321" r:id="rId641"/>
    <hyperlink xmlns:r="http://schemas.openxmlformats.org/officeDocument/2006/relationships" ref="A322" r:id="rId642"/>
    <hyperlink xmlns:r="http://schemas.openxmlformats.org/officeDocument/2006/relationships" ref="I322" r:id="rId643"/>
    <hyperlink xmlns:r="http://schemas.openxmlformats.org/officeDocument/2006/relationships" ref="A323" r:id="rId644"/>
    <hyperlink xmlns:r="http://schemas.openxmlformats.org/officeDocument/2006/relationships" ref="I323" r:id="rId645"/>
    <hyperlink xmlns:r="http://schemas.openxmlformats.org/officeDocument/2006/relationships" ref="A324" r:id="rId646"/>
    <hyperlink xmlns:r="http://schemas.openxmlformats.org/officeDocument/2006/relationships" ref="I324" r:id="rId647"/>
    <hyperlink xmlns:r="http://schemas.openxmlformats.org/officeDocument/2006/relationships" ref="A325" r:id="rId648"/>
    <hyperlink xmlns:r="http://schemas.openxmlformats.org/officeDocument/2006/relationships" ref="I325" r:id="rId649"/>
    <hyperlink xmlns:r="http://schemas.openxmlformats.org/officeDocument/2006/relationships" ref="A326" r:id="rId650"/>
    <hyperlink xmlns:r="http://schemas.openxmlformats.org/officeDocument/2006/relationships" ref="I326" r:id="rId651"/>
    <hyperlink xmlns:r="http://schemas.openxmlformats.org/officeDocument/2006/relationships" ref="A327" r:id="rId652"/>
    <hyperlink xmlns:r="http://schemas.openxmlformats.org/officeDocument/2006/relationships" ref="I327" r:id="rId653"/>
    <hyperlink xmlns:r="http://schemas.openxmlformats.org/officeDocument/2006/relationships" ref="A328" r:id="rId654"/>
    <hyperlink xmlns:r="http://schemas.openxmlformats.org/officeDocument/2006/relationships" ref="I328" r:id="rId655"/>
    <hyperlink xmlns:r="http://schemas.openxmlformats.org/officeDocument/2006/relationships" ref="A329" r:id="rId656"/>
    <hyperlink xmlns:r="http://schemas.openxmlformats.org/officeDocument/2006/relationships" ref="I329" r:id="rId657"/>
    <hyperlink xmlns:r="http://schemas.openxmlformats.org/officeDocument/2006/relationships" ref="A330" r:id="rId658"/>
    <hyperlink xmlns:r="http://schemas.openxmlformats.org/officeDocument/2006/relationships" ref="I330" r:id="rId659"/>
    <hyperlink xmlns:r="http://schemas.openxmlformats.org/officeDocument/2006/relationships" ref="A331" r:id="rId660"/>
    <hyperlink xmlns:r="http://schemas.openxmlformats.org/officeDocument/2006/relationships" ref="I331" r:id="rId661"/>
    <hyperlink xmlns:r="http://schemas.openxmlformats.org/officeDocument/2006/relationships" ref="A332" r:id="rId662"/>
    <hyperlink xmlns:r="http://schemas.openxmlformats.org/officeDocument/2006/relationships" ref="I332" r:id="rId663"/>
    <hyperlink xmlns:r="http://schemas.openxmlformats.org/officeDocument/2006/relationships" ref="A333" r:id="rId664"/>
    <hyperlink xmlns:r="http://schemas.openxmlformats.org/officeDocument/2006/relationships" ref="I333" r:id="rId665"/>
    <hyperlink xmlns:r="http://schemas.openxmlformats.org/officeDocument/2006/relationships" ref="A334" r:id="rId666"/>
    <hyperlink xmlns:r="http://schemas.openxmlformats.org/officeDocument/2006/relationships" ref="I334" r:id="rId667"/>
    <hyperlink xmlns:r="http://schemas.openxmlformats.org/officeDocument/2006/relationships" ref="A335" r:id="rId668"/>
    <hyperlink xmlns:r="http://schemas.openxmlformats.org/officeDocument/2006/relationships" ref="I335" r:id="rId669"/>
    <hyperlink xmlns:r="http://schemas.openxmlformats.org/officeDocument/2006/relationships" ref="A336" r:id="rId670"/>
    <hyperlink xmlns:r="http://schemas.openxmlformats.org/officeDocument/2006/relationships" ref="I336" r:id="rId671"/>
    <hyperlink xmlns:r="http://schemas.openxmlformats.org/officeDocument/2006/relationships" ref="A337" r:id="rId672"/>
    <hyperlink xmlns:r="http://schemas.openxmlformats.org/officeDocument/2006/relationships" ref="I337" r:id="rId673"/>
    <hyperlink xmlns:r="http://schemas.openxmlformats.org/officeDocument/2006/relationships" ref="A338" r:id="rId674"/>
    <hyperlink xmlns:r="http://schemas.openxmlformats.org/officeDocument/2006/relationships" ref="I338" r:id="rId675"/>
    <hyperlink xmlns:r="http://schemas.openxmlformats.org/officeDocument/2006/relationships" ref="A339" r:id="rId676"/>
    <hyperlink xmlns:r="http://schemas.openxmlformats.org/officeDocument/2006/relationships" ref="I339" r:id="rId677"/>
    <hyperlink xmlns:r="http://schemas.openxmlformats.org/officeDocument/2006/relationships" ref="A340" r:id="rId678"/>
    <hyperlink xmlns:r="http://schemas.openxmlformats.org/officeDocument/2006/relationships" ref="I340" r:id="rId679"/>
    <hyperlink xmlns:r="http://schemas.openxmlformats.org/officeDocument/2006/relationships" ref="A341" r:id="rId680"/>
    <hyperlink xmlns:r="http://schemas.openxmlformats.org/officeDocument/2006/relationships" ref="I341" r:id="rId681"/>
    <hyperlink xmlns:r="http://schemas.openxmlformats.org/officeDocument/2006/relationships" ref="A342" r:id="rId682"/>
    <hyperlink xmlns:r="http://schemas.openxmlformats.org/officeDocument/2006/relationships" ref="I342" r:id="rId683"/>
    <hyperlink xmlns:r="http://schemas.openxmlformats.org/officeDocument/2006/relationships" ref="A343" r:id="rId684"/>
    <hyperlink xmlns:r="http://schemas.openxmlformats.org/officeDocument/2006/relationships" ref="I343" r:id="rId685"/>
    <hyperlink xmlns:r="http://schemas.openxmlformats.org/officeDocument/2006/relationships" ref="A344" r:id="rId686"/>
    <hyperlink xmlns:r="http://schemas.openxmlformats.org/officeDocument/2006/relationships" ref="I344" r:id="rId687"/>
    <hyperlink xmlns:r="http://schemas.openxmlformats.org/officeDocument/2006/relationships" ref="A345" r:id="rId688"/>
    <hyperlink xmlns:r="http://schemas.openxmlformats.org/officeDocument/2006/relationships" ref="I345" r:id="rId689"/>
    <hyperlink xmlns:r="http://schemas.openxmlformats.org/officeDocument/2006/relationships" ref="A346" r:id="rId690"/>
    <hyperlink xmlns:r="http://schemas.openxmlformats.org/officeDocument/2006/relationships" ref="I346" r:id="rId691"/>
    <hyperlink xmlns:r="http://schemas.openxmlformats.org/officeDocument/2006/relationships" ref="A347" r:id="rId692"/>
    <hyperlink xmlns:r="http://schemas.openxmlformats.org/officeDocument/2006/relationships" ref="I347" r:id="rId693"/>
    <hyperlink xmlns:r="http://schemas.openxmlformats.org/officeDocument/2006/relationships" ref="A348" r:id="rId694"/>
    <hyperlink xmlns:r="http://schemas.openxmlformats.org/officeDocument/2006/relationships" ref="I348" r:id="rId695"/>
    <hyperlink xmlns:r="http://schemas.openxmlformats.org/officeDocument/2006/relationships" ref="A349" r:id="rId696"/>
    <hyperlink xmlns:r="http://schemas.openxmlformats.org/officeDocument/2006/relationships" ref="I349" r:id="rId697"/>
    <hyperlink xmlns:r="http://schemas.openxmlformats.org/officeDocument/2006/relationships" ref="A350" r:id="rId698"/>
    <hyperlink xmlns:r="http://schemas.openxmlformats.org/officeDocument/2006/relationships" ref="I350" r:id="rId699"/>
    <hyperlink xmlns:r="http://schemas.openxmlformats.org/officeDocument/2006/relationships" ref="A351" r:id="rId700"/>
    <hyperlink xmlns:r="http://schemas.openxmlformats.org/officeDocument/2006/relationships" ref="I351" r:id="rId701"/>
    <hyperlink xmlns:r="http://schemas.openxmlformats.org/officeDocument/2006/relationships" ref="A352" r:id="rId702"/>
    <hyperlink xmlns:r="http://schemas.openxmlformats.org/officeDocument/2006/relationships" ref="I352" r:id="rId703"/>
    <hyperlink xmlns:r="http://schemas.openxmlformats.org/officeDocument/2006/relationships" ref="A353" r:id="rId704"/>
    <hyperlink xmlns:r="http://schemas.openxmlformats.org/officeDocument/2006/relationships" ref="I353" r:id="rId705"/>
    <hyperlink xmlns:r="http://schemas.openxmlformats.org/officeDocument/2006/relationships" ref="A354" r:id="rId706"/>
    <hyperlink xmlns:r="http://schemas.openxmlformats.org/officeDocument/2006/relationships" ref="I354" r:id="rId707"/>
    <hyperlink xmlns:r="http://schemas.openxmlformats.org/officeDocument/2006/relationships" ref="A355" r:id="rId708"/>
    <hyperlink xmlns:r="http://schemas.openxmlformats.org/officeDocument/2006/relationships" ref="I355" r:id="rId709"/>
    <hyperlink xmlns:r="http://schemas.openxmlformats.org/officeDocument/2006/relationships" ref="A356" r:id="rId710"/>
    <hyperlink xmlns:r="http://schemas.openxmlformats.org/officeDocument/2006/relationships" ref="I356" r:id="rId711"/>
    <hyperlink xmlns:r="http://schemas.openxmlformats.org/officeDocument/2006/relationships" ref="A357" r:id="rId712"/>
    <hyperlink xmlns:r="http://schemas.openxmlformats.org/officeDocument/2006/relationships" ref="I357" r:id="rId713"/>
    <hyperlink xmlns:r="http://schemas.openxmlformats.org/officeDocument/2006/relationships" ref="A358" r:id="rId714"/>
    <hyperlink xmlns:r="http://schemas.openxmlformats.org/officeDocument/2006/relationships" ref="I358" r:id="rId715"/>
    <hyperlink xmlns:r="http://schemas.openxmlformats.org/officeDocument/2006/relationships" ref="A359" r:id="rId716"/>
    <hyperlink xmlns:r="http://schemas.openxmlformats.org/officeDocument/2006/relationships" ref="I359" r:id="rId717"/>
    <hyperlink xmlns:r="http://schemas.openxmlformats.org/officeDocument/2006/relationships" ref="A360" r:id="rId718"/>
    <hyperlink xmlns:r="http://schemas.openxmlformats.org/officeDocument/2006/relationships" ref="I360" r:id="rId719"/>
    <hyperlink xmlns:r="http://schemas.openxmlformats.org/officeDocument/2006/relationships" ref="A361" r:id="rId720"/>
    <hyperlink xmlns:r="http://schemas.openxmlformats.org/officeDocument/2006/relationships" ref="I361" r:id="rId721"/>
    <hyperlink xmlns:r="http://schemas.openxmlformats.org/officeDocument/2006/relationships" ref="A362" r:id="rId722"/>
    <hyperlink xmlns:r="http://schemas.openxmlformats.org/officeDocument/2006/relationships" ref="I362" r:id="rId723"/>
    <hyperlink xmlns:r="http://schemas.openxmlformats.org/officeDocument/2006/relationships" ref="A363" r:id="rId724"/>
    <hyperlink xmlns:r="http://schemas.openxmlformats.org/officeDocument/2006/relationships" ref="I363" r:id="rId725"/>
    <hyperlink xmlns:r="http://schemas.openxmlformats.org/officeDocument/2006/relationships" ref="A364" r:id="rId726"/>
    <hyperlink xmlns:r="http://schemas.openxmlformats.org/officeDocument/2006/relationships" ref="I364" r:id="rId727"/>
    <hyperlink xmlns:r="http://schemas.openxmlformats.org/officeDocument/2006/relationships" ref="A365" r:id="rId728"/>
    <hyperlink xmlns:r="http://schemas.openxmlformats.org/officeDocument/2006/relationships" ref="I365" r:id="rId729"/>
    <hyperlink xmlns:r="http://schemas.openxmlformats.org/officeDocument/2006/relationships" ref="A366" r:id="rId730"/>
    <hyperlink xmlns:r="http://schemas.openxmlformats.org/officeDocument/2006/relationships" ref="I366" r:id="rId731"/>
    <hyperlink xmlns:r="http://schemas.openxmlformats.org/officeDocument/2006/relationships" ref="A367" r:id="rId732"/>
    <hyperlink xmlns:r="http://schemas.openxmlformats.org/officeDocument/2006/relationships" ref="I367" r:id="rId733"/>
    <hyperlink xmlns:r="http://schemas.openxmlformats.org/officeDocument/2006/relationships" ref="A368" r:id="rId734"/>
    <hyperlink xmlns:r="http://schemas.openxmlformats.org/officeDocument/2006/relationships" ref="I368" r:id="rId735"/>
    <hyperlink xmlns:r="http://schemas.openxmlformats.org/officeDocument/2006/relationships" ref="A369" r:id="rId736"/>
    <hyperlink xmlns:r="http://schemas.openxmlformats.org/officeDocument/2006/relationships" ref="I369" r:id="rId737"/>
    <hyperlink xmlns:r="http://schemas.openxmlformats.org/officeDocument/2006/relationships" ref="A370" r:id="rId738"/>
    <hyperlink xmlns:r="http://schemas.openxmlformats.org/officeDocument/2006/relationships" ref="I370" r:id="rId739"/>
    <hyperlink xmlns:r="http://schemas.openxmlformats.org/officeDocument/2006/relationships" ref="A371" r:id="rId740"/>
    <hyperlink xmlns:r="http://schemas.openxmlformats.org/officeDocument/2006/relationships" ref="I371" r:id="rId741"/>
    <hyperlink xmlns:r="http://schemas.openxmlformats.org/officeDocument/2006/relationships" ref="A372" r:id="rId742"/>
    <hyperlink xmlns:r="http://schemas.openxmlformats.org/officeDocument/2006/relationships" ref="I372" r:id="rId743"/>
    <hyperlink xmlns:r="http://schemas.openxmlformats.org/officeDocument/2006/relationships" ref="A373" r:id="rId744"/>
    <hyperlink xmlns:r="http://schemas.openxmlformats.org/officeDocument/2006/relationships" ref="I373" r:id="rId745"/>
    <hyperlink xmlns:r="http://schemas.openxmlformats.org/officeDocument/2006/relationships" ref="A374" r:id="rId746"/>
    <hyperlink xmlns:r="http://schemas.openxmlformats.org/officeDocument/2006/relationships" ref="I374" r:id="rId747"/>
    <hyperlink xmlns:r="http://schemas.openxmlformats.org/officeDocument/2006/relationships" ref="A375" r:id="rId748"/>
    <hyperlink xmlns:r="http://schemas.openxmlformats.org/officeDocument/2006/relationships" ref="I375" r:id="rId749"/>
    <hyperlink xmlns:r="http://schemas.openxmlformats.org/officeDocument/2006/relationships" ref="A376" r:id="rId750"/>
    <hyperlink xmlns:r="http://schemas.openxmlformats.org/officeDocument/2006/relationships" ref="I376" r:id="rId751"/>
    <hyperlink xmlns:r="http://schemas.openxmlformats.org/officeDocument/2006/relationships" ref="A377" r:id="rId752"/>
    <hyperlink xmlns:r="http://schemas.openxmlformats.org/officeDocument/2006/relationships" ref="I377" r:id="rId753"/>
    <hyperlink xmlns:r="http://schemas.openxmlformats.org/officeDocument/2006/relationships" ref="A378" r:id="rId754"/>
    <hyperlink xmlns:r="http://schemas.openxmlformats.org/officeDocument/2006/relationships" ref="I378" r:id="rId755"/>
    <hyperlink xmlns:r="http://schemas.openxmlformats.org/officeDocument/2006/relationships" ref="A379" r:id="rId756"/>
    <hyperlink xmlns:r="http://schemas.openxmlformats.org/officeDocument/2006/relationships" ref="I379" r:id="rId757"/>
    <hyperlink xmlns:r="http://schemas.openxmlformats.org/officeDocument/2006/relationships" ref="A380" r:id="rId758"/>
    <hyperlink xmlns:r="http://schemas.openxmlformats.org/officeDocument/2006/relationships" ref="I380" r:id="rId759"/>
    <hyperlink xmlns:r="http://schemas.openxmlformats.org/officeDocument/2006/relationships" ref="A381" r:id="rId760"/>
    <hyperlink xmlns:r="http://schemas.openxmlformats.org/officeDocument/2006/relationships" ref="I381" r:id="rId761"/>
    <hyperlink xmlns:r="http://schemas.openxmlformats.org/officeDocument/2006/relationships" ref="A382" r:id="rId762"/>
    <hyperlink xmlns:r="http://schemas.openxmlformats.org/officeDocument/2006/relationships" ref="I382" r:id="rId763"/>
    <hyperlink xmlns:r="http://schemas.openxmlformats.org/officeDocument/2006/relationships" ref="A383" r:id="rId764"/>
    <hyperlink xmlns:r="http://schemas.openxmlformats.org/officeDocument/2006/relationships" ref="I383" r:id="rId765"/>
    <hyperlink xmlns:r="http://schemas.openxmlformats.org/officeDocument/2006/relationships" ref="A384" r:id="rId766"/>
    <hyperlink xmlns:r="http://schemas.openxmlformats.org/officeDocument/2006/relationships" ref="I384" r:id="rId767"/>
    <hyperlink xmlns:r="http://schemas.openxmlformats.org/officeDocument/2006/relationships" ref="A385" r:id="rId768"/>
    <hyperlink xmlns:r="http://schemas.openxmlformats.org/officeDocument/2006/relationships" ref="I385" r:id="rId769"/>
    <hyperlink xmlns:r="http://schemas.openxmlformats.org/officeDocument/2006/relationships" ref="A386" r:id="rId770"/>
    <hyperlink xmlns:r="http://schemas.openxmlformats.org/officeDocument/2006/relationships" ref="I386" r:id="rId771"/>
    <hyperlink xmlns:r="http://schemas.openxmlformats.org/officeDocument/2006/relationships" ref="A387" r:id="rId772"/>
    <hyperlink xmlns:r="http://schemas.openxmlformats.org/officeDocument/2006/relationships" ref="I387" r:id="rId773"/>
    <hyperlink xmlns:r="http://schemas.openxmlformats.org/officeDocument/2006/relationships" ref="A388" r:id="rId774"/>
    <hyperlink xmlns:r="http://schemas.openxmlformats.org/officeDocument/2006/relationships" ref="I388" r:id="rId775"/>
    <hyperlink xmlns:r="http://schemas.openxmlformats.org/officeDocument/2006/relationships" ref="A389" r:id="rId776"/>
    <hyperlink xmlns:r="http://schemas.openxmlformats.org/officeDocument/2006/relationships" ref="I389" r:id="rId777"/>
    <hyperlink xmlns:r="http://schemas.openxmlformats.org/officeDocument/2006/relationships" ref="A390" r:id="rId778"/>
    <hyperlink xmlns:r="http://schemas.openxmlformats.org/officeDocument/2006/relationships" ref="I390" r:id="rId779"/>
    <hyperlink xmlns:r="http://schemas.openxmlformats.org/officeDocument/2006/relationships" ref="A391" r:id="rId780"/>
    <hyperlink xmlns:r="http://schemas.openxmlformats.org/officeDocument/2006/relationships" ref="I391" r:id="rId781"/>
    <hyperlink xmlns:r="http://schemas.openxmlformats.org/officeDocument/2006/relationships" ref="A392" r:id="rId782"/>
    <hyperlink xmlns:r="http://schemas.openxmlformats.org/officeDocument/2006/relationships" ref="I392" r:id="rId783"/>
    <hyperlink xmlns:r="http://schemas.openxmlformats.org/officeDocument/2006/relationships" ref="A393" r:id="rId784"/>
    <hyperlink xmlns:r="http://schemas.openxmlformats.org/officeDocument/2006/relationships" ref="I393" r:id="rId785"/>
    <hyperlink xmlns:r="http://schemas.openxmlformats.org/officeDocument/2006/relationships" ref="A394" r:id="rId786"/>
    <hyperlink xmlns:r="http://schemas.openxmlformats.org/officeDocument/2006/relationships" ref="I394" r:id="rId787"/>
    <hyperlink xmlns:r="http://schemas.openxmlformats.org/officeDocument/2006/relationships" ref="A395" r:id="rId788"/>
    <hyperlink xmlns:r="http://schemas.openxmlformats.org/officeDocument/2006/relationships" ref="I395" r:id="rId789"/>
    <hyperlink xmlns:r="http://schemas.openxmlformats.org/officeDocument/2006/relationships" ref="A396" r:id="rId790"/>
    <hyperlink xmlns:r="http://schemas.openxmlformats.org/officeDocument/2006/relationships" ref="I396" r:id="rId791"/>
    <hyperlink xmlns:r="http://schemas.openxmlformats.org/officeDocument/2006/relationships" ref="A397" r:id="rId792"/>
    <hyperlink xmlns:r="http://schemas.openxmlformats.org/officeDocument/2006/relationships" ref="I397" r:id="rId793"/>
    <hyperlink xmlns:r="http://schemas.openxmlformats.org/officeDocument/2006/relationships" ref="A398" r:id="rId794"/>
    <hyperlink xmlns:r="http://schemas.openxmlformats.org/officeDocument/2006/relationships" ref="I398" r:id="rId795"/>
    <hyperlink xmlns:r="http://schemas.openxmlformats.org/officeDocument/2006/relationships" ref="A399" r:id="rId796"/>
    <hyperlink xmlns:r="http://schemas.openxmlformats.org/officeDocument/2006/relationships" ref="I399" r:id="rId797"/>
    <hyperlink xmlns:r="http://schemas.openxmlformats.org/officeDocument/2006/relationships" ref="A400" r:id="rId798"/>
    <hyperlink xmlns:r="http://schemas.openxmlformats.org/officeDocument/2006/relationships" ref="I400" r:id="rId799"/>
    <hyperlink xmlns:r="http://schemas.openxmlformats.org/officeDocument/2006/relationships" ref="A401" r:id="rId800"/>
    <hyperlink xmlns:r="http://schemas.openxmlformats.org/officeDocument/2006/relationships" ref="I401" r:id="rId801"/>
    <hyperlink xmlns:r="http://schemas.openxmlformats.org/officeDocument/2006/relationships" ref="A402" r:id="rId802"/>
    <hyperlink xmlns:r="http://schemas.openxmlformats.org/officeDocument/2006/relationships" ref="I402" r:id="rId803"/>
    <hyperlink xmlns:r="http://schemas.openxmlformats.org/officeDocument/2006/relationships" ref="A403" r:id="rId804"/>
    <hyperlink xmlns:r="http://schemas.openxmlformats.org/officeDocument/2006/relationships" ref="I403" r:id="rId805"/>
    <hyperlink xmlns:r="http://schemas.openxmlformats.org/officeDocument/2006/relationships" ref="A404" r:id="rId806"/>
    <hyperlink xmlns:r="http://schemas.openxmlformats.org/officeDocument/2006/relationships" ref="I404" r:id="rId807"/>
    <hyperlink xmlns:r="http://schemas.openxmlformats.org/officeDocument/2006/relationships" ref="A405" r:id="rId808"/>
    <hyperlink xmlns:r="http://schemas.openxmlformats.org/officeDocument/2006/relationships" ref="I405" r:id="rId809"/>
    <hyperlink xmlns:r="http://schemas.openxmlformats.org/officeDocument/2006/relationships" ref="A406" r:id="rId810"/>
    <hyperlink xmlns:r="http://schemas.openxmlformats.org/officeDocument/2006/relationships" ref="I406" r:id="rId811"/>
    <hyperlink xmlns:r="http://schemas.openxmlformats.org/officeDocument/2006/relationships" ref="A407" r:id="rId812"/>
    <hyperlink xmlns:r="http://schemas.openxmlformats.org/officeDocument/2006/relationships" ref="I407" r:id="rId813"/>
    <hyperlink xmlns:r="http://schemas.openxmlformats.org/officeDocument/2006/relationships" ref="A408" r:id="rId814"/>
    <hyperlink xmlns:r="http://schemas.openxmlformats.org/officeDocument/2006/relationships" ref="I408" r:id="rId815"/>
    <hyperlink xmlns:r="http://schemas.openxmlformats.org/officeDocument/2006/relationships" ref="A409" r:id="rId816"/>
    <hyperlink xmlns:r="http://schemas.openxmlformats.org/officeDocument/2006/relationships" ref="I409" r:id="rId817"/>
    <hyperlink xmlns:r="http://schemas.openxmlformats.org/officeDocument/2006/relationships" ref="A410" r:id="rId818"/>
    <hyperlink xmlns:r="http://schemas.openxmlformats.org/officeDocument/2006/relationships" ref="I410" r:id="rId819"/>
    <hyperlink xmlns:r="http://schemas.openxmlformats.org/officeDocument/2006/relationships" ref="A411" r:id="rId820"/>
    <hyperlink xmlns:r="http://schemas.openxmlformats.org/officeDocument/2006/relationships" ref="I411" r:id="rId821"/>
    <hyperlink xmlns:r="http://schemas.openxmlformats.org/officeDocument/2006/relationships" ref="A412" r:id="rId822"/>
    <hyperlink xmlns:r="http://schemas.openxmlformats.org/officeDocument/2006/relationships" ref="I412" r:id="rId823"/>
    <hyperlink xmlns:r="http://schemas.openxmlformats.org/officeDocument/2006/relationships" ref="A413" r:id="rId824"/>
    <hyperlink xmlns:r="http://schemas.openxmlformats.org/officeDocument/2006/relationships" ref="I413" r:id="rId825"/>
    <hyperlink xmlns:r="http://schemas.openxmlformats.org/officeDocument/2006/relationships" ref="A414" r:id="rId826"/>
    <hyperlink xmlns:r="http://schemas.openxmlformats.org/officeDocument/2006/relationships" ref="I414" r:id="rId827"/>
    <hyperlink xmlns:r="http://schemas.openxmlformats.org/officeDocument/2006/relationships" ref="A415" r:id="rId828"/>
    <hyperlink xmlns:r="http://schemas.openxmlformats.org/officeDocument/2006/relationships" ref="I415" r:id="rId829"/>
    <hyperlink xmlns:r="http://schemas.openxmlformats.org/officeDocument/2006/relationships" ref="A416" r:id="rId830"/>
    <hyperlink xmlns:r="http://schemas.openxmlformats.org/officeDocument/2006/relationships" ref="I416" r:id="rId831"/>
    <hyperlink xmlns:r="http://schemas.openxmlformats.org/officeDocument/2006/relationships" ref="A417" r:id="rId832"/>
    <hyperlink xmlns:r="http://schemas.openxmlformats.org/officeDocument/2006/relationships" ref="I417" r:id="rId833"/>
    <hyperlink xmlns:r="http://schemas.openxmlformats.org/officeDocument/2006/relationships" ref="A418" r:id="rId834"/>
    <hyperlink xmlns:r="http://schemas.openxmlformats.org/officeDocument/2006/relationships" ref="I418" r:id="rId835"/>
    <hyperlink xmlns:r="http://schemas.openxmlformats.org/officeDocument/2006/relationships" ref="A419" r:id="rId836"/>
    <hyperlink xmlns:r="http://schemas.openxmlformats.org/officeDocument/2006/relationships" ref="I419" r:id="rId837"/>
    <hyperlink xmlns:r="http://schemas.openxmlformats.org/officeDocument/2006/relationships" ref="A420" r:id="rId838"/>
    <hyperlink xmlns:r="http://schemas.openxmlformats.org/officeDocument/2006/relationships" ref="I420" r:id="rId839"/>
    <hyperlink xmlns:r="http://schemas.openxmlformats.org/officeDocument/2006/relationships" ref="A421" r:id="rId840"/>
    <hyperlink xmlns:r="http://schemas.openxmlformats.org/officeDocument/2006/relationships" ref="I421" r:id="rId841"/>
    <hyperlink xmlns:r="http://schemas.openxmlformats.org/officeDocument/2006/relationships" ref="A422" r:id="rId842"/>
    <hyperlink xmlns:r="http://schemas.openxmlformats.org/officeDocument/2006/relationships" ref="I422" r:id="rId843"/>
    <hyperlink xmlns:r="http://schemas.openxmlformats.org/officeDocument/2006/relationships" ref="A423" r:id="rId844"/>
    <hyperlink xmlns:r="http://schemas.openxmlformats.org/officeDocument/2006/relationships" ref="I423" r:id="rId845"/>
    <hyperlink xmlns:r="http://schemas.openxmlformats.org/officeDocument/2006/relationships" ref="A424" r:id="rId846"/>
    <hyperlink xmlns:r="http://schemas.openxmlformats.org/officeDocument/2006/relationships" ref="I424" r:id="rId847"/>
    <hyperlink xmlns:r="http://schemas.openxmlformats.org/officeDocument/2006/relationships" ref="A425" r:id="rId848"/>
    <hyperlink xmlns:r="http://schemas.openxmlformats.org/officeDocument/2006/relationships" ref="I425" r:id="rId849"/>
    <hyperlink xmlns:r="http://schemas.openxmlformats.org/officeDocument/2006/relationships" ref="A426" r:id="rId850"/>
    <hyperlink xmlns:r="http://schemas.openxmlformats.org/officeDocument/2006/relationships" ref="I426" r:id="rId851"/>
    <hyperlink xmlns:r="http://schemas.openxmlformats.org/officeDocument/2006/relationships" ref="A427" r:id="rId852"/>
    <hyperlink xmlns:r="http://schemas.openxmlformats.org/officeDocument/2006/relationships" ref="I427" r:id="rId853"/>
    <hyperlink xmlns:r="http://schemas.openxmlformats.org/officeDocument/2006/relationships" ref="A428" r:id="rId854"/>
    <hyperlink xmlns:r="http://schemas.openxmlformats.org/officeDocument/2006/relationships" ref="I428" r:id="rId855"/>
    <hyperlink xmlns:r="http://schemas.openxmlformats.org/officeDocument/2006/relationships" ref="A429" r:id="rId856"/>
    <hyperlink xmlns:r="http://schemas.openxmlformats.org/officeDocument/2006/relationships" ref="I429" r:id="rId857"/>
    <hyperlink xmlns:r="http://schemas.openxmlformats.org/officeDocument/2006/relationships" ref="A430" r:id="rId858"/>
    <hyperlink xmlns:r="http://schemas.openxmlformats.org/officeDocument/2006/relationships" ref="I430" r:id="rId859"/>
    <hyperlink xmlns:r="http://schemas.openxmlformats.org/officeDocument/2006/relationships" ref="A431" r:id="rId860"/>
    <hyperlink xmlns:r="http://schemas.openxmlformats.org/officeDocument/2006/relationships" ref="I431" r:id="rId861"/>
    <hyperlink xmlns:r="http://schemas.openxmlformats.org/officeDocument/2006/relationships" ref="A432" r:id="rId862"/>
    <hyperlink xmlns:r="http://schemas.openxmlformats.org/officeDocument/2006/relationships" ref="I432" r:id="rId863"/>
    <hyperlink xmlns:r="http://schemas.openxmlformats.org/officeDocument/2006/relationships" ref="A433" r:id="rId864"/>
    <hyperlink xmlns:r="http://schemas.openxmlformats.org/officeDocument/2006/relationships" ref="I433" r:id="rId865"/>
    <hyperlink xmlns:r="http://schemas.openxmlformats.org/officeDocument/2006/relationships" ref="A434" r:id="rId866"/>
    <hyperlink xmlns:r="http://schemas.openxmlformats.org/officeDocument/2006/relationships" ref="I434" r:id="rId867"/>
    <hyperlink xmlns:r="http://schemas.openxmlformats.org/officeDocument/2006/relationships" ref="A435" r:id="rId868"/>
    <hyperlink xmlns:r="http://schemas.openxmlformats.org/officeDocument/2006/relationships" ref="I435" r:id="rId869"/>
    <hyperlink xmlns:r="http://schemas.openxmlformats.org/officeDocument/2006/relationships" ref="A436" r:id="rId870"/>
    <hyperlink xmlns:r="http://schemas.openxmlformats.org/officeDocument/2006/relationships" ref="I436" r:id="rId871"/>
    <hyperlink xmlns:r="http://schemas.openxmlformats.org/officeDocument/2006/relationships" ref="A437" r:id="rId872"/>
    <hyperlink xmlns:r="http://schemas.openxmlformats.org/officeDocument/2006/relationships" ref="I437" r:id="rId873"/>
    <hyperlink xmlns:r="http://schemas.openxmlformats.org/officeDocument/2006/relationships" ref="A438" r:id="rId874"/>
    <hyperlink xmlns:r="http://schemas.openxmlformats.org/officeDocument/2006/relationships" ref="I438" r:id="rId875"/>
    <hyperlink xmlns:r="http://schemas.openxmlformats.org/officeDocument/2006/relationships" ref="A439" r:id="rId876"/>
    <hyperlink xmlns:r="http://schemas.openxmlformats.org/officeDocument/2006/relationships" ref="I439" r:id="rId877"/>
    <hyperlink xmlns:r="http://schemas.openxmlformats.org/officeDocument/2006/relationships" ref="A440" r:id="rId878"/>
    <hyperlink xmlns:r="http://schemas.openxmlformats.org/officeDocument/2006/relationships" ref="I440" r:id="rId879"/>
    <hyperlink xmlns:r="http://schemas.openxmlformats.org/officeDocument/2006/relationships" ref="A441" r:id="rId880"/>
    <hyperlink xmlns:r="http://schemas.openxmlformats.org/officeDocument/2006/relationships" ref="I441" r:id="rId881"/>
    <hyperlink xmlns:r="http://schemas.openxmlformats.org/officeDocument/2006/relationships" ref="A442" r:id="rId882"/>
    <hyperlink xmlns:r="http://schemas.openxmlformats.org/officeDocument/2006/relationships" ref="I442" r:id="rId883"/>
    <hyperlink xmlns:r="http://schemas.openxmlformats.org/officeDocument/2006/relationships" ref="A443" r:id="rId884"/>
    <hyperlink xmlns:r="http://schemas.openxmlformats.org/officeDocument/2006/relationships" ref="I443" r:id="rId885"/>
    <hyperlink xmlns:r="http://schemas.openxmlformats.org/officeDocument/2006/relationships" ref="A444" r:id="rId886"/>
    <hyperlink xmlns:r="http://schemas.openxmlformats.org/officeDocument/2006/relationships" ref="I444" r:id="rId887"/>
    <hyperlink xmlns:r="http://schemas.openxmlformats.org/officeDocument/2006/relationships" ref="A445" r:id="rId888"/>
    <hyperlink xmlns:r="http://schemas.openxmlformats.org/officeDocument/2006/relationships" ref="I445" r:id="rId889"/>
    <hyperlink xmlns:r="http://schemas.openxmlformats.org/officeDocument/2006/relationships" ref="A446" r:id="rId890"/>
    <hyperlink xmlns:r="http://schemas.openxmlformats.org/officeDocument/2006/relationships" ref="I446" r:id="rId891"/>
    <hyperlink xmlns:r="http://schemas.openxmlformats.org/officeDocument/2006/relationships" ref="A447" r:id="rId892"/>
    <hyperlink xmlns:r="http://schemas.openxmlformats.org/officeDocument/2006/relationships" ref="I447" r:id="rId893"/>
    <hyperlink xmlns:r="http://schemas.openxmlformats.org/officeDocument/2006/relationships" ref="A448" r:id="rId894"/>
    <hyperlink xmlns:r="http://schemas.openxmlformats.org/officeDocument/2006/relationships" ref="I448" r:id="rId895"/>
    <hyperlink xmlns:r="http://schemas.openxmlformats.org/officeDocument/2006/relationships" ref="A449" r:id="rId896"/>
    <hyperlink xmlns:r="http://schemas.openxmlformats.org/officeDocument/2006/relationships" ref="I449" r:id="rId897"/>
    <hyperlink xmlns:r="http://schemas.openxmlformats.org/officeDocument/2006/relationships" ref="A450" r:id="rId898"/>
    <hyperlink xmlns:r="http://schemas.openxmlformats.org/officeDocument/2006/relationships" ref="I450" r:id="rId899"/>
    <hyperlink xmlns:r="http://schemas.openxmlformats.org/officeDocument/2006/relationships" ref="A451" r:id="rId900"/>
    <hyperlink xmlns:r="http://schemas.openxmlformats.org/officeDocument/2006/relationships" ref="I451" r:id="rId901"/>
    <hyperlink xmlns:r="http://schemas.openxmlformats.org/officeDocument/2006/relationships" ref="A452" r:id="rId902"/>
    <hyperlink xmlns:r="http://schemas.openxmlformats.org/officeDocument/2006/relationships" ref="I452" r:id="rId903"/>
    <hyperlink xmlns:r="http://schemas.openxmlformats.org/officeDocument/2006/relationships" ref="A453" r:id="rId904"/>
    <hyperlink xmlns:r="http://schemas.openxmlformats.org/officeDocument/2006/relationships" ref="I453" r:id="rId905"/>
    <hyperlink xmlns:r="http://schemas.openxmlformats.org/officeDocument/2006/relationships" ref="A454" r:id="rId906"/>
    <hyperlink xmlns:r="http://schemas.openxmlformats.org/officeDocument/2006/relationships" ref="I454" r:id="rId907"/>
    <hyperlink xmlns:r="http://schemas.openxmlformats.org/officeDocument/2006/relationships" ref="A455" r:id="rId908"/>
    <hyperlink xmlns:r="http://schemas.openxmlformats.org/officeDocument/2006/relationships" ref="I455" r:id="rId909"/>
    <hyperlink xmlns:r="http://schemas.openxmlformats.org/officeDocument/2006/relationships" ref="A456" r:id="rId910"/>
    <hyperlink xmlns:r="http://schemas.openxmlformats.org/officeDocument/2006/relationships" ref="I456" r:id="rId911"/>
    <hyperlink xmlns:r="http://schemas.openxmlformats.org/officeDocument/2006/relationships" ref="A457" r:id="rId912"/>
    <hyperlink xmlns:r="http://schemas.openxmlformats.org/officeDocument/2006/relationships" ref="I457" r:id="rId913"/>
    <hyperlink xmlns:r="http://schemas.openxmlformats.org/officeDocument/2006/relationships" ref="A458" r:id="rId914"/>
    <hyperlink xmlns:r="http://schemas.openxmlformats.org/officeDocument/2006/relationships" ref="I458" r:id="rId915"/>
    <hyperlink xmlns:r="http://schemas.openxmlformats.org/officeDocument/2006/relationships" ref="A459" r:id="rId916"/>
    <hyperlink xmlns:r="http://schemas.openxmlformats.org/officeDocument/2006/relationships" ref="I459" r:id="rId917"/>
    <hyperlink xmlns:r="http://schemas.openxmlformats.org/officeDocument/2006/relationships" ref="A460" r:id="rId918"/>
    <hyperlink xmlns:r="http://schemas.openxmlformats.org/officeDocument/2006/relationships" ref="I460" r:id="rId919"/>
    <hyperlink xmlns:r="http://schemas.openxmlformats.org/officeDocument/2006/relationships" ref="A461" r:id="rId920"/>
    <hyperlink xmlns:r="http://schemas.openxmlformats.org/officeDocument/2006/relationships" ref="I461" r:id="rId921"/>
    <hyperlink xmlns:r="http://schemas.openxmlformats.org/officeDocument/2006/relationships" ref="A462" r:id="rId922"/>
    <hyperlink xmlns:r="http://schemas.openxmlformats.org/officeDocument/2006/relationships" ref="I462" r:id="rId923"/>
    <hyperlink xmlns:r="http://schemas.openxmlformats.org/officeDocument/2006/relationships" ref="A463" r:id="rId924"/>
    <hyperlink xmlns:r="http://schemas.openxmlformats.org/officeDocument/2006/relationships" ref="I463" r:id="rId925"/>
    <hyperlink xmlns:r="http://schemas.openxmlformats.org/officeDocument/2006/relationships" ref="A464" r:id="rId926"/>
    <hyperlink xmlns:r="http://schemas.openxmlformats.org/officeDocument/2006/relationships" ref="I464" r:id="rId927"/>
    <hyperlink xmlns:r="http://schemas.openxmlformats.org/officeDocument/2006/relationships" ref="A465" r:id="rId928"/>
    <hyperlink xmlns:r="http://schemas.openxmlformats.org/officeDocument/2006/relationships" ref="I465" r:id="rId929"/>
    <hyperlink xmlns:r="http://schemas.openxmlformats.org/officeDocument/2006/relationships" ref="A466" r:id="rId930"/>
    <hyperlink xmlns:r="http://schemas.openxmlformats.org/officeDocument/2006/relationships" ref="I466" r:id="rId931"/>
    <hyperlink xmlns:r="http://schemas.openxmlformats.org/officeDocument/2006/relationships" ref="A467" r:id="rId932"/>
    <hyperlink xmlns:r="http://schemas.openxmlformats.org/officeDocument/2006/relationships" ref="I467" r:id="rId933"/>
    <hyperlink xmlns:r="http://schemas.openxmlformats.org/officeDocument/2006/relationships" ref="A468" r:id="rId934"/>
    <hyperlink xmlns:r="http://schemas.openxmlformats.org/officeDocument/2006/relationships" ref="I468" r:id="rId935"/>
    <hyperlink xmlns:r="http://schemas.openxmlformats.org/officeDocument/2006/relationships" ref="A469" r:id="rId936"/>
    <hyperlink xmlns:r="http://schemas.openxmlformats.org/officeDocument/2006/relationships" ref="I469" r:id="rId937"/>
    <hyperlink xmlns:r="http://schemas.openxmlformats.org/officeDocument/2006/relationships" ref="A470" r:id="rId938"/>
    <hyperlink xmlns:r="http://schemas.openxmlformats.org/officeDocument/2006/relationships" ref="I470" r:id="rId939"/>
    <hyperlink xmlns:r="http://schemas.openxmlformats.org/officeDocument/2006/relationships" ref="A471" r:id="rId940"/>
    <hyperlink xmlns:r="http://schemas.openxmlformats.org/officeDocument/2006/relationships" ref="I471" r:id="rId941"/>
    <hyperlink xmlns:r="http://schemas.openxmlformats.org/officeDocument/2006/relationships" ref="A472" r:id="rId942"/>
    <hyperlink xmlns:r="http://schemas.openxmlformats.org/officeDocument/2006/relationships" ref="I472" r:id="rId943"/>
    <hyperlink xmlns:r="http://schemas.openxmlformats.org/officeDocument/2006/relationships" ref="A473" r:id="rId944"/>
    <hyperlink xmlns:r="http://schemas.openxmlformats.org/officeDocument/2006/relationships" ref="I473" r:id="rId945"/>
    <hyperlink xmlns:r="http://schemas.openxmlformats.org/officeDocument/2006/relationships" ref="A474" r:id="rId946"/>
    <hyperlink xmlns:r="http://schemas.openxmlformats.org/officeDocument/2006/relationships" ref="I474" r:id="rId947"/>
    <hyperlink xmlns:r="http://schemas.openxmlformats.org/officeDocument/2006/relationships" ref="A475" r:id="rId948"/>
    <hyperlink xmlns:r="http://schemas.openxmlformats.org/officeDocument/2006/relationships" ref="I475" r:id="rId949"/>
    <hyperlink xmlns:r="http://schemas.openxmlformats.org/officeDocument/2006/relationships" ref="A476" r:id="rId950"/>
    <hyperlink xmlns:r="http://schemas.openxmlformats.org/officeDocument/2006/relationships" ref="I476" r:id="rId951"/>
    <hyperlink xmlns:r="http://schemas.openxmlformats.org/officeDocument/2006/relationships" ref="A477" r:id="rId952"/>
    <hyperlink xmlns:r="http://schemas.openxmlformats.org/officeDocument/2006/relationships" ref="I477" r:id="rId953"/>
    <hyperlink xmlns:r="http://schemas.openxmlformats.org/officeDocument/2006/relationships" ref="A478" r:id="rId954"/>
    <hyperlink xmlns:r="http://schemas.openxmlformats.org/officeDocument/2006/relationships" ref="I478" r:id="rId955"/>
    <hyperlink xmlns:r="http://schemas.openxmlformats.org/officeDocument/2006/relationships" ref="A479" r:id="rId956"/>
    <hyperlink xmlns:r="http://schemas.openxmlformats.org/officeDocument/2006/relationships" ref="I479" r:id="rId957"/>
    <hyperlink xmlns:r="http://schemas.openxmlformats.org/officeDocument/2006/relationships" ref="A480" r:id="rId958"/>
    <hyperlink xmlns:r="http://schemas.openxmlformats.org/officeDocument/2006/relationships" ref="I480" r:id="rId959"/>
    <hyperlink xmlns:r="http://schemas.openxmlformats.org/officeDocument/2006/relationships" ref="A481" r:id="rId960"/>
    <hyperlink xmlns:r="http://schemas.openxmlformats.org/officeDocument/2006/relationships" ref="I481" r:id="rId961"/>
    <hyperlink xmlns:r="http://schemas.openxmlformats.org/officeDocument/2006/relationships" ref="A482" r:id="rId962"/>
    <hyperlink xmlns:r="http://schemas.openxmlformats.org/officeDocument/2006/relationships" ref="I482" r:id="rId963"/>
    <hyperlink xmlns:r="http://schemas.openxmlformats.org/officeDocument/2006/relationships" ref="A483" r:id="rId964"/>
    <hyperlink xmlns:r="http://schemas.openxmlformats.org/officeDocument/2006/relationships" ref="I483" r:id="rId965"/>
    <hyperlink xmlns:r="http://schemas.openxmlformats.org/officeDocument/2006/relationships" ref="A484" r:id="rId966"/>
    <hyperlink xmlns:r="http://schemas.openxmlformats.org/officeDocument/2006/relationships" ref="I484" r:id="rId967"/>
    <hyperlink xmlns:r="http://schemas.openxmlformats.org/officeDocument/2006/relationships" ref="A485" r:id="rId968"/>
    <hyperlink xmlns:r="http://schemas.openxmlformats.org/officeDocument/2006/relationships" ref="I485" r:id="rId969"/>
    <hyperlink xmlns:r="http://schemas.openxmlformats.org/officeDocument/2006/relationships" ref="A486" r:id="rId970"/>
    <hyperlink xmlns:r="http://schemas.openxmlformats.org/officeDocument/2006/relationships" ref="I486" r:id="rId971"/>
    <hyperlink xmlns:r="http://schemas.openxmlformats.org/officeDocument/2006/relationships" ref="A487" r:id="rId972"/>
    <hyperlink xmlns:r="http://schemas.openxmlformats.org/officeDocument/2006/relationships" ref="I487" r:id="rId973"/>
    <hyperlink xmlns:r="http://schemas.openxmlformats.org/officeDocument/2006/relationships" ref="A488" r:id="rId974"/>
    <hyperlink xmlns:r="http://schemas.openxmlformats.org/officeDocument/2006/relationships" ref="I488" r:id="rId975"/>
    <hyperlink xmlns:r="http://schemas.openxmlformats.org/officeDocument/2006/relationships" ref="A489" r:id="rId976"/>
    <hyperlink xmlns:r="http://schemas.openxmlformats.org/officeDocument/2006/relationships" ref="I489" r:id="rId977"/>
    <hyperlink xmlns:r="http://schemas.openxmlformats.org/officeDocument/2006/relationships" ref="A490" r:id="rId978"/>
    <hyperlink xmlns:r="http://schemas.openxmlformats.org/officeDocument/2006/relationships" ref="I490" r:id="rId979"/>
    <hyperlink xmlns:r="http://schemas.openxmlformats.org/officeDocument/2006/relationships" ref="A491" r:id="rId980"/>
    <hyperlink xmlns:r="http://schemas.openxmlformats.org/officeDocument/2006/relationships" ref="I491" r:id="rId981"/>
    <hyperlink xmlns:r="http://schemas.openxmlformats.org/officeDocument/2006/relationships" ref="A492" r:id="rId982"/>
    <hyperlink xmlns:r="http://schemas.openxmlformats.org/officeDocument/2006/relationships" ref="I492" r:id="rId983"/>
    <hyperlink xmlns:r="http://schemas.openxmlformats.org/officeDocument/2006/relationships" ref="A493" r:id="rId984"/>
    <hyperlink xmlns:r="http://schemas.openxmlformats.org/officeDocument/2006/relationships" ref="I493" r:id="rId985"/>
    <hyperlink xmlns:r="http://schemas.openxmlformats.org/officeDocument/2006/relationships" ref="A494" r:id="rId986"/>
    <hyperlink xmlns:r="http://schemas.openxmlformats.org/officeDocument/2006/relationships" ref="I494" r:id="rId987"/>
    <hyperlink xmlns:r="http://schemas.openxmlformats.org/officeDocument/2006/relationships" ref="A495" r:id="rId988"/>
    <hyperlink xmlns:r="http://schemas.openxmlformats.org/officeDocument/2006/relationships" ref="I495" r:id="rId989"/>
    <hyperlink xmlns:r="http://schemas.openxmlformats.org/officeDocument/2006/relationships" ref="A496" r:id="rId990"/>
    <hyperlink xmlns:r="http://schemas.openxmlformats.org/officeDocument/2006/relationships" ref="I496" r:id="rId991"/>
    <hyperlink xmlns:r="http://schemas.openxmlformats.org/officeDocument/2006/relationships" ref="A497" r:id="rId992"/>
    <hyperlink xmlns:r="http://schemas.openxmlformats.org/officeDocument/2006/relationships" ref="I497" r:id="rId993"/>
    <hyperlink xmlns:r="http://schemas.openxmlformats.org/officeDocument/2006/relationships" ref="A498" r:id="rId994"/>
    <hyperlink xmlns:r="http://schemas.openxmlformats.org/officeDocument/2006/relationships" ref="I498" r:id="rId995"/>
    <hyperlink xmlns:r="http://schemas.openxmlformats.org/officeDocument/2006/relationships" ref="A499" r:id="rId996"/>
    <hyperlink xmlns:r="http://schemas.openxmlformats.org/officeDocument/2006/relationships" ref="I499" r:id="rId997"/>
    <hyperlink xmlns:r="http://schemas.openxmlformats.org/officeDocument/2006/relationships" ref="A500" r:id="rId998"/>
    <hyperlink xmlns:r="http://schemas.openxmlformats.org/officeDocument/2006/relationships" ref="I500" r:id="rId999"/>
    <hyperlink xmlns:r="http://schemas.openxmlformats.org/officeDocument/2006/relationships" ref="A501" r:id="rId1000"/>
    <hyperlink xmlns:r="http://schemas.openxmlformats.org/officeDocument/2006/relationships" ref="I501" r:id="rId1001"/>
    <hyperlink xmlns:r="http://schemas.openxmlformats.org/officeDocument/2006/relationships" ref="A502" r:id="rId1002"/>
    <hyperlink xmlns:r="http://schemas.openxmlformats.org/officeDocument/2006/relationships" ref="I502" r:id="rId1003"/>
    <hyperlink xmlns:r="http://schemas.openxmlformats.org/officeDocument/2006/relationships" ref="A503" r:id="rId1004"/>
    <hyperlink xmlns:r="http://schemas.openxmlformats.org/officeDocument/2006/relationships" ref="I503" r:id="rId1005"/>
    <hyperlink xmlns:r="http://schemas.openxmlformats.org/officeDocument/2006/relationships" ref="A504" r:id="rId1006"/>
    <hyperlink xmlns:r="http://schemas.openxmlformats.org/officeDocument/2006/relationships" ref="I504" r:id="rId1007"/>
    <hyperlink xmlns:r="http://schemas.openxmlformats.org/officeDocument/2006/relationships" ref="A505" r:id="rId1008"/>
    <hyperlink xmlns:r="http://schemas.openxmlformats.org/officeDocument/2006/relationships" ref="I505" r:id="rId1009"/>
    <hyperlink xmlns:r="http://schemas.openxmlformats.org/officeDocument/2006/relationships" ref="A506" r:id="rId1010"/>
    <hyperlink xmlns:r="http://schemas.openxmlformats.org/officeDocument/2006/relationships" ref="I506" r:id="rId1011"/>
    <hyperlink xmlns:r="http://schemas.openxmlformats.org/officeDocument/2006/relationships" ref="A507" r:id="rId1012"/>
    <hyperlink xmlns:r="http://schemas.openxmlformats.org/officeDocument/2006/relationships" ref="I507" r:id="rId1013"/>
    <hyperlink xmlns:r="http://schemas.openxmlformats.org/officeDocument/2006/relationships" ref="A508" r:id="rId1014"/>
    <hyperlink xmlns:r="http://schemas.openxmlformats.org/officeDocument/2006/relationships" ref="I508" r:id="rId1015"/>
    <hyperlink xmlns:r="http://schemas.openxmlformats.org/officeDocument/2006/relationships" ref="A509" r:id="rId1016"/>
    <hyperlink xmlns:r="http://schemas.openxmlformats.org/officeDocument/2006/relationships" ref="I509" r:id="rId1017"/>
    <hyperlink xmlns:r="http://schemas.openxmlformats.org/officeDocument/2006/relationships" ref="A510" r:id="rId1018"/>
    <hyperlink xmlns:r="http://schemas.openxmlformats.org/officeDocument/2006/relationships" ref="I510" r:id="rId1019"/>
    <hyperlink xmlns:r="http://schemas.openxmlformats.org/officeDocument/2006/relationships" ref="A511" r:id="rId1020"/>
    <hyperlink xmlns:r="http://schemas.openxmlformats.org/officeDocument/2006/relationships" ref="I511" r:id="rId1021"/>
    <hyperlink xmlns:r="http://schemas.openxmlformats.org/officeDocument/2006/relationships" ref="A512" r:id="rId1022"/>
    <hyperlink xmlns:r="http://schemas.openxmlformats.org/officeDocument/2006/relationships" ref="I512" r:id="rId1023"/>
    <hyperlink xmlns:r="http://schemas.openxmlformats.org/officeDocument/2006/relationships" ref="A513" r:id="rId1024"/>
    <hyperlink xmlns:r="http://schemas.openxmlformats.org/officeDocument/2006/relationships" ref="I513" r:id="rId1025"/>
    <hyperlink xmlns:r="http://schemas.openxmlformats.org/officeDocument/2006/relationships" ref="A514" r:id="rId1026"/>
    <hyperlink xmlns:r="http://schemas.openxmlformats.org/officeDocument/2006/relationships" ref="I514" r:id="rId1027"/>
    <hyperlink xmlns:r="http://schemas.openxmlformats.org/officeDocument/2006/relationships" ref="A515" r:id="rId1028"/>
    <hyperlink xmlns:r="http://schemas.openxmlformats.org/officeDocument/2006/relationships" ref="I515" r:id="rId1029"/>
    <hyperlink xmlns:r="http://schemas.openxmlformats.org/officeDocument/2006/relationships" ref="A516" r:id="rId1030"/>
    <hyperlink xmlns:r="http://schemas.openxmlformats.org/officeDocument/2006/relationships" ref="I516" r:id="rId1031"/>
    <hyperlink xmlns:r="http://schemas.openxmlformats.org/officeDocument/2006/relationships" ref="A517" r:id="rId1032"/>
    <hyperlink xmlns:r="http://schemas.openxmlformats.org/officeDocument/2006/relationships" ref="I517" r:id="rId1033"/>
    <hyperlink xmlns:r="http://schemas.openxmlformats.org/officeDocument/2006/relationships" ref="A518" r:id="rId1034"/>
    <hyperlink xmlns:r="http://schemas.openxmlformats.org/officeDocument/2006/relationships" ref="I518" r:id="rId1035"/>
    <hyperlink xmlns:r="http://schemas.openxmlformats.org/officeDocument/2006/relationships" ref="A519" r:id="rId1036"/>
    <hyperlink xmlns:r="http://schemas.openxmlformats.org/officeDocument/2006/relationships" ref="I519" r:id="rId1037"/>
    <hyperlink xmlns:r="http://schemas.openxmlformats.org/officeDocument/2006/relationships" ref="A520" r:id="rId1038"/>
    <hyperlink xmlns:r="http://schemas.openxmlformats.org/officeDocument/2006/relationships" ref="I520" r:id="rId1039"/>
    <hyperlink xmlns:r="http://schemas.openxmlformats.org/officeDocument/2006/relationships" ref="A521" r:id="rId1040"/>
    <hyperlink xmlns:r="http://schemas.openxmlformats.org/officeDocument/2006/relationships" ref="I521" r:id="rId1041"/>
    <hyperlink xmlns:r="http://schemas.openxmlformats.org/officeDocument/2006/relationships" ref="A522" r:id="rId1042"/>
    <hyperlink xmlns:r="http://schemas.openxmlformats.org/officeDocument/2006/relationships" ref="I522" r:id="rId1043"/>
    <hyperlink xmlns:r="http://schemas.openxmlformats.org/officeDocument/2006/relationships" ref="A523" r:id="rId1044"/>
    <hyperlink xmlns:r="http://schemas.openxmlformats.org/officeDocument/2006/relationships" ref="I523" r:id="rId1045"/>
    <hyperlink xmlns:r="http://schemas.openxmlformats.org/officeDocument/2006/relationships" ref="A524" r:id="rId1046"/>
    <hyperlink xmlns:r="http://schemas.openxmlformats.org/officeDocument/2006/relationships" ref="I524" r:id="rId1047"/>
    <hyperlink xmlns:r="http://schemas.openxmlformats.org/officeDocument/2006/relationships" ref="A525" r:id="rId1048"/>
    <hyperlink xmlns:r="http://schemas.openxmlformats.org/officeDocument/2006/relationships" ref="I525" r:id="rId1049"/>
    <hyperlink xmlns:r="http://schemas.openxmlformats.org/officeDocument/2006/relationships" ref="A526" r:id="rId1050"/>
    <hyperlink xmlns:r="http://schemas.openxmlformats.org/officeDocument/2006/relationships" ref="I526" r:id="rId1051"/>
    <hyperlink xmlns:r="http://schemas.openxmlformats.org/officeDocument/2006/relationships" ref="A527" r:id="rId1052"/>
    <hyperlink xmlns:r="http://schemas.openxmlformats.org/officeDocument/2006/relationships" ref="I527" r:id="rId1053"/>
    <hyperlink xmlns:r="http://schemas.openxmlformats.org/officeDocument/2006/relationships" ref="A528" r:id="rId1054"/>
    <hyperlink xmlns:r="http://schemas.openxmlformats.org/officeDocument/2006/relationships" ref="I528" r:id="rId1055"/>
    <hyperlink xmlns:r="http://schemas.openxmlformats.org/officeDocument/2006/relationships" ref="A529" r:id="rId1056"/>
    <hyperlink xmlns:r="http://schemas.openxmlformats.org/officeDocument/2006/relationships" ref="I529" r:id="rId1057"/>
    <hyperlink xmlns:r="http://schemas.openxmlformats.org/officeDocument/2006/relationships" ref="A530" r:id="rId1058"/>
    <hyperlink xmlns:r="http://schemas.openxmlformats.org/officeDocument/2006/relationships" ref="I530" r:id="rId1059"/>
    <hyperlink xmlns:r="http://schemas.openxmlformats.org/officeDocument/2006/relationships" ref="A531" r:id="rId1060"/>
    <hyperlink xmlns:r="http://schemas.openxmlformats.org/officeDocument/2006/relationships" ref="I531" r:id="rId1061"/>
    <hyperlink xmlns:r="http://schemas.openxmlformats.org/officeDocument/2006/relationships" ref="A532" r:id="rId1062"/>
    <hyperlink xmlns:r="http://schemas.openxmlformats.org/officeDocument/2006/relationships" ref="I532" r:id="rId1063"/>
    <hyperlink xmlns:r="http://schemas.openxmlformats.org/officeDocument/2006/relationships" ref="A533" r:id="rId1064"/>
    <hyperlink xmlns:r="http://schemas.openxmlformats.org/officeDocument/2006/relationships" ref="I533" r:id="rId1065"/>
    <hyperlink xmlns:r="http://schemas.openxmlformats.org/officeDocument/2006/relationships" ref="A534" r:id="rId1066"/>
    <hyperlink xmlns:r="http://schemas.openxmlformats.org/officeDocument/2006/relationships" ref="I534" r:id="rId1067"/>
    <hyperlink xmlns:r="http://schemas.openxmlformats.org/officeDocument/2006/relationships" ref="A535" r:id="rId1068"/>
    <hyperlink xmlns:r="http://schemas.openxmlformats.org/officeDocument/2006/relationships" ref="I535" r:id="rId1069"/>
    <hyperlink xmlns:r="http://schemas.openxmlformats.org/officeDocument/2006/relationships" ref="A536" r:id="rId1070"/>
    <hyperlink xmlns:r="http://schemas.openxmlformats.org/officeDocument/2006/relationships" ref="I536" r:id="rId1071"/>
    <hyperlink xmlns:r="http://schemas.openxmlformats.org/officeDocument/2006/relationships" ref="A537" r:id="rId1072"/>
    <hyperlink xmlns:r="http://schemas.openxmlformats.org/officeDocument/2006/relationships" ref="I537" r:id="rId1073"/>
    <hyperlink xmlns:r="http://schemas.openxmlformats.org/officeDocument/2006/relationships" ref="A538" r:id="rId1074"/>
    <hyperlink xmlns:r="http://schemas.openxmlformats.org/officeDocument/2006/relationships" ref="I538" r:id="rId1075"/>
    <hyperlink xmlns:r="http://schemas.openxmlformats.org/officeDocument/2006/relationships" ref="A539" r:id="rId1076"/>
    <hyperlink xmlns:r="http://schemas.openxmlformats.org/officeDocument/2006/relationships" ref="I539" r:id="rId1077"/>
    <hyperlink xmlns:r="http://schemas.openxmlformats.org/officeDocument/2006/relationships" ref="A540" r:id="rId1078"/>
    <hyperlink xmlns:r="http://schemas.openxmlformats.org/officeDocument/2006/relationships" ref="I540" r:id="rId1079"/>
    <hyperlink xmlns:r="http://schemas.openxmlformats.org/officeDocument/2006/relationships" ref="A541" r:id="rId1080"/>
    <hyperlink xmlns:r="http://schemas.openxmlformats.org/officeDocument/2006/relationships" ref="I541" r:id="rId1081"/>
    <hyperlink xmlns:r="http://schemas.openxmlformats.org/officeDocument/2006/relationships" ref="A542" r:id="rId1082"/>
    <hyperlink xmlns:r="http://schemas.openxmlformats.org/officeDocument/2006/relationships" ref="I542" r:id="rId1083"/>
    <hyperlink xmlns:r="http://schemas.openxmlformats.org/officeDocument/2006/relationships" ref="A543" r:id="rId1084"/>
    <hyperlink xmlns:r="http://schemas.openxmlformats.org/officeDocument/2006/relationships" ref="I543" r:id="rId1085"/>
    <hyperlink xmlns:r="http://schemas.openxmlformats.org/officeDocument/2006/relationships" ref="A544" r:id="rId1086"/>
    <hyperlink xmlns:r="http://schemas.openxmlformats.org/officeDocument/2006/relationships" ref="I544" r:id="rId1087"/>
    <hyperlink xmlns:r="http://schemas.openxmlformats.org/officeDocument/2006/relationships" ref="A545" r:id="rId1088"/>
    <hyperlink xmlns:r="http://schemas.openxmlformats.org/officeDocument/2006/relationships" ref="I545" r:id="rId1089"/>
    <hyperlink xmlns:r="http://schemas.openxmlformats.org/officeDocument/2006/relationships" ref="A546" r:id="rId1090"/>
    <hyperlink xmlns:r="http://schemas.openxmlformats.org/officeDocument/2006/relationships" ref="I546" r:id="rId1091"/>
    <hyperlink xmlns:r="http://schemas.openxmlformats.org/officeDocument/2006/relationships" ref="A547" r:id="rId1092"/>
    <hyperlink xmlns:r="http://schemas.openxmlformats.org/officeDocument/2006/relationships" ref="I547" r:id="rId1093"/>
    <hyperlink xmlns:r="http://schemas.openxmlformats.org/officeDocument/2006/relationships" ref="A548" r:id="rId1094"/>
    <hyperlink xmlns:r="http://schemas.openxmlformats.org/officeDocument/2006/relationships" ref="I548" r:id="rId1095"/>
    <hyperlink xmlns:r="http://schemas.openxmlformats.org/officeDocument/2006/relationships" ref="A549" r:id="rId1096"/>
    <hyperlink xmlns:r="http://schemas.openxmlformats.org/officeDocument/2006/relationships" ref="I549" r:id="rId1097"/>
    <hyperlink xmlns:r="http://schemas.openxmlformats.org/officeDocument/2006/relationships" ref="A550" r:id="rId1098"/>
    <hyperlink xmlns:r="http://schemas.openxmlformats.org/officeDocument/2006/relationships" ref="I550" r:id="rId1099"/>
    <hyperlink xmlns:r="http://schemas.openxmlformats.org/officeDocument/2006/relationships" ref="A551" r:id="rId1100"/>
    <hyperlink xmlns:r="http://schemas.openxmlformats.org/officeDocument/2006/relationships" ref="I551" r:id="rId1101"/>
    <hyperlink xmlns:r="http://schemas.openxmlformats.org/officeDocument/2006/relationships" ref="A552" r:id="rId1102"/>
    <hyperlink xmlns:r="http://schemas.openxmlformats.org/officeDocument/2006/relationships" ref="I552" r:id="rId1103"/>
    <hyperlink xmlns:r="http://schemas.openxmlformats.org/officeDocument/2006/relationships" ref="A553" r:id="rId1104"/>
    <hyperlink xmlns:r="http://schemas.openxmlformats.org/officeDocument/2006/relationships" ref="I553" r:id="rId1105"/>
    <hyperlink xmlns:r="http://schemas.openxmlformats.org/officeDocument/2006/relationships" ref="A554" r:id="rId1106"/>
    <hyperlink xmlns:r="http://schemas.openxmlformats.org/officeDocument/2006/relationships" ref="I554" r:id="rId1107"/>
    <hyperlink xmlns:r="http://schemas.openxmlformats.org/officeDocument/2006/relationships" ref="A555" r:id="rId1108"/>
    <hyperlink xmlns:r="http://schemas.openxmlformats.org/officeDocument/2006/relationships" ref="I555" r:id="rId1109"/>
    <hyperlink xmlns:r="http://schemas.openxmlformats.org/officeDocument/2006/relationships" ref="A556" r:id="rId1110"/>
    <hyperlink xmlns:r="http://schemas.openxmlformats.org/officeDocument/2006/relationships" ref="I556" r:id="rId1111"/>
    <hyperlink xmlns:r="http://schemas.openxmlformats.org/officeDocument/2006/relationships" ref="A557" r:id="rId1112"/>
    <hyperlink xmlns:r="http://schemas.openxmlformats.org/officeDocument/2006/relationships" ref="I557" r:id="rId1113"/>
    <hyperlink xmlns:r="http://schemas.openxmlformats.org/officeDocument/2006/relationships" ref="A558" r:id="rId1114"/>
    <hyperlink xmlns:r="http://schemas.openxmlformats.org/officeDocument/2006/relationships" ref="I558" r:id="rId1115"/>
    <hyperlink xmlns:r="http://schemas.openxmlformats.org/officeDocument/2006/relationships" ref="A559" r:id="rId1116"/>
    <hyperlink xmlns:r="http://schemas.openxmlformats.org/officeDocument/2006/relationships" ref="I559" r:id="rId1117"/>
    <hyperlink xmlns:r="http://schemas.openxmlformats.org/officeDocument/2006/relationships" ref="A560" r:id="rId1118"/>
    <hyperlink xmlns:r="http://schemas.openxmlformats.org/officeDocument/2006/relationships" ref="I560" r:id="rId1119"/>
    <hyperlink xmlns:r="http://schemas.openxmlformats.org/officeDocument/2006/relationships" ref="A561" r:id="rId1120"/>
    <hyperlink xmlns:r="http://schemas.openxmlformats.org/officeDocument/2006/relationships" ref="I561" r:id="rId1121"/>
    <hyperlink xmlns:r="http://schemas.openxmlformats.org/officeDocument/2006/relationships" ref="A562" r:id="rId1122"/>
    <hyperlink xmlns:r="http://schemas.openxmlformats.org/officeDocument/2006/relationships" ref="I562" r:id="rId1123"/>
    <hyperlink xmlns:r="http://schemas.openxmlformats.org/officeDocument/2006/relationships" ref="A563" r:id="rId1124"/>
    <hyperlink xmlns:r="http://schemas.openxmlformats.org/officeDocument/2006/relationships" ref="I563" r:id="rId1125"/>
    <hyperlink xmlns:r="http://schemas.openxmlformats.org/officeDocument/2006/relationships" ref="A564" r:id="rId1126"/>
    <hyperlink xmlns:r="http://schemas.openxmlformats.org/officeDocument/2006/relationships" ref="I564" r:id="rId1127"/>
    <hyperlink xmlns:r="http://schemas.openxmlformats.org/officeDocument/2006/relationships" ref="A565" r:id="rId1128"/>
    <hyperlink xmlns:r="http://schemas.openxmlformats.org/officeDocument/2006/relationships" ref="I565" r:id="rId1129"/>
    <hyperlink xmlns:r="http://schemas.openxmlformats.org/officeDocument/2006/relationships" ref="A566" r:id="rId1130"/>
    <hyperlink xmlns:r="http://schemas.openxmlformats.org/officeDocument/2006/relationships" ref="I566" r:id="rId1131"/>
    <hyperlink xmlns:r="http://schemas.openxmlformats.org/officeDocument/2006/relationships" ref="A567" r:id="rId1132"/>
    <hyperlink xmlns:r="http://schemas.openxmlformats.org/officeDocument/2006/relationships" ref="I567" r:id="rId1133"/>
    <hyperlink xmlns:r="http://schemas.openxmlformats.org/officeDocument/2006/relationships" ref="A568" r:id="rId1134"/>
    <hyperlink xmlns:r="http://schemas.openxmlformats.org/officeDocument/2006/relationships" ref="I568" r:id="rId1135"/>
    <hyperlink xmlns:r="http://schemas.openxmlformats.org/officeDocument/2006/relationships" ref="A569" r:id="rId1136"/>
    <hyperlink xmlns:r="http://schemas.openxmlformats.org/officeDocument/2006/relationships" ref="I569" r:id="rId1137"/>
    <hyperlink xmlns:r="http://schemas.openxmlformats.org/officeDocument/2006/relationships" ref="A570" r:id="rId1138"/>
    <hyperlink xmlns:r="http://schemas.openxmlformats.org/officeDocument/2006/relationships" ref="I570" r:id="rId1139"/>
    <hyperlink xmlns:r="http://schemas.openxmlformats.org/officeDocument/2006/relationships" ref="A571" r:id="rId1140"/>
    <hyperlink xmlns:r="http://schemas.openxmlformats.org/officeDocument/2006/relationships" ref="I571" r:id="rId1141"/>
    <hyperlink xmlns:r="http://schemas.openxmlformats.org/officeDocument/2006/relationships" ref="A572" r:id="rId1142"/>
    <hyperlink xmlns:r="http://schemas.openxmlformats.org/officeDocument/2006/relationships" ref="I572" r:id="rId1143"/>
    <hyperlink xmlns:r="http://schemas.openxmlformats.org/officeDocument/2006/relationships" ref="A573" r:id="rId1144"/>
    <hyperlink xmlns:r="http://schemas.openxmlformats.org/officeDocument/2006/relationships" ref="I573" r:id="rId1145"/>
    <hyperlink xmlns:r="http://schemas.openxmlformats.org/officeDocument/2006/relationships" ref="A574" r:id="rId1146"/>
    <hyperlink xmlns:r="http://schemas.openxmlformats.org/officeDocument/2006/relationships" ref="I574" r:id="rId1147"/>
    <hyperlink xmlns:r="http://schemas.openxmlformats.org/officeDocument/2006/relationships" ref="A575" r:id="rId1148"/>
    <hyperlink xmlns:r="http://schemas.openxmlformats.org/officeDocument/2006/relationships" ref="I575" r:id="rId1149"/>
    <hyperlink xmlns:r="http://schemas.openxmlformats.org/officeDocument/2006/relationships" ref="A576" r:id="rId1150"/>
    <hyperlink xmlns:r="http://schemas.openxmlformats.org/officeDocument/2006/relationships" ref="I576" r:id="rId1151"/>
    <hyperlink xmlns:r="http://schemas.openxmlformats.org/officeDocument/2006/relationships" ref="A577" r:id="rId1152"/>
    <hyperlink xmlns:r="http://schemas.openxmlformats.org/officeDocument/2006/relationships" ref="I577" r:id="rId1153"/>
    <hyperlink xmlns:r="http://schemas.openxmlformats.org/officeDocument/2006/relationships" ref="A578" r:id="rId1154"/>
    <hyperlink xmlns:r="http://schemas.openxmlformats.org/officeDocument/2006/relationships" ref="I578" r:id="rId1155"/>
    <hyperlink xmlns:r="http://schemas.openxmlformats.org/officeDocument/2006/relationships" ref="A579" r:id="rId1156"/>
    <hyperlink xmlns:r="http://schemas.openxmlformats.org/officeDocument/2006/relationships" ref="I579" r:id="rId1157"/>
    <hyperlink xmlns:r="http://schemas.openxmlformats.org/officeDocument/2006/relationships" ref="A580" r:id="rId1158"/>
    <hyperlink xmlns:r="http://schemas.openxmlformats.org/officeDocument/2006/relationships" ref="I580" r:id="rId1159"/>
    <hyperlink xmlns:r="http://schemas.openxmlformats.org/officeDocument/2006/relationships" ref="A581" r:id="rId1160"/>
    <hyperlink xmlns:r="http://schemas.openxmlformats.org/officeDocument/2006/relationships" ref="I581" r:id="rId1161"/>
    <hyperlink xmlns:r="http://schemas.openxmlformats.org/officeDocument/2006/relationships" ref="A582" r:id="rId1162"/>
    <hyperlink xmlns:r="http://schemas.openxmlformats.org/officeDocument/2006/relationships" ref="I582" r:id="rId1163"/>
    <hyperlink xmlns:r="http://schemas.openxmlformats.org/officeDocument/2006/relationships" ref="A583" r:id="rId1164"/>
    <hyperlink xmlns:r="http://schemas.openxmlformats.org/officeDocument/2006/relationships" ref="I583" r:id="rId1165"/>
    <hyperlink xmlns:r="http://schemas.openxmlformats.org/officeDocument/2006/relationships" ref="A584" r:id="rId1166"/>
    <hyperlink xmlns:r="http://schemas.openxmlformats.org/officeDocument/2006/relationships" ref="I584" r:id="rId1167"/>
    <hyperlink xmlns:r="http://schemas.openxmlformats.org/officeDocument/2006/relationships" ref="A585" r:id="rId1168"/>
    <hyperlink xmlns:r="http://schemas.openxmlformats.org/officeDocument/2006/relationships" ref="I585" r:id="rId1169"/>
    <hyperlink xmlns:r="http://schemas.openxmlformats.org/officeDocument/2006/relationships" ref="A586" r:id="rId1170"/>
    <hyperlink xmlns:r="http://schemas.openxmlformats.org/officeDocument/2006/relationships" ref="I586" r:id="rId1171"/>
    <hyperlink xmlns:r="http://schemas.openxmlformats.org/officeDocument/2006/relationships" ref="A587" r:id="rId1172"/>
    <hyperlink xmlns:r="http://schemas.openxmlformats.org/officeDocument/2006/relationships" ref="I587" r:id="rId1173"/>
    <hyperlink xmlns:r="http://schemas.openxmlformats.org/officeDocument/2006/relationships" ref="A588" r:id="rId1174"/>
    <hyperlink xmlns:r="http://schemas.openxmlformats.org/officeDocument/2006/relationships" ref="I588" r:id="rId1175"/>
    <hyperlink xmlns:r="http://schemas.openxmlformats.org/officeDocument/2006/relationships" ref="A589" r:id="rId1176"/>
    <hyperlink xmlns:r="http://schemas.openxmlformats.org/officeDocument/2006/relationships" ref="I589" r:id="rId1177"/>
    <hyperlink xmlns:r="http://schemas.openxmlformats.org/officeDocument/2006/relationships" ref="A590" r:id="rId1178"/>
    <hyperlink xmlns:r="http://schemas.openxmlformats.org/officeDocument/2006/relationships" ref="I590" r:id="rId1179"/>
    <hyperlink xmlns:r="http://schemas.openxmlformats.org/officeDocument/2006/relationships" ref="A591" r:id="rId1180"/>
    <hyperlink xmlns:r="http://schemas.openxmlformats.org/officeDocument/2006/relationships" ref="I591" r:id="rId1181"/>
    <hyperlink xmlns:r="http://schemas.openxmlformats.org/officeDocument/2006/relationships" ref="A592" r:id="rId1182"/>
    <hyperlink xmlns:r="http://schemas.openxmlformats.org/officeDocument/2006/relationships" ref="I592" r:id="rId1183"/>
    <hyperlink xmlns:r="http://schemas.openxmlformats.org/officeDocument/2006/relationships" ref="A593" r:id="rId1184"/>
    <hyperlink xmlns:r="http://schemas.openxmlformats.org/officeDocument/2006/relationships" ref="I593" r:id="rId1185"/>
    <hyperlink xmlns:r="http://schemas.openxmlformats.org/officeDocument/2006/relationships" ref="A594" r:id="rId1186"/>
    <hyperlink xmlns:r="http://schemas.openxmlformats.org/officeDocument/2006/relationships" ref="I594" r:id="rId1187"/>
    <hyperlink xmlns:r="http://schemas.openxmlformats.org/officeDocument/2006/relationships" ref="A595" r:id="rId1188"/>
    <hyperlink xmlns:r="http://schemas.openxmlformats.org/officeDocument/2006/relationships" ref="I595" r:id="rId1189"/>
    <hyperlink xmlns:r="http://schemas.openxmlformats.org/officeDocument/2006/relationships" ref="A596" r:id="rId1190"/>
    <hyperlink xmlns:r="http://schemas.openxmlformats.org/officeDocument/2006/relationships" ref="I596" r:id="rId1191"/>
    <hyperlink xmlns:r="http://schemas.openxmlformats.org/officeDocument/2006/relationships" ref="A597" r:id="rId1192"/>
    <hyperlink xmlns:r="http://schemas.openxmlformats.org/officeDocument/2006/relationships" ref="I597" r:id="rId1193"/>
    <hyperlink xmlns:r="http://schemas.openxmlformats.org/officeDocument/2006/relationships" ref="A598" r:id="rId1194"/>
    <hyperlink xmlns:r="http://schemas.openxmlformats.org/officeDocument/2006/relationships" ref="I598" r:id="rId1195"/>
    <hyperlink xmlns:r="http://schemas.openxmlformats.org/officeDocument/2006/relationships" ref="A599" r:id="rId1196"/>
    <hyperlink xmlns:r="http://schemas.openxmlformats.org/officeDocument/2006/relationships" ref="I599" r:id="rId1197"/>
    <hyperlink xmlns:r="http://schemas.openxmlformats.org/officeDocument/2006/relationships" ref="A600" r:id="rId1198"/>
    <hyperlink xmlns:r="http://schemas.openxmlformats.org/officeDocument/2006/relationships" ref="I600" r:id="rId1199"/>
    <hyperlink xmlns:r="http://schemas.openxmlformats.org/officeDocument/2006/relationships" ref="A601" r:id="rId1200"/>
    <hyperlink xmlns:r="http://schemas.openxmlformats.org/officeDocument/2006/relationships" ref="I601" r:id="rId1201"/>
    <hyperlink xmlns:r="http://schemas.openxmlformats.org/officeDocument/2006/relationships" ref="A602" r:id="rId1202"/>
    <hyperlink xmlns:r="http://schemas.openxmlformats.org/officeDocument/2006/relationships" ref="I602" r:id="rId1203"/>
    <hyperlink xmlns:r="http://schemas.openxmlformats.org/officeDocument/2006/relationships" ref="A603" r:id="rId1204"/>
    <hyperlink xmlns:r="http://schemas.openxmlformats.org/officeDocument/2006/relationships" ref="I603" r:id="rId1205"/>
    <hyperlink xmlns:r="http://schemas.openxmlformats.org/officeDocument/2006/relationships" ref="A604" r:id="rId1206"/>
    <hyperlink xmlns:r="http://schemas.openxmlformats.org/officeDocument/2006/relationships" ref="I604" r:id="rId1207"/>
    <hyperlink xmlns:r="http://schemas.openxmlformats.org/officeDocument/2006/relationships" ref="A605" r:id="rId1208"/>
    <hyperlink xmlns:r="http://schemas.openxmlformats.org/officeDocument/2006/relationships" ref="I605" r:id="rId1209"/>
    <hyperlink xmlns:r="http://schemas.openxmlformats.org/officeDocument/2006/relationships" ref="A606" r:id="rId1210"/>
    <hyperlink xmlns:r="http://schemas.openxmlformats.org/officeDocument/2006/relationships" ref="I606" r:id="rId1211"/>
    <hyperlink xmlns:r="http://schemas.openxmlformats.org/officeDocument/2006/relationships" ref="A607" r:id="rId1212"/>
    <hyperlink xmlns:r="http://schemas.openxmlformats.org/officeDocument/2006/relationships" ref="I607" r:id="rId1213"/>
    <hyperlink xmlns:r="http://schemas.openxmlformats.org/officeDocument/2006/relationships" ref="A608" r:id="rId1214"/>
    <hyperlink xmlns:r="http://schemas.openxmlformats.org/officeDocument/2006/relationships" ref="I608" r:id="rId1215"/>
    <hyperlink xmlns:r="http://schemas.openxmlformats.org/officeDocument/2006/relationships" ref="A609" r:id="rId1216"/>
    <hyperlink xmlns:r="http://schemas.openxmlformats.org/officeDocument/2006/relationships" ref="I609" r:id="rId1217"/>
    <hyperlink xmlns:r="http://schemas.openxmlformats.org/officeDocument/2006/relationships" ref="A610" r:id="rId1218"/>
    <hyperlink xmlns:r="http://schemas.openxmlformats.org/officeDocument/2006/relationships" ref="I610" r:id="rId1219"/>
    <hyperlink xmlns:r="http://schemas.openxmlformats.org/officeDocument/2006/relationships" ref="A611" r:id="rId1220"/>
    <hyperlink xmlns:r="http://schemas.openxmlformats.org/officeDocument/2006/relationships" ref="I611" r:id="rId1221"/>
    <hyperlink xmlns:r="http://schemas.openxmlformats.org/officeDocument/2006/relationships" ref="A612" r:id="rId1222"/>
    <hyperlink xmlns:r="http://schemas.openxmlformats.org/officeDocument/2006/relationships" ref="I612" r:id="rId1223"/>
    <hyperlink xmlns:r="http://schemas.openxmlformats.org/officeDocument/2006/relationships" ref="A613" r:id="rId1224"/>
    <hyperlink xmlns:r="http://schemas.openxmlformats.org/officeDocument/2006/relationships" ref="I613" r:id="rId1225"/>
    <hyperlink xmlns:r="http://schemas.openxmlformats.org/officeDocument/2006/relationships" ref="A614" r:id="rId1226"/>
    <hyperlink xmlns:r="http://schemas.openxmlformats.org/officeDocument/2006/relationships" ref="I614" r:id="rId1227"/>
    <hyperlink xmlns:r="http://schemas.openxmlformats.org/officeDocument/2006/relationships" ref="A615" r:id="rId1228"/>
    <hyperlink xmlns:r="http://schemas.openxmlformats.org/officeDocument/2006/relationships" ref="I615" r:id="rId1229"/>
    <hyperlink xmlns:r="http://schemas.openxmlformats.org/officeDocument/2006/relationships" ref="A616" r:id="rId1230"/>
    <hyperlink xmlns:r="http://schemas.openxmlformats.org/officeDocument/2006/relationships" ref="I616" r:id="rId1231"/>
    <hyperlink xmlns:r="http://schemas.openxmlformats.org/officeDocument/2006/relationships" ref="A617" r:id="rId1232"/>
    <hyperlink xmlns:r="http://schemas.openxmlformats.org/officeDocument/2006/relationships" ref="I617" r:id="rId1233"/>
    <hyperlink xmlns:r="http://schemas.openxmlformats.org/officeDocument/2006/relationships" ref="A618" r:id="rId1234"/>
    <hyperlink xmlns:r="http://schemas.openxmlformats.org/officeDocument/2006/relationships" ref="I618" r:id="rId1235"/>
    <hyperlink xmlns:r="http://schemas.openxmlformats.org/officeDocument/2006/relationships" ref="A619" r:id="rId1236"/>
    <hyperlink xmlns:r="http://schemas.openxmlformats.org/officeDocument/2006/relationships" ref="I619" r:id="rId1237"/>
    <hyperlink xmlns:r="http://schemas.openxmlformats.org/officeDocument/2006/relationships" ref="A620" r:id="rId1238"/>
    <hyperlink xmlns:r="http://schemas.openxmlformats.org/officeDocument/2006/relationships" ref="I620" r:id="rId1239"/>
    <hyperlink xmlns:r="http://schemas.openxmlformats.org/officeDocument/2006/relationships" ref="A621" r:id="rId1240"/>
    <hyperlink xmlns:r="http://schemas.openxmlformats.org/officeDocument/2006/relationships" ref="I621" r:id="rId1241"/>
    <hyperlink xmlns:r="http://schemas.openxmlformats.org/officeDocument/2006/relationships" ref="A622" r:id="rId1242"/>
    <hyperlink xmlns:r="http://schemas.openxmlformats.org/officeDocument/2006/relationships" ref="I622" r:id="rId1243"/>
    <hyperlink xmlns:r="http://schemas.openxmlformats.org/officeDocument/2006/relationships" ref="A623" r:id="rId1244"/>
    <hyperlink xmlns:r="http://schemas.openxmlformats.org/officeDocument/2006/relationships" ref="I623" r:id="rId1245"/>
    <hyperlink xmlns:r="http://schemas.openxmlformats.org/officeDocument/2006/relationships" ref="A624" r:id="rId1246"/>
    <hyperlink xmlns:r="http://schemas.openxmlformats.org/officeDocument/2006/relationships" ref="I624" r:id="rId1247"/>
    <hyperlink xmlns:r="http://schemas.openxmlformats.org/officeDocument/2006/relationships" ref="A625" r:id="rId1248"/>
    <hyperlink xmlns:r="http://schemas.openxmlformats.org/officeDocument/2006/relationships" ref="I625" r:id="rId1249"/>
    <hyperlink xmlns:r="http://schemas.openxmlformats.org/officeDocument/2006/relationships" ref="A626" r:id="rId1250"/>
    <hyperlink xmlns:r="http://schemas.openxmlformats.org/officeDocument/2006/relationships" ref="I626" r:id="rId1251"/>
    <hyperlink xmlns:r="http://schemas.openxmlformats.org/officeDocument/2006/relationships" ref="A627" r:id="rId1252"/>
    <hyperlink xmlns:r="http://schemas.openxmlformats.org/officeDocument/2006/relationships" ref="I627" r:id="rId1253"/>
    <hyperlink xmlns:r="http://schemas.openxmlformats.org/officeDocument/2006/relationships" ref="A628" r:id="rId1254"/>
    <hyperlink xmlns:r="http://schemas.openxmlformats.org/officeDocument/2006/relationships" ref="I628" r:id="rId1255"/>
    <hyperlink xmlns:r="http://schemas.openxmlformats.org/officeDocument/2006/relationships" ref="A629" r:id="rId1256"/>
    <hyperlink xmlns:r="http://schemas.openxmlformats.org/officeDocument/2006/relationships" ref="I629" r:id="rId1257"/>
    <hyperlink xmlns:r="http://schemas.openxmlformats.org/officeDocument/2006/relationships" ref="A630" r:id="rId1258"/>
    <hyperlink xmlns:r="http://schemas.openxmlformats.org/officeDocument/2006/relationships" ref="I630" r:id="rId1259"/>
    <hyperlink xmlns:r="http://schemas.openxmlformats.org/officeDocument/2006/relationships" ref="A631" r:id="rId1260"/>
    <hyperlink xmlns:r="http://schemas.openxmlformats.org/officeDocument/2006/relationships" ref="I631" r:id="rId1261"/>
    <hyperlink xmlns:r="http://schemas.openxmlformats.org/officeDocument/2006/relationships" ref="A632" r:id="rId1262"/>
    <hyperlink xmlns:r="http://schemas.openxmlformats.org/officeDocument/2006/relationships" ref="I632" r:id="rId1263"/>
    <hyperlink xmlns:r="http://schemas.openxmlformats.org/officeDocument/2006/relationships" ref="A633" r:id="rId1264"/>
    <hyperlink xmlns:r="http://schemas.openxmlformats.org/officeDocument/2006/relationships" ref="I633" r:id="rId1265"/>
    <hyperlink xmlns:r="http://schemas.openxmlformats.org/officeDocument/2006/relationships" ref="A634" r:id="rId1266"/>
    <hyperlink xmlns:r="http://schemas.openxmlformats.org/officeDocument/2006/relationships" ref="I634" r:id="rId1267"/>
    <hyperlink xmlns:r="http://schemas.openxmlformats.org/officeDocument/2006/relationships" ref="A635" r:id="rId1268"/>
    <hyperlink xmlns:r="http://schemas.openxmlformats.org/officeDocument/2006/relationships" ref="I635" r:id="rId1269"/>
    <hyperlink xmlns:r="http://schemas.openxmlformats.org/officeDocument/2006/relationships" ref="A636" r:id="rId1270"/>
    <hyperlink xmlns:r="http://schemas.openxmlformats.org/officeDocument/2006/relationships" ref="I636" r:id="rId1271"/>
    <hyperlink xmlns:r="http://schemas.openxmlformats.org/officeDocument/2006/relationships" ref="A637" r:id="rId1272"/>
    <hyperlink xmlns:r="http://schemas.openxmlformats.org/officeDocument/2006/relationships" ref="I637" r:id="rId1273"/>
    <hyperlink xmlns:r="http://schemas.openxmlformats.org/officeDocument/2006/relationships" ref="A638" r:id="rId1274"/>
    <hyperlink xmlns:r="http://schemas.openxmlformats.org/officeDocument/2006/relationships" ref="I638" r:id="rId1275"/>
    <hyperlink xmlns:r="http://schemas.openxmlformats.org/officeDocument/2006/relationships" ref="A639" r:id="rId1276"/>
    <hyperlink xmlns:r="http://schemas.openxmlformats.org/officeDocument/2006/relationships" ref="I639" r:id="rId1277"/>
    <hyperlink xmlns:r="http://schemas.openxmlformats.org/officeDocument/2006/relationships" ref="A640" r:id="rId1278"/>
    <hyperlink xmlns:r="http://schemas.openxmlformats.org/officeDocument/2006/relationships" ref="I640" r:id="rId1279"/>
    <hyperlink xmlns:r="http://schemas.openxmlformats.org/officeDocument/2006/relationships" ref="A641" r:id="rId1280"/>
    <hyperlink xmlns:r="http://schemas.openxmlformats.org/officeDocument/2006/relationships" ref="I641" r:id="rId1281"/>
    <hyperlink xmlns:r="http://schemas.openxmlformats.org/officeDocument/2006/relationships" ref="A642" r:id="rId1282"/>
    <hyperlink xmlns:r="http://schemas.openxmlformats.org/officeDocument/2006/relationships" ref="I642" r:id="rId1283"/>
    <hyperlink xmlns:r="http://schemas.openxmlformats.org/officeDocument/2006/relationships" ref="A643" r:id="rId1284"/>
    <hyperlink xmlns:r="http://schemas.openxmlformats.org/officeDocument/2006/relationships" ref="I643" r:id="rId1285"/>
    <hyperlink xmlns:r="http://schemas.openxmlformats.org/officeDocument/2006/relationships" ref="A644" r:id="rId1286"/>
    <hyperlink xmlns:r="http://schemas.openxmlformats.org/officeDocument/2006/relationships" ref="I644" r:id="rId1287"/>
    <hyperlink xmlns:r="http://schemas.openxmlformats.org/officeDocument/2006/relationships" ref="A645" r:id="rId1288"/>
    <hyperlink xmlns:r="http://schemas.openxmlformats.org/officeDocument/2006/relationships" ref="I645" r:id="rId1289"/>
    <hyperlink xmlns:r="http://schemas.openxmlformats.org/officeDocument/2006/relationships" ref="A646" r:id="rId1290"/>
    <hyperlink xmlns:r="http://schemas.openxmlformats.org/officeDocument/2006/relationships" ref="I646" r:id="rId1291"/>
    <hyperlink xmlns:r="http://schemas.openxmlformats.org/officeDocument/2006/relationships" ref="A647" r:id="rId1292"/>
    <hyperlink xmlns:r="http://schemas.openxmlformats.org/officeDocument/2006/relationships" ref="I647" r:id="rId1293"/>
    <hyperlink xmlns:r="http://schemas.openxmlformats.org/officeDocument/2006/relationships" ref="A648" r:id="rId1294"/>
    <hyperlink xmlns:r="http://schemas.openxmlformats.org/officeDocument/2006/relationships" ref="I648" r:id="rId1295"/>
    <hyperlink xmlns:r="http://schemas.openxmlformats.org/officeDocument/2006/relationships" ref="A649" r:id="rId1296"/>
    <hyperlink xmlns:r="http://schemas.openxmlformats.org/officeDocument/2006/relationships" ref="I649" r:id="rId1297"/>
    <hyperlink xmlns:r="http://schemas.openxmlformats.org/officeDocument/2006/relationships" ref="A650" r:id="rId1298"/>
    <hyperlink xmlns:r="http://schemas.openxmlformats.org/officeDocument/2006/relationships" ref="I650" r:id="rId1299"/>
    <hyperlink xmlns:r="http://schemas.openxmlformats.org/officeDocument/2006/relationships" ref="A651" r:id="rId1300"/>
    <hyperlink xmlns:r="http://schemas.openxmlformats.org/officeDocument/2006/relationships" ref="I651" r:id="rId1301"/>
    <hyperlink xmlns:r="http://schemas.openxmlformats.org/officeDocument/2006/relationships" ref="A652" r:id="rId1302"/>
    <hyperlink xmlns:r="http://schemas.openxmlformats.org/officeDocument/2006/relationships" ref="I652" r:id="rId1303"/>
    <hyperlink xmlns:r="http://schemas.openxmlformats.org/officeDocument/2006/relationships" ref="A653" r:id="rId1304"/>
    <hyperlink xmlns:r="http://schemas.openxmlformats.org/officeDocument/2006/relationships" ref="I653" r:id="rId1305"/>
    <hyperlink xmlns:r="http://schemas.openxmlformats.org/officeDocument/2006/relationships" ref="A654" r:id="rId1306"/>
    <hyperlink xmlns:r="http://schemas.openxmlformats.org/officeDocument/2006/relationships" ref="I654" r:id="rId1307"/>
    <hyperlink xmlns:r="http://schemas.openxmlformats.org/officeDocument/2006/relationships" ref="A655" r:id="rId1308"/>
    <hyperlink xmlns:r="http://schemas.openxmlformats.org/officeDocument/2006/relationships" ref="I655" r:id="rId1309"/>
    <hyperlink xmlns:r="http://schemas.openxmlformats.org/officeDocument/2006/relationships" ref="A656" r:id="rId1310"/>
    <hyperlink xmlns:r="http://schemas.openxmlformats.org/officeDocument/2006/relationships" ref="I656" r:id="rId1311"/>
    <hyperlink xmlns:r="http://schemas.openxmlformats.org/officeDocument/2006/relationships" ref="A657" r:id="rId1312"/>
    <hyperlink xmlns:r="http://schemas.openxmlformats.org/officeDocument/2006/relationships" ref="I657" r:id="rId1313"/>
    <hyperlink xmlns:r="http://schemas.openxmlformats.org/officeDocument/2006/relationships" ref="A658" r:id="rId1314"/>
    <hyperlink xmlns:r="http://schemas.openxmlformats.org/officeDocument/2006/relationships" ref="I658" r:id="rId1315"/>
    <hyperlink xmlns:r="http://schemas.openxmlformats.org/officeDocument/2006/relationships" ref="A659" r:id="rId1316"/>
    <hyperlink xmlns:r="http://schemas.openxmlformats.org/officeDocument/2006/relationships" ref="I659" r:id="rId1317"/>
    <hyperlink xmlns:r="http://schemas.openxmlformats.org/officeDocument/2006/relationships" ref="A660" r:id="rId1318"/>
    <hyperlink xmlns:r="http://schemas.openxmlformats.org/officeDocument/2006/relationships" ref="I660" r:id="rId1319"/>
    <hyperlink xmlns:r="http://schemas.openxmlformats.org/officeDocument/2006/relationships" ref="A661" r:id="rId1320"/>
    <hyperlink xmlns:r="http://schemas.openxmlformats.org/officeDocument/2006/relationships" ref="I661" r:id="rId1321"/>
    <hyperlink xmlns:r="http://schemas.openxmlformats.org/officeDocument/2006/relationships" ref="A662" r:id="rId1322"/>
    <hyperlink xmlns:r="http://schemas.openxmlformats.org/officeDocument/2006/relationships" ref="I662" r:id="rId1323"/>
    <hyperlink xmlns:r="http://schemas.openxmlformats.org/officeDocument/2006/relationships" ref="A663" r:id="rId1324"/>
    <hyperlink xmlns:r="http://schemas.openxmlformats.org/officeDocument/2006/relationships" ref="I663" r:id="rId1325"/>
    <hyperlink xmlns:r="http://schemas.openxmlformats.org/officeDocument/2006/relationships" ref="A664" r:id="rId1326"/>
    <hyperlink xmlns:r="http://schemas.openxmlformats.org/officeDocument/2006/relationships" ref="I664" r:id="rId1327"/>
    <hyperlink xmlns:r="http://schemas.openxmlformats.org/officeDocument/2006/relationships" ref="A665" r:id="rId1328"/>
    <hyperlink xmlns:r="http://schemas.openxmlformats.org/officeDocument/2006/relationships" ref="I665" r:id="rId1329"/>
    <hyperlink xmlns:r="http://schemas.openxmlformats.org/officeDocument/2006/relationships" ref="A666" r:id="rId1330"/>
    <hyperlink xmlns:r="http://schemas.openxmlformats.org/officeDocument/2006/relationships" ref="I666" r:id="rId1331"/>
    <hyperlink xmlns:r="http://schemas.openxmlformats.org/officeDocument/2006/relationships" ref="A667" r:id="rId1332"/>
    <hyperlink xmlns:r="http://schemas.openxmlformats.org/officeDocument/2006/relationships" ref="I667" r:id="rId1333"/>
    <hyperlink xmlns:r="http://schemas.openxmlformats.org/officeDocument/2006/relationships" ref="A668" r:id="rId1334"/>
    <hyperlink xmlns:r="http://schemas.openxmlformats.org/officeDocument/2006/relationships" ref="I668" r:id="rId1335"/>
    <hyperlink xmlns:r="http://schemas.openxmlformats.org/officeDocument/2006/relationships" ref="A669" r:id="rId1336"/>
    <hyperlink xmlns:r="http://schemas.openxmlformats.org/officeDocument/2006/relationships" ref="I669" r:id="rId1337"/>
    <hyperlink xmlns:r="http://schemas.openxmlformats.org/officeDocument/2006/relationships" ref="A670" r:id="rId1338"/>
    <hyperlink xmlns:r="http://schemas.openxmlformats.org/officeDocument/2006/relationships" ref="I670" r:id="rId1339"/>
    <hyperlink xmlns:r="http://schemas.openxmlformats.org/officeDocument/2006/relationships" ref="A671" r:id="rId1340"/>
    <hyperlink xmlns:r="http://schemas.openxmlformats.org/officeDocument/2006/relationships" ref="I671" r:id="rId1341"/>
    <hyperlink xmlns:r="http://schemas.openxmlformats.org/officeDocument/2006/relationships" ref="A672" r:id="rId1342"/>
    <hyperlink xmlns:r="http://schemas.openxmlformats.org/officeDocument/2006/relationships" ref="I672" r:id="rId1343"/>
    <hyperlink xmlns:r="http://schemas.openxmlformats.org/officeDocument/2006/relationships" ref="A673" r:id="rId1344"/>
    <hyperlink xmlns:r="http://schemas.openxmlformats.org/officeDocument/2006/relationships" ref="I673" r:id="rId1345"/>
    <hyperlink xmlns:r="http://schemas.openxmlformats.org/officeDocument/2006/relationships" ref="A674" r:id="rId1346"/>
    <hyperlink xmlns:r="http://schemas.openxmlformats.org/officeDocument/2006/relationships" ref="I674" r:id="rId1347"/>
    <hyperlink xmlns:r="http://schemas.openxmlformats.org/officeDocument/2006/relationships" ref="A675" r:id="rId1348"/>
    <hyperlink xmlns:r="http://schemas.openxmlformats.org/officeDocument/2006/relationships" ref="I675" r:id="rId1349"/>
    <hyperlink xmlns:r="http://schemas.openxmlformats.org/officeDocument/2006/relationships" ref="A676" r:id="rId1350"/>
    <hyperlink xmlns:r="http://schemas.openxmlformats.org/officeDocument/2006/relationships" ref="I676" r:id="rId1351"/>
    <hyperlink xmlns:r="http://schemas.openxmlformats.org/officeDocument/2006/relationships" ref="A677" r:id="rId1352"/>
    <hyperlink xmlns:r="http://schemas.openxmlformats.org/officeDocument/2006/relationships" ref="I677" r:id="rId1353"/>
    <hyperlink xmlns:r="http://schemas.openxmlformats.org/officeDocument/2006/relationships" ref="A678" r:id="rId1354"/>
    <hyperlink xmlns:r="http://schemas.openxmlformats.org/officeDocument/2006/relationships" ref="I678" r:id="rId1355"/>
    <hyperlink xmlns:r="http://schemas.openxmlformats.org/officeDocument/2006/relationships" ref="A679" r:id="rId1356"/>
    <hyperlink xmlns:r="http://schemas.openxmlformats.org/officeDocument/2006/relationships" ref="I679" r:id="rId1357"/>
    <hyperlink xmlns:r="http://schemas.openxmlformats.org/officeDocument/2006/relationships" ref="A680" r:id="rId1358"/>
    <hyperlink xmlns:r="http://schemas.openxmlformats.org/officeDocument/2006/relationships" ref="I680" r:id="rId1359"/>
    <hyperlink xmlns:r="http://schemas.openxmlformats.org/officeDocument/2006/relationships" ref="A681" r:id="rId1360"/>
    <hyperlink xmlns:r="http://schemas.openxmlformats.org/officeDocument/2006/relationships" ref="I681" r:id="rId1361"/>
    <hyperlink xmlns:r="http://schemas.openxmlformats.org/officeDocument/2006/relationships" ref="A682" r:id="rId1362"/>
    <hyperlink xmlns:r="http://schemas.openxmlformats.org/officeDocument/2006/relationships" ref="I682" r:id="rId1363"/>
    <hyperlink xmlns:r="http://schemas.openxmlformats.org/officeDocument/2006/relationships" ref="A683" r:id="rId1364"/>
    <hyperlink xmlns:r="http://schemas.openxmlformats.org/officeDocument/2006/relationships" ref="I683" r:id="rId1365"/>
    <hyperlink xmlns:r="http://schemas.openxmlformats.org/officeDocument/2006/relationships" ref="A684" r:id="rId1366"/>
    <hyperlink xmlns:r="http://schemas.openxmlformats.org/officeDocument/2006/relationships" ref="I684" r:id="rId1367"/>
    <hyperlink xmlns:r="http://schemas.openxmlformats.org/officeDocument/2006/relationships" ref="A685" r:id="rId1368"/>
    <hyperlink xmlns:r="http://schemas.openxmlformats.org/officeDocument/2006/relationships" ref="I685" r:id="rId1369"/>
    <hyperlink xmlns:r="http://schemas.openxmlformats.org/officeDocument/2006/relationships" ref="A686" r:id="rId1370"/>
    <hyperlink xmlns:r="http://schemas.openxmlformats.org/officeDocument/2006/relationships" ref="I686" r:id="rId1371"/>
    <hyperlink xmlns:r="http://schemas.openxmlformats.org/officeDocument/2006/relationships" ref="A687" r:id="rId1372"/>
    <hyperlink xmlns:r="http://schemas.openxmlformats.org/officeDocument/2006/relationships" ref="I687" r:id="rId1373"/>
    <hyperlink xmlns:r="http://schemas.openxmlformats.org/officeDocument/2006/relationships" ref="A688" r:id="rId1374"/>
    <hyperlink xmlns:r="http://schemas.openxmlformats.org/officeDocument/2006/relationships" ref="I688" r:id="rId1375"/>
    <hyperlink xmlns:r="http://schemas.openxmlformats.org/officeDocument/2006/relationships" ref="A689" r:id="rId1376"/>
    <hyperlink xmlns:r="http://schemas.openxmlformats.org/officeDocument/2006/relationships" ref="I689" r:id="rId1377"/>
    <hyperlink xmlns:r="http://schemas.openxmlformats.org/officeDocument/2006/relationships" ref="A690" r:id="rId1378"/>
    <hyperlink xmlns:r="http://schemas.openxmlformats.org/officeDocument/2006/relationships" ref="I690" r:id="rId1379"/>
    <hyperlink xmlns:r="http://schemas.openxmlformats.org/officeDocument/2006/relationships" ref="A691" r:id="rId1380"/>
    <hyperlink xmlns:r="http://schemas.openxmlformats.org/officeDocument/2006/relationships" ref="I691" r:id="rId1381"/>
    <hyperlink xmlns:r="http://schemas.openxmlformats.org/officeDocument/2006/relationships" ref="A692" r:id="rId1382"/>
    <hyperlink xmlns:r="http://schemas.openxmlformats.org/officeDocument/2006/relationships" ref="I692" r:id="rId1383"/>
    <hyperlink xmlns:r="http://schemas.openxmlformats.org/officeDocument/2006/relationships" ref="A693" r:id="rId1384"/>
    <hyperlink xmlns:r="http://schemas.openxmlformats.org/officeDocument/2006/relationships" ref="I693" r:id="rId1385"/>
    <hyperlink xmlns:r="http://schemas.openxmlformats.org/officeDocument/2006/relationships" ref="A694" r:id="rId1386"/>
    <hyperlink xmlns:r="http://schemas.openxmlformats.org/officeDocument/2006/relationships" ref="I694" r:id="rId1387"/>
    <hyperlink xmlns:r="http://schemas.openxmlformats.org/officeDocument/2006/relationships" ref="A695" r:id="rId1388"/>
    <hyperlink xmlns:r="http://schemas.openxmlformats.org/officeDocument/2006/relationships" ref="I695" r:id="rId1389"/>
    <hyperlink xmlns:r="http://schemas.openxmlformats.org/officeDocument/2006/relationships" ref="A696" r:id="rId1390"/>
    <hyperlink xmlns:r="http://schemas.openxmlformats.org/officeDocument/2006/relationships" ref="I696" r:id="rId1391"/>
    <hyperlink xmlns:r="http://schemas.openxmlformats.org/officeDocument/2006/relationships" ref="A697" r:id="rId1392"/>
    <hyperlink xmlns:r="http://schemas.openxmlformats.org/officeDocument/2006/relationships" ref="I697" r:id="rId1393"/>
    <hyperlink xmlns:r="http://schemas.openxmlformats.org/officeDocument/2006/relationships" ref="A698" r:id="rId1394"/>
    <hyperlink xmlns:r="http://schemas.openxmlformats.org/officeDocument/2006/relationships" ref="I698" r:id="rId1395"/>
    <hyperlink xmlns:r="http://schemas.openxmlformats.org/officeDocument/2006/relationships" ref="A699" r:id="rId1396"/>
    <hyperlink xmlns:r="http://schemas.openxmlformats.org/officeDocument/2006/relationships" ref="I699" r:id="rId1397"/>
    <hyperlink xmlns:r="http://schemas.openxmlformats.org/officeDocument/2006/relationships" ref="A700" r:id="rId1398"/>
    <hyperlink xmlns:r="http://schemas.openxmlformats.org/officeDocument/2006/relationships" ref="I700" r:id="rId1399"/>
    <hyperlink xmlns:r="http://schemas.openxmlformats.org/officeDocument/2006/relationships" ref="A701" r:id="rId1400"/>
    <hyperlink xmlns:r="http://schemas.openxmlformats.org/officeDocument/2006/relationships" ref="I701" r:id="rId1401"/>
    <hyperlink xmlns:r="http://schemas.openxmlformats.org/officeDocument/2006/relationships" ref="A702" r:id="rId1402"/>
    <hyperlink xmlns:r="http://schemas.openxmlformats.org/officeDocument/2006/relationships" ref="I702" r:id="rId1403"/>
    <hyperlink xmlns:r="http://schemas.openxmlformats.org/officeDocument/2006/relationships" ref="A703" r:id="rId1404"/>
    <hyperlink xmlns:r="http://schemas.openxmlformats.org/officeDocument/2006/relationships" ref="I703" r:id="rId1405"/>
    <hyperlink xmlns:r="http://schemas.openxmlformats.org/officeDocument/2006/relationships" ref="A704" r:id="rId1406"/>
    <hyperlink xmlns:r="http://schemas.openxmlformats.org/officeDocument/2006/relationships" ref="I704" r:id="rId1407"/>
    <hyperlink xmlns:r="http://schemas.openxmlformats.org/officeDocument/2006/relationships" ref="A705" r:id="rId1408"/>
    <hyperlink xmlns:r="http://schemas.openxmlformats.org/officeDocument/2006/relationships" ref="I705" r:id="rId1409"/>
    <hyperlink xmlns:r="http://schemas.openxmlformats.org/officeDocument/2006/relationships" ref="A706" r:id="rId1410"/>
    <hyperlink xmlns:r="http://schemas.openxmlformats.org/officeDocument/2006/relationships" ref="I706" r:id="rId1411"/>
    <hyperlink xmlns:r="http://schemas.openxmlformats.org/officeDocument/2006/relationships" ref="A707" r:id="rId1412"/>
    <hyperlink xmlns:r="http://schemas.openxmlformats.org/officeDocument/2006/relationships" ref="I707" r:id="rId1413"/>
    <hyperlink xmlns:r="http://schemas.openxmlformats.org/officeDocument/2006/relationships" ref="A708" r:id="rId1414"/>
    <hyperlink xmlns:r="http://schemas.openxmlformats.org/officeDocument/2006/relationships" ref="I708" r:id="rId1415"/>
    <hyperlink xmlns:r="http://schemas.openxmlformats.org/officeDocument/2006/relationships" ref="A709" r:id="rId1416"/>
    <hyperlink xmlns:r="http://schemas.openxmlformats.org/officeDocument/2006/relationships" ref="I709" r:id="rId1417"/>
    <hyperlink xmlns:r="http://schemas.openxmlformats.org/officeDocument/2006/relationships" ref="A710" r:id="rId1418"/>
    <hyperlink xmlns:r="http://schemas.openxmlformats.org/officeDocument/2006/relationships" ref="I710" r:id="rId1419"/>
    <hyperlink xmlns:r="http://schemas.openxmlformats.org/officeDocument/2006/relationships" ref="A711" r:id="rId1420"/>
    <hyperlink xmlns:r="http://schemas.openxmlformats.org/officeDocument/2006/relationships" ref="I711" r:id="rId1421"/>
    <hyperlink xmlns:r="http://schemas.openxmlformats.org/officeDocument/2006/relationships" ref="A712" r:id="rId1422"/>
    <hyperlink xmlns:r="http://schemas.openxmlformats.org/officeDocument/2006/relationships" ref="I712" r:id="rId1423"/>
    <hyperlink xmlns:r="http://schemas.openxmlformats.org/officeDocument/2006/relationships" ref="A713" r:id="rId1424"/>
    <hyperlink xmlns:r="http://schemas.openxmlformats.org/officeDocument/2006/relationships" ref="I713" r:id="rId142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5" customWidth="1" min="1" max="1"/>
    <col width="20" customWidth="1" min="2" max="2"/>
    <col width="18" customWidth="1" min="3" max="3"/>
    <col width="12" customWidth="1" min="4" max="4"/>
  </cols>
  <sheetData>
    <row r="1">
      <c r="A1" s="3" t="inlineStr">
        <is>
          <t>URL</t>
        </is>
      </c>
      <c r="B1" s="3" t="inlineStr">
        <is>
          <t>Heading (Question)</t>
        </is>
      </c>
      <c r="C1" s="3" t="inlineStr">
        <is>
          <t>Snippet (Answer)</t>
        </is>
      </c>
      <c r="D1" s="3" t="inlineStr">
        <is>
          <t>Word Count</t>
        </is>
      </c>
      <c r="E1" s="23" t="inlineStr">
        <is>
          <t>BACK TO DASHBOARD</t>
        </is>
      </c>
    </row>
  </sheetData>
  <autoFilter ref="A1:D1"/>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Heading (Question)" prompt="Heading (Question). Review this metric to identify risk, then use linked tabs for details and remediation." type="custom">
      <formula1>TRUE</formula1>
    </dataValidation>
    <dataValidation sqref="C1" showDropDown="0" showInputMessage="1" showErrorMessage="0" allowBlank="1" promptTitle="Snippet (Answer)" prompt="Snippet (Answer). Review this metric to identify risk, then use linked tabs for details and remediation." type="custom">
      <formula1>TRUE</formula1>
    </dataValidation>
    <dataValidation sqref="D1" showDropDown="0" showInputMessage="1" showErrorMessage="0" allowBlank="1" promptTitle="Word Count" prompt="Content quality depth metric. Fix: expand thin content and improve clarity for search intent." type="custom">
      <formula1>TRUE</formula1>
    </dataValidation>
    <dataValidation sqref="E1" showDropDown="0" showInputMessage="1" showErrorMessage="0" allowBlank="1" promptTitle="BACK TO DASHBOARD" prompt="BACK TO DASHBOARD. Review this metric to identify risk, then use linked tabs for details and remediation." type="custom">
      <formula1>TRUE</formula1>
    </dataValidation>
    <dataValidation sqref="D1" showDropDown="0" showInputMessage="1" showErrorMessage="0" allowBlank="1" promptTitle="Word Count" prompt="Approximate body word count depth. Fix: Expand thin pages with original, search-intent-aligned content." type="custom">
      <formula1>TRUE</formula1>
    </dataValidation>
  </dataValidations>
  <hyperlinks>
    <hyperlink xmlns:r="http://schemas.openxmlformats.org/officeDocument/2006/relationships" ref="E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60" customWidth="1" min="3" max="3"/>
    <col width="20" customWidth="1" min="4" max="4"/>
    <col width="24" customWidth="1" min="5" max="5"/>
    <col width="46" customWidth="1" min="6" max="6"/>
    <col width="26" customWidth="1" min="7" max="7"/>
    <col width="31" customWidth="1" min="8" max="8"/>
    <col width="31" customWidth="1" min="9" max="9"/>
    <col width="24" customWidth="1" min="10" max="10"/>
  </cols>
  <sheetData>
    <row r="1">
      <c r="A1" s="3" t="inlineStr">
        <is>
          <t>URL</t>
        </is>
      </c>
      <c r="B1" s="3" t="inlineStr">
        <is>
          <t>Image Count</t>
        </is>
      </c>
      <c r="C1" s="3" t="inlineStr">
        <is>
          <t>Images</t>
        </is>
      </c>
      <c r="D1" s="3" t="inlineStr">
        <is>
          <t>Images Missing Alt</t>
        </is>
      </c>
      <c r="E1" s="3" t="inlineStr">
        <is>
          <t>Image Alt Coverage (%)</t>
        </is>
      </c>
      <c r="F1" s="3" t="inlineStr">
        <is>
          <t>Image Extension Distribution</t>
        </is>
      </c>
      <c r="G1" s="3" t="inlineStr">
        <is>
          <t>Likely Large Image Count</t>
        </is>
      </c>
      <c r="H1" s="3" t="inlineStr">
        <is>
          <t>Image Filename Quality Issues</t>
        </is>
      </c>
      <c r="I1" s="3" t="inlineStr">
        <is>
          <t>Image On Canonical Domain (%)</t>
        </is>
      </c>
      <c r="J1" s="3" t="inlineStr">
        <is>
          <t>Mixed Content Detected</t>
        </is>
      </c>
      <c r="K1" t="inlineStr">
        <is>
          <t>Open in Main</t>
        </is>
      </c>
      <c r="L1" s="23" t="inlineStr">
        <is>
          <t>BACK TO DASHBOARD</t>
        </is>
      </c>
    </row>
    <row r="2">
      <c r="A2" s="33" t="inlineStr">
        <is>
          <t>https://africanmarketingconfederation.org/</t>
        </is>
      </c>
      <c r="B2" s="24" t="n">
        <v>39</v>
      </c>
      <c r="C2" s="27" t="inlineStr">
        <is>
          <t>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is>
      </c>
      <c r="D2" s="24" t="n">
        <v>13</v>
      </c>
      <c r="E2" s="24" t="n"/>
      <c r="F2" s="24" t="inlineStr">
        <is>
          <t>jpg:4, other:2, png:26, svg:2, webp:1</t>
        </is>
      </c>
      <c r="G2" s="24" t="n">
        <v>0</v>
      </c>
      <c r="H2" s="4" t="n">
        <v>0</v>
      </c>
      <c r="I2" s="24" t="n"/>
      <c r="J2" s="4" t="b">
        <v>0</v>
      </c>
      <c r="K2">
        <f>IFERROR(HYPERLINK("#Main!A"&amp;MATCH(A2,Main!A:A,0),"Open"),HYPERLINK("#Main!A1","Open"))</f>
        <v/>
      </c>
    </row>
    <row r="3" ht="30" customHeight="1">
      <c r="A3" s="33" t="inlineStr">
        <is>
          <t>https://africanmarketingconfederation.org/publication-download-list/</t>
        </is>
      </c>
      <c r="B3" s="6" t="n">
        <v>24</v>
      </c>
      <c r="C3" s="30" t="inlineStr">
        <is>
          <t>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is>
      </c>
      <c r="D3" s="6" t="n">
        <v>19</v>
      </c>
      <c r="E3" s="6" t="n"/>
      <c r="F3" s="6" t="inlineStr">
        <is>
          <t>jpg:2, other:2, png:18, svg:2</t>
        </is>
      </c>
      <c r="G3" s="6" t="n">
        <v>0</v>
      </c>
      <c r="H3" s="4" t="n">
        <v>0</v>
      </c>
      <c r="I3" s="6" t="n"/>
      <c r="J3" s="4" t="b">
        <v>0</v>
      </c>
      <c r="K3">
        <f>IFERROR(HYPERLINK("#Main!A"&amp;MATCH(A3,Main!A:A,0),"Open"),HYPERLINK("#Main!A1","Open"))</f>
        <v/>
      </c>
    </row>
    <row r="4" ht="30" customHeight="1">
      <c r="A4" s="33" t="inlineStr">
        <is>
          <t>https://africanmarketingconfederation.org/launch-event-2026-amc-conference/</t>
        </is>
      </c>
      <c r="B4" s="24" t="n">
        <v>9</v>
      </c>
      <c r="C4"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is>
      </c>
      <c r="D4" s="24" t="n">
        <v>9</v>
      </c>
      <c r="E4" s="24" t="n"/>
      <c r="F4" s="24" t="inlineStr">
        <is>
          <t>other:2, png:2, svg:4, webp:1</t>
        </is>
      </c>
      <c r="G4" s="24" t="n">
        <v>0</v>
      </c>
      <c r="H4" s="4" t="n">
        <v>0</v>
      </c>
      <c r="I4" s="24" t="n"/>
      <c r="J4" s="4" t="b">
        <v>0</v>
      </c>
      <c r="K4">
        <f>IFERROR(HYPERLINK("#Main!A"&amp;MATCH(A4,Main!A:A,0),"Open"),HYPERLINK("#Main!A1","Open"))</f>
        <v/>
      </c>
    </row>
    <row r="5" ht="30" customHeight="1">
      <c r="A5" s="33" t="inlineStr">
        <is>
          <t>https://africanmarketingconfederation.org/publications-2/</t>
        </is>
      </c>
      <c r="B5" s="6" t="n">
        <v>6</v>
      </c>
      <c r="C5" s="30" t="inlineStr">
        <is>
          <t>https://africanmarketingconfederation.org/wp-content/uploads/2021/08/facebook.svg | https://africanmarketingconfederation.org/wp-content/uploads/2021/08/linkedin.svg | https://africanmarketingconfederation.org/wp-content/uploads/2024/08/SMA-Issue-1-2026-COVER.png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is>
      </c>
      <c r="D5" s="6" t="n">
        <v>5</v>
      </c>
      <c r="E5" s="6" t="n"/>
      <c r="F5" s="6" t="inlineStr">
        <is>
          <t>other:2, png:2, svg:2</t>
        </is>
      </c>
      <c r="G5" s="6" t="n">
        <v>0</v>
      </c>
      <c r="H5" s="4" t="n">
        <v>0</v>
      </c>
      <c r="I5" s="6" t="n"/>
      <c r="J5" s="4" t="b">
        <v>0</v>
      </c>
      <c r="K5">
        <f>IFERROR(HYPERLINK("#Main!A"&amp;MATCH(A5,Main!A:A,0),"Open"),HYPERLINK("#Main!A1","Open"))</f>
        <v/>
      </c>
    </row>
    <row r="6" ht="30" customHeight="1">
      <c r="A6" s="33" t="inlineStr">
        <is>
          <t>https://africanmarketingconfederation.org/certified-professional-marketer-africa/</t>
        </is>
      </c>
      <c r="B6" s="24" t="n">
        <v>6</v>
      </c>
      <c r="C6" s="27" t="inlineStr">
        <is>
          <t>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is>
      </c>
      <c r="D6" s="24" t="n">
        <v>6</v>
      </c>
      <c r="E6" s="24" t="n"/>
      <c r="F6" s="24" t="inlineStr">
        <is>
          <t>other:2, png:2, svg:2</t>
        </is>
      </c>
      <c r="G6" s="24" t="n">
        <v>0</v>
      </c>
      <c r="H6" s="4" t="n">
        <v>0</v>
      </c>
      <c r="I6" s="24" t="n"/>
      <c r="J6" s="4" t="b">
        <v>0</v>
      </c>
      <c r="K6">
        <f>IFERROR(HYPERLINK("#Main!A"&amp;MATCH(A6,Main!A:A,0),"Open"),HYPERLINK("#Main!A1","Open"))</f>
        <v/>
      </c>
    </row>
    <row r="7" ht="30" customHeight="1">
      <c r="A7" s="33" t="inlineStr">
        <is>
          <t>https://africanmarketingconfederation.org/chartered-marketer-africa/</t>
        </is>
      </c>
      <c r="B7" s="6" t="n">
        <v>6</v>
      </c>
      <c r="C7" s="30"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is>
      </c>
      <c r="D7" s="6" t="n">
        <v>5</v>
      </c>
      <c r="E7" s="6" t="n"/>
      <c r="F7" s="6" t="inlineStr">
        <is>
          <t>other:2, png:2, svg:2</t>
        </is>
      </c>
      <c r="G7" s="6" t="n">
        <v>0</v>
      </c>
      <c r="H7" s="4" t="n">
        <v>0</v>
      </c>
      <c r="I7" s="6" t="n"/>
      <c r="J7" s="4" t="b">
        <v>0</v>
      </c>
      <c r="K7">
        <f>IFERROR(HYPERLINK("#Main!A"&amp;MATCH(A7,Main!A:A,0),"Open"),HYPERLINK("#Main!A1","Open"))</f>
        <v/>
      </c>
    </row>
    <row r="8" ht="30" customHeight="1">
      <c r="A8" s="33" t="inlineStr">
        <is>
          <t>https://africanmarketingconfederation.org/amc-conference-2026/</t>
        </is>
      </c>
      <c r="B8" s="24" t="n">
        <v>28</v>
      </c>
      <c r="C8"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is>
      </c>
      <c r="D8" s="24" t="n">
        <v>17</v>
      </c>
      <c r="E8" s="24" t="n"/>
      <c r="F8" s="24" t="inlineStr">
        <is>
          <t>jpg:17, other:2, png:5, svg:4</t>
        </is>
      </c>
      <c r="G8" s="24" t="n">
        <v>0</v>
      </c>
      <c r="H8" s="32" t="n">
        <v>4</v>
      </c>
      <c r="I8" s="24" t="n"/>
      <c r="J8" s="4" t="b">
        <v>0</v>
      </c>
      <c r="K8">
        <f>IFERROR(HYPERLINK("#Main!A"&amp;MATCH(A8,Main!A:A,0),"Open"),HYPERLINK("#Main!A1","Open"))</f>
        <v/>
      </c>
    </row>
    <row r="9" ht="30" customHeight="1">
      <c r="A9" s="33" t="inlineStr">
        <is>
          <t>https://africanmarketingconfederation.org/education/</t>
        </is>
      </c>
      <c r="B9" s="6" t="n">
        <v>6</v>
      </c>
      <c r="C9" s="30"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is>
      </c>
      <c r="D9" s="6" t="n">
        <v>5</v>
      </c>
      <c r="E9" s="6" t="n"/>
      <c r="F9" s="6" t="inlineStr">
        <is>
          <t>other:2, png:2, svg:2</t>
        </is>
      </c>
      <c r="G9" s="6" t="n">
        <v>0</v>
      </c>
      <c r="H9" s="4" t="n">
        <v>0</v>
      </c>
      <c r="I9" s="6" t="n"/>
      <c r="J9" s="4" t="b">
        <v>0</v>
      </c>
      <c r="K9">
        <f>IFERROR(HYPERLINK("#Main!A"&amp;MATCH(A9,Main!A:A,0),"Open"),HYPERLINK("#Main!A1","Open"))</f>
        <v/>
      </c>
    </row>
    <row r="10" ht="30" customHeight="1">
      <c r="A10" s="33" t="inlineStr">
        <is>
          <t>https://africanmarketingconfederation.org/awards-2026/</t>
        </is>
      </c>
      <c r="B10" s="24" t="n">
        <v>14</v>
      </c>
      <c r="C10" s="27" t="inlineStr">
        <is>
          <t>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is>
      </c>
      <c r="D10" s="24" t="n">
        <v>14</v>
      </c>
      <c r="E10" s="24" t="n"/>
      <c r="F10" s="24" t="inlineStr">
        <is>
          <t>jpg:1, other:2, png:9, svg:2</t>
        </is>
      </c>
      <c r="G10" s="24" t="n">
        <v>0</v>
      </c>
      <c r="H10" s="4" t="n">
        <v>0</v>
      </c>
      <c r="I10" s="24" t="n"/>
      <c r="J10" s="4" t="b">
        <v>0</v>
      </c>
      <c r="K10">
        <f>IFERROR(HYPERLINK("#Main!A"&amp;MATCH(A10,Main!A:A,0),"Open"),HYPERLINK("#Main!A1","Open"))</f>
        <v/>
      </c>
    </row>
    <row r="11" ht="30" customHeight="1">
      <c r="A11" s="33" t="inlineStr">
        <is>
          <t>https://africanmarketingconfederation.org/contact-us/</t>
        </is>
      </c>
      <c r="B11" s="6" t="n">
        <v>6</v>
      </c>
      <c r="C11" s="30" t="inlineStr">
        <is>
          <t>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is>
      </c>
      <c r="D11" s="6" t="n">
        <v>6</v>
      </c>
      <c r="E11" s="6" t="n"/>
      <c r="F11" s="6" t="inlineStr">
        <is>
          <t>jpg:1, other:2, png:1, svg:2</t>
        </is>
      </c>
      <c r="G11" s="6" t="n">
        <v>0</v>
      </c>
      <c r="H11" s="4" t="n">
        <v>0</v>
      </c>
      <c r="I11" s="6" t="n"/>
      <c r="J11" s="4" t="b">
        <v>0</v>
      </c>
      <c r="K11">
        <f>IFERROR(HYPERLINK("#Main!A"&amp;MATCH(A11,Main!A:A,0),"Open"),HYPERLINK("#Main!A1","Open"))</f>
        <v/>
      </c>
    </row>
    <row r="12" ht="30" customHeight="1">
      <c r="A12" s="33" t="inlineStr">
        <is>
          <t>https://africanmarketingconfederation.org/news-articles/</t>
        </is>
      </c>
      <c r="B12" s="24" t="n">
        <v>19</v>
      </c>
      <c r="C12" s="27" t="inlineStr">
        <is>
          <t>https://africanmarketingconfederation.org/wp-content/uploads/2021/08/facebook.svg | https://africanmarketingconfederation.org/wp-content/uploads/2021/08/linkedin.svg | https://africanmarketingconfederation.org/wp-content/uploads/2026/03/og-image.png | https://africanmarketingconfederation.org/wp-content/uploads/2026/04/17-April-Automotive-Marketing-300x169.jpg | https://africanmarketingconfederation.org/wp-content/uploads/2026/04/17-April-Business-Strategy-200x300.jpg | https://africanmarketingconfederation.org/wp-content/uploads/2026/04/21-April-Brand-Campaigns-300x169.jpg | https://africanmarketingconfederation.org/wp-content/uploads/2026/04/21-April-Executive-Appointments-300x169.jpeg | https://africanmarketingconfederation.org/wp-content/uploads/2026/04/22-April-Advertising-Awards-300x164.jpg | https://africanmarketingconfederation.org/wp-content/uploads/2026/04/22-April-Counterfeit-Goods-300x153.png | https://africanmarketingconfederation.org/wp-content/uploads/2026/04/23-April-Executive-Appointments-300x300.jpg | https://africanmarketingconfederation.org/wp-content/uploads/2026/04/23-April-Retail-Strategy-300x180.jpg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News+Articles&amp;cd%5Bpost_type%5D=page&amp;cd%5Bpost_id%5D=2196&amp;cd%5Bplugin%5D=PixelYourSite&amp;cd%5Buser_role%5D=guest&amp;cd%5Bevent_url%5D=africanmarketingconfederation.org%2Fnews-articles%2F</t>
        </is>
      </c>
      <c r="D12" s="24" t="n">
        <v>5</v>
      </c>
      <c r="E12" s="24" t="n"/>
      <c r="F12" s="24" t="inlineStr">
        <is>
          <t>jpeg:1, jpg:9, other:2, png:4, svg:2, webp:1</t>
        </is>
      </c>
      <c r="G12" s="24" t="n">
        <v>0</v>
      </c>
      <c r="H12" s="4" t="n">
        <v>0</v>
      </c>
      <c r="I12" s="24" t="n"/>
      <c r="J12" s="4" t="b">
        <v>0</v>
      </c>
      <c r="K12">
        <f>IFERROR(HYPERLINK("#Main!A"&amp;MATCH(A12,Main!A:A,0),"Open"),HYPERLINK("#Main!A1","Open"))</f>
        <v/>
      </c>
    </row>
    <row r="13" ht="30" customHeight="1">
      <c r="A13" s="33" t="inlineStr">
        <is>
          <t>https://africanmarketingconfederation.org/african-marketing-confederation-tourism-chapter/</t>
        </is>
      </c>
      <c r="B13" s="6" t="n">
        <v>25</v>
      </c>
      <c r="C13"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is>
      </c>
      <c r="D13" s="6" t="n">
        <v>9</v>
      </c>
      <c r="E13" s="6" t="n"/>
      <c r="F13" s="6" t="inlineStr">
        <is>
          <t>jpg:1, other:2, png:20, svg:2</t>
        </is>
      </c>
      <c r="G13" s="6" t="n">
        <v>0</v>
      </c>
      <c r="H13" s="4" t="n">
        <v>0</v>
      </c>
      <c r="I13" s="6" t="n"/>
      <c r="J13" s="4" t="b">
        <v>0</v>
      </c>
      <c r="K13">
        <f>IFERROR(HYPERLINK("#Main!A"&amp;MATCH(A13,Main!A:A,0),"Open"),HYPERLINK("#Main!A1","Open"))</f>
        <v/>
      </c>
    </row>
    <row r="14" ht="30" customHeight="1">
      <c r="A14" s="33" t="inlineStr">
        <is>
          <t>https://africanmarketingconfederation.org/sub-committees/</t>
        </is>
      </c>
      <c r="B14" s="24" t="n">
        <v>6</v>
      </c>
      <c r="C14" s="27" t="inlineStr">
        <is>
          <t>https://africanmarketingconfederation.org/wp-content/uploads/2021/08/cma_qualificationx3_1-1024x386.png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Committees&amp;cd%5Bpost_type%5D=page&amp;cd%5Bpost_id%5D=3634&amp;cd%5Bplugin%5D=PixelYourSite&amp;cd%5Buser_role%5D=guest&amp;cd%5Bevent_url%5D=africanmarketingconfederation.org%2Fsub-committees%2F</t>
        </is>
      </c>
      <c r="D14" s="24" t="n">
        <v>6</v>
      </c>
      <c r="E14" s="24" t="n"/>
      <c r="F14" s="24" t="inlineStr">
        <is>
          <t>other:2, png:2, svg:2</t>
        </is>
      </c>
      <c r="G14" s="24" t="n">
        <v>0</v>
      </c>
      <c r="H14" s="4" t="n">
        <v>0</v>
      </c>
      <c r="I14" s="24" t="n"/>
      <c r="J14" s="4" t="b">
        <v>0</v>
      </c>
      <c r="K14">
        <f>IFERROR(HYPERLINK("#Main!A"&amp;MATCH(A14,Main!A:A,0),"Open"),HYPERLINK("#Main!A1","Open"))</f>
        <v/>
      </c>
    </row>
    <row r="15" ht="30" customHeight="1">
      <c r="A15" s="33" t="inlineStr">
        <is>
          <t>https://africanmarketingconfederation.org/members/</t>
        </is>
      </c>
      <c r="B15" s="6" t="n">
        <v>23</v>
      </c>
      <c r="C15" s="30" t="inlineStr">
        <is>
          <t>https://africanmarketingconfederation.org/wp-content/uploads/2021/08/facebook.svg | https://africanmarketingconfederation.org/wp-content/uploads/2021/08/linkedin.svg | https://africanmarketingconfederation.org/wp-content/uploads/2021/09/AMMC_-morocco-300x177.png | https://africanmarketingconfederation.org/wp-content/uploads/2021/09/Institute-of-Marketing-Ghana-300x177.png | https://africanmarketingconfederation.org/wp-content/uploads/2021/09/Institute-of-Marketing-and-Management-Mauritius-300x177.png | https://africanmarketingconfederation.org/wp-content/uploads/2021/09/Marketers-Association-of-Zimbabwe-300x177.png | https://africanmarketingconfederation.org/wp-content/uploads/2021/09/Marketing-Society-of-Kenya-300x178.png | https://africanmarketingconfederation.org/wp-content/uploads/2021/09/The-National-Institute-of-Marketing-of-Nigeria-300x177.png | https://africanmarketingconfederation.org/wp-content/uploads/2021/09/The-Zambia-Institute-of-Marketing-300x178.png | https://africanmarketingconfederation.org/wp-content/uploads/2022/08/UMS-PNG-LOGO-BLUE-300x121.png | https://africanmarketingconfederation.org/wp-content/uploads/2022/11/FB_IMG_1667309073413-298x300.jpg | https://africanmarketingconfederation.org/wp-content/uploads/2024/02/IMM-Institute-New-Logo-Blue-Horizontal.png | https://africanmarketingconfederation.org/wp-content/uploads/2024/04/Untitled-2-12-300x300.png | https://africanmarketingconfederation.org/wp-content/uploads/2024/05/TMSA-LOgo-e1626470930648.png | https://africanmarketingconfederation.org/wp-content/uploads/2024/09/Asset-3-300x223.png | https://africanmarketingconfederation.org/wp-content/uploads/2025/05/The-Marketing-Association-of-Botswana-Logo-01-1.png | https://africanmarketingconfederation.org/wp-content/uploads/2025/07/thumbnail_atpmc-nouveau--300x116.jpg | https://africanmarketingconfederation.org/wp-content/uploads/2025/12/AMCM-Logo-copy.svg | https://africanmarketingconfederation.org/wp-content/uploads/2025/12/AVIS-AVIS.png | https://africanmarketingconfederation.org/wp-content/uploads/2026/03/The-Marketing-Association-of-Botswana-Logo-01-1-1.png | https://africanmarketingconfederation.org/wp-content/uploads/2026/03/og-image.png | https://www.facebook.com/tr?id=1795315120651843&amp;ev=PageView&amp;noscript=1 | https://www.facebook.com/tr?id=1795315120651843&amp;ev=PageView&amp;noscript=1&amp;cd%5Bpage_title%5D=Members&amp;cd%5Bpost_type%5D=page&amp;cd%5Bpost_id%5D=86&amp;cd%5Bplugin%5D=PixelYourSite&amp;cd%5Buser_role%5D=guest&amp;cd%5Bevent_url%5D=africanmarketingconfederation.org%2Fmembers%2F</t>
        </is>
      </c>
      <c r="D15" s="6" t="n">
        <v>21</v>
      </c>
      <c r="E15" s="6" t="n"/>
      <c r="F15" s="6" t="inlineStr">
        <is>
          <t>jpg:2, other:2, png:16, svg:3</t>
        </is>
      </c>
      <c r="G15" s="6" t="n">
        <v>0</v>
      </c>
      <c r="H15" s="4" t="n">
        <v>0</v>
      </c>
      <c r="I15" s="6" t="n"/>
      <c r="J15" s="4" t="b">
        <v>0</v>
      </c>
      <c r="K15">
        <f>IFERROR(HYPERLINK("#Main!A"&amp;MATCH(A15,Main!A:A,0),"Open"),HYPERLINK("#Main!A1","Open"))</f>
        <v/>
      </c>
    </row>
    <row r="16" ht="30" customHeight="1">
      <c r="A16" s="33" t="inlineStr">
        <is>
          <t>https://africanmarketingconfederation.org/about-us/</t>
        </is>
      </c>
      <c r="B16" s="24" t="n">
        <v>23</v>
      </c>
      <c r="C16" s="27" t="inlineStr">
        <is>
          <t>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is>
      </c>
      <c r="D16" s="24" t="n">
        <v>12</v>
      </c>
      <c r="E16" s="24" t="n"/>
      <c r="F16" s="24" t="inlineStr">
        <is>
          <t>other:2, png:19, svg:2</t>
        </is>
      </c>
      <c r="G16" s="24" t="n">
        <v>0</v>
      </c>
      <c r="H16" s="4" t="n">
        <v>0</v>
      </c>
      <c r="I16" s="24" t="n"/>
      <c r="J16" s="4" t="b">
        <v>0</v>
      </c>
      <c r="K16">
        <f>IFERROR(HYPERLINK("#Main!A"&amp;MATCH(A16,Main!A:A,0),"Open"),HYPERLINK("#Main!A1","Open"))</f>
        <v/>
      </c>
    </row>
    <row r="17" ht="30" customHeight="1">
      <c r="A17" s="33" t="inlineStr">
        <is>
          <t>https://africanmarketingconfederation.org/awards-2026-1/</t>
        </is>
      </c>
      <c r="B17" s="6" t="n">
        <v>15</v>
      </c>
      <c r="C17"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https://africanmarketingconfederation.org/wp-content/uploads/2026/04/Awards-page-2026-scaled.png | https://www.facebook.com/tr?id=1795315120651843&amp;ev=PageView&amp;noscript=1 | https://www.facebook.com/tr?id=1795315120651843&amp;ev=PageView&amp;noscript=1&amp;cd%5Bpage_title%5D=2026+AMC+Awards-1&amp;cd%5Bpost_type%5D=page&amp;cd%5Bpost_id%5D=32554&amp;cd%5Bplugin%5D=PixelYourSite&amp;cd%5Buser_role%5D=guest&amp;cd%5Bevent_url%5D=africanmarketingconfederation.org%2Fawards-2026-1%2F</t>
        </is>
      </c>
      <c r="D17" s="6" t="n">
        <v>15</v>
      </c>
      <c r="E17" s="6" t="n"/>
      <c r="F17" s="6" t="inlineStr">
        <is>
          <t>jpg:1, other:2, png:9, svg:3</t>
        </is>
      </c>
      <c r="G17" s="6" t="n">
        <v>0</v>
      </c>
      <c r="H17" s="4" t="n">
        <v>0</v>
      </c>
      <c r="I17" s="6" t="n"/>
      <c r="J17" s="4" t="b">
        <v>0</v>
      </c>
      <c r="K17">
        <f>IFERROR(HYPERLINK("#Main!A"&amp;MATCH(A17,Main!A:A,0),"Open"),HYPERLINK("#Main!A1","Open"))</f>
        <v/>
      </c>
    </row>
    <row r="18" ht="30" customHeight="1">
      <c r="A18" s="33" t="inlineStr">
        <is>
          <t>https://africanmarketingconfederation.org/awards-2026-test/</t>
        </is>
      </c>
      <c r="B18" s="24" t="n">
        <v>18</v>
      </c>
      <c r="C18"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Awards+2026+test&amp;cd%5Bpost_type%5D=page&amp;cd%5Bpost_id%5D=34552&amp;cd%5Bplugin%5D=PixelYourSite&amp;cd%5Buser_role%5D=guest&amp;cd%5Bevent_url%5D=africanmarketingconfederation.org%2Fawards-2026-test%2F</t>
        </is>
      </c>
      <c r="D18" s="24" t="n">
        <v>18</v>
      </c>
      <c r="E18" s="24" t="n"/>
      <c r="F18" s="24" t="inlineStr">
        <is>
          <t>jpg:1, other:2, png:10, svg:3</t>
        </is>
      </c>
      <c r="G18" s="24" t="n">
        <v>0</v>
      </c>
      <c r="H18" s="4" t="n">
        <v>0</v>
      </c>
      <c r="I18" s="24" t="n"/>
      <c r="J18" s="4" t="b">
        <v>0</v>
      </c>
      <c r="K18">
        <f>IFERROR(HYPERLINK("#Main!A"&amp;MATCH(A18,Main!A:A,0),"Open"),HYPERLINK("#Main!A1","Open"))</f>
        <v/>
      </c>
    </row>
    <row r="19" ht="30" customHeight="1">
      <c r="A19" s="33" t="inlineStr">
        <is>
          <t>https://africanmarketingconfederation.org/amc-conference-2026-awards-nominations-thank-you/</t>
        </is>
      </c>
      <c r="B19" s="6" t="n">
        <v>10</v>
      </c>
      <c r="C19"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Awards+Nominations+Thank+You&amp;cd%5Bpost_type%5D=page&amp;cd%5Bpost_id%5D=33280&amp;cd%5Bplugin%5D=PixelYourSite&amp;cd%5Buser_role%5D=guest&amp;cd%5Bevent_url%5D=africanmarketingconfederation.org%2Famc-conference-2026-awards-nominations-thank-you%2F</t>
        </is>
      </c>
      <c r="D19" s="6" t="n">
        <v>10</v>
      </c>
      <c r="E19" s="6" t="n"/>
      <c r="F19" s="6" t="inlineStr">
        <is>
          <t>other:2, png:5, svg:3</t>
        </is>
      </c>
      <c r="G19" s="6" t="n">
        <v>0</v>
      </c>
      <c r="H19" s="4" t="n">
        <v>0</v>
      </c>
      <c r="I19" s="6" t="n"/>
      <c r="J19" s="4" t="b">
        <v>0</v>
      </c>
      <c r="K19">
        <f>IFERROR(HYPERLINK("#Main!A"&amp;MATCH(A19,Main!A:A,0),"Open"),HYPERLINK("#Main!A1","Open"))</f>
        <v/>
      </c>
    </row>
    <row r="20" ht="30" customHeight="1">
      <c r="A20" s="33" t="inlineStr">
        <is>
          <t>https://africanmarketingconfederation.org/speakers-2025/</t>
        </is>
      </c>
      <c r="B20" s="24" t="n">
        <v>46</v>
      </c>
      <c r="C20"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https://africanmarketingconfederation.org/wp-content/uploads/2024/04/AMC-Website-Elements-4-2.png | https://africanmarketingconfederation.org/wp-content/uploads/2025/04/Dr-Elaine-van-wyk.png | https://africanmarketingconfederation.org/wp-content/uploads/2025/08/AMC-Speakers-2025.png | https://africanmarketingconfederation.org/wp-content/uploads/2025/08/AMC-Speakers-2025_Charles.png | https://africanmarketingconfederation.org/wp-content/uploads/2025/08/AMC-Speakers-2025_Chris-Wulff.png | https://africanmarketingconfederation.org/wp-content/uploads/2025/08/AMC-Speakers-2025_Estella.png | https://africanmarketingconfederation.org/wp-content/uploads/2025/08/AMC-Speakers-2025_Frederic.png | https://africanmarketingconfederation.org/wp-content/uploads/2025/08/AMC-Speakers-2025_Girish1.png | https://africanmarketingconfederation.org/wp-content/uploads/2025/08/AMC-Speakers-2025_Jan.png | https://africanmarketingconfederation.org/wp-content/uploads/2025/08/AMC-Speakers-2025_Julius.png | https://africanmarketingconfederation.org/wp-content/uploads/2025/08/AMC-Speakers-2025_Matogo.png | https://africanmarketingconfederation.org/wp-content/uploads/2025/08/AMC-Speakers-2025_Orla.png | https://africanmarketingconfederation.org/wp-content/uploads/2025/08/AMC-Speakers-2025_Pluto.png | https://africanmarketingconfederation.org/wp-content/uploads/2025/08/AMC-Speakers-2025_Prof-Robert.png | https://africanmarketingconfederation.org/wp-content/uploads/2025/08/AMC-Speakers-2025_Thobekile.png | https://africanmarketingconfederation.org/wp-content/uploads/2025/08/AMC-Speakers-2025_Yannick.png | https://africanmarketingconfederation.org/wp-content/uploads/2025/08/AMC-Speakers-2025png-Ralf-speaker.png | https://africanmarketingconfederation.org/wp-content/uploads/2025/08/AMC-Speakers-2025png-coetzee.png | https://africanmarketingconfederation.org/wp-content/uploads/2025/08/AMC-Speakers-2025pngChief-Executive-Officer-at-Npontu-Technologies-Limited.png | https://africanmarketingconfederation.org/wp-content/uploads/2025/08/Dr-Syed-Ferhat-Anwar-AMC-Speaker.png | https://africanmarketingconfederation.org/wp-content/uploads/2025/08/Elaine-van-Wyk-UXI-Group-CMO.png | https://africanmarketingconfederation.org/wp-content/uploads/2025/08/Helen-speaker.png | https://africanmarketingconfederation.org/wp-content/uploads/2025/08/James-stutton-CIM.png | https://africanmarketingconfederation.org/wp-content/uploads/2025/08/Maggi-CIM.png | https://africanmarketingconfederation.org/wp-content/uploads/2025/08/Provost-and-President-at-Academic-City-University-College.png | https://africanmarketingconfederation.org/wp-content/uploads/2025/08/robert1223-copy-14.png | https://africanmarketingconfederation.org/wp-content/uploads/2025/08/robert1223-copy-15.png | https://africanmarketingconfederation.org/wp-content/uploads/2025/08/robert1223-copy-16.png | https://africanmarketingconfederation.org/wp-content/uploads/2025/08/robert1223-copy-17.png | https://africanmarketingconfederation.org/wp-content/uploads/2025/08/robert1223-copy-18.png | https://africanmarketingconfederation.org/wp-content/uploads/2025/08/robert1223-copy-19.png | https://africanmarketingconfederation.org/wp-content/uploads/2025/08/robert1223-copy-20.png | https://africanmarketingconfederation.org/wp-content/uploads/2025/08/robert1223-copy-21.png | https://africanmarketingconfederation.org/wp-content/uploads/2025/08/robert1223-copy-22.png | https://africanmarketingconfederation.org/wp-content/uploads/2025/08/robert1223-copy-23.png | https://africanmarketingconfederation.org/wp-content/uploads/2025/09/AMC-Speakers-2025_DrAbubakar1-18.png | https://africanmarketingconfederation.org/wp-content/uploads/2025/09/AMC-Speakers-2025_Gilbert.png | https://africanmarketingconfederation.org/wp-content/uploads/2025/09/AMC-Speakers-2025_Pamela.png | https://africanmarketingconfederation.org/wp-content/uploads/2025/09/AMC-Speakers-2025_Stephen1-17.png | https://africanmarketingconfederation.org/wp-content/uploads/2026/03/AMC-Speakers-2025png-Prof-Douglas-new-2.png | https://www.facebook.com/tr?id=1795315120651843&amp;ev=PageView&amp;noscript=1 | https://www.facebook.com/tr?id=1795315120651843&amp;ev=PageView&amp;noscript=1&amp;cd%5Bpage_title%5D=Speakers+2025&amp;cd%5Bpost_type%5D=page&amp;cd%5Bpost_id%5D=21962&amp;cd%5Bplugin%5D=PixelYourSite&amp;cd%5Buser_role%5D=guest&amp;cd%5Bevent_url%5D=africanmarketingconfederation.org%2Fspeakers-2025%2F</t>
        </is>
      </c>
      <c r="D20" s="24" t="n">
        <v>46</v>
      </c>
      <c r="E20" s="24" t="n"/>
      <c r="F20" s="24" t="inlineStr">
        <is>
          <t>other:2, png:41, svg:3</t>
        </is>
      </c>
      <c r="G20" s="24" t="n">
        <v>0</v>
      </c>
      <c r="H20" s="4" t="n">
        <v>0</v>
      </c>
      <c r="I20" s="24" t="n"/>
      <c r="J20" s="4" t="b">
        <v>0</v>
      </c>
      <c r="K20">
        <f>IFERROR(HYPERLINK("#Main!A"&amp;MATCH(A20,Main!A:A,0),"Open"),HYPERLINK("#Main!A1","Open"))</f>
        <v/>
      </c>
    </row>
    <row r="21" ht="30" customHeight="1">
      <c r="A21" s="33" t="inlineStr">
        <is>
          <t>https://africanmarketingconfederation.org/amc-conference-2026-zambia-thank-you/</t>
        </is>
      </c>
      <c r="B21" s="6" t="n">
        <v>10</v>
      </c>
      <c r="C21"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Zambia+Thank+You&amp;cd%5Bpost_type%5D=page&amp;cd%5Bpost_id%5D=22778&amp;cd%5Bplugin%5D=PixelYourSite&amp;cd%5Buser_role%5D=guest&amp;cd%5Bevent_url%5D=africanmarketingconfederation.org%2Famc-conference-2026-zambia-thank-you%2F</t>
        </is>
      </c>
      <c r="D21" s="6" t="n">
        <v>10</v>
      </c>
      <c r="E21" s="6" t="n"/>
      <c r="F21" s="6" t="inlineStr">
        <is>
          <t>other:2, png:5, svg:3</t>
        </is>
      </c>
      <c r="G21" s="6" t="n">
        <v>0</v>
      </c>
      <c r="H21" s="4" t="n">
        <v>0</v>
      </c>
      <c r="I21" s="6" t="n"/>
      <c r="J21" s="4" t="b">
        <v>0</v>
      </c>
      <c r="K21">
        <f>IFERROR(HYPERLINK("#Main!A"&amp;MATCH(A21,Main!A:A,0),"Open"),HYPERLINK("#Main!A1","Open"))</f>
        <v/>
      </c>
    </row>
    <row r="22" ht="30" customHeight="1">
      <c r="A22" s="33" t="inlineStr">
        <is>
          <t>https://africanmarketingconfederation.org/amc-launch-event-zambia-thank-you-2026/</t>
        </is>
      </c>
      <c r="B22" s="24" t="n">
        <v>10</v>
      </c>
      <c r="C22"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Launch+Event+Zambia+Thank+You+2026&amp;cd%5Bpost_type%5D=page&amp;cd%5Bpost_id%5D=33131&amp;cd%5Bplugin%5D=PixelYourSite&amp;cd%5Buser_role%5D=guest&amp;cd%5Bevent_url%5D=africanmarketingconfederation.org%2Famc-launch-event-zambia-thank-you-2026%2F</t>
        </is>
      </c>
      <c r="D22" s="24" t="n">
        <v>10</v>
      </c>
      <c r="E22" s="24" t="n"/>
      <c r="F22" s="24" t="inlineStr">
        <is>
          <t>other:2, png:5, svg:3</t>
        </is>
      </c>
      <c r="G22" s="24" t="n">
        <v>0</v>
      </c>
      <c r="H22" s="4" t="n">
        <v>0</v>
      </c>
      <c r="I22" s="24" t="n"/>
      <c r="J22" s="4" t="b">
        <v>0</v>
      </c>
      <c r="K22">
        <f>IFERROR(HYPERLINK("#Main!A"&amp;MATCH(A22,Main!A:A,0),"Open"),HYPERLINK("#Main!A1","Open"))</f>
        <v/>
      </c>
    </row>
    <row r="23" ht="30" customHeight="1">
      <c r="A23" s="33" t="inlineStr">
        <is>
          <t>https://africanmarketingconfederation.org/amc-marketing-conference-2024/awards-2025/</t>
        </is>
      </c>
      <c r="B23" s="6" t="n">
        <v>28</v>
      </c>
      <c r="C23"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https://africanmarketingconfederation.org/wp-content/uploads/2024/03/AMC-Website-Elements-2-1-819x1024.png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https://africanmarketingconfederation.org/wp-content/uploads/2025/07/Charity.png | https://africanmarketingconfederation.org/wp-content/uploads/2025/07/charity-Icon.png | https://www.facebook.com/tr?id=1795315120651843&amp;ev=PageView&amp;noscript=1 | https://www.facebook.com/tr?id=1795315120651843&amp;ev=PageView&amp;noscript=1&amp;cd%5Bpage_title%5D=Awards+2025&amp;cd%5Bpost_type%5D=page&amp;cd%5Bpost_id%5D=29496&amp;cd%5Bplugin%5D=PixelYourSite&amp;cd%5Buser_role%5D=guest&amp;cd%5Bevent_url%5D=africanmarketingconfederation.org%2Famc-marketing-conference-2024%2Fawards-2025%2F</t>
        </is>
      </c>
      <c r="D23" s="6" t="n">
        <v>28</v>
      </c>
      <c r="E23" s="6" t="n"/>
      <c r="F23" s="6" t="inlineStr">
        <is>
          <t>other:2, png:18, svg:3</t>
        </is>
      </c>
      <c r="G23" s="6" t="n">
        <v>0</v>
      </c>
      <c r="H23" s="4" t="n">
        <v>0</v>
      </c>
      <c r="I23" s="6" t="n"/>
      <c r="J23" s="4" t="b">
        <v>0</v>
      </c>
      <c r="K23">
        <f>IFERROR(HYPERLINK("#Main!A"&amp;MATCH(A23,Main!A:A,0),"Open"),HYPERLINK("#Main!A1","Open"))</f>
        <v/>
      </c>
    </row>
    <row r="24" ht="30" customHeight="1">
      <c r="A24" s="33" t="inlineStr">
        <is>
          <t>https://africanmarketingconfederation.org/amc-conference-2025-highlights/</t>
        </is>
      </c>
      <c r="B24" s="24" t="n">
        <v>94</v>
      </c>
      <c r="C24"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https://africanmarketingconfederation.org/wp-content/uploads/2025/09/AWARDS-163-scaled.jpg | https://africanmarketingconfederation.org/wp-content/uploads/2025/09/AWARDS-28-scaled.jpg | https://africanmarketingconfederation.org/wp-content/uploads/2025/09/AWARDS-72-scaled.png | https://africanmarketingconfederation.org/wp-content/uploads/2025/09/AWARDS-99-scaled.jpg | https://africanmarketingconfederation.org/wp-content/uploads/2025/09/BP-2-scaled.webp | https://africanmarketingconfederation.org/wp-content/uploads/2025/09/BP-22-scaled.webp | https://africanmarketingconfederation.org/wp-content/uploads/2025/09/BP-23-scaled.webp | https://africanmarketingconfederation.org/wp-content/uploads/2025/09/BP-6-scaled.webp | https://africanmarketingconfederation.org/wp-content/uploads/2025/09/C-EVENING-12-scaled.webp | https://africanmarketingconfederation.org/wp-content/uploads/2025/09/C-EVENING-27-scaled.webp | https://africanmarketingconfederation.org/wp-content/uploads/2025/09/C-EVENING-5-scaled.webp | https://africanmarketingconfederation.org/wp-content/uploads/2025/09/C-EVENING-9-scaled.webp | https://africanmarketingconfederation.org/wp-content/uploads/2025/09/DAY-1-54-scaled.webp | https://africanmarketingconfederation.org/wp-content/uploads/2025/09/DAY-1-55-scaled.png | https://africanmarketingconfederation.org/wp-content/uploads/2025/09/DAY-1-56-scaled.webp | https://africanmarketingconfederation.org/wp-content/uploads/2025/09/DAY-1-57-scaled.webp | https://africanmarketingconfederation.org/wp-content/uploads/2025/09/DAY-1-58-1-scaled.png | https://africanmarketingconfederation.org/wp-content/uploads/2025/09/DAY-1-59-scaled.png | https://africanmarketingconfederation.org/wp-content/uploads/2025/09/DAY-1-63-scaled.webp | https://africanmarketingconfederation.org/wp-content/uploads/2025/09/DAY-1-66-scaled.webp | https://africanmarketingconfederation.org/wp-content/uploads/2025/09/DAY-1-67-scaled.webp | https://africanmarketingconfederation.org/wp-content/uploads/2025/09/DAY-1-68-scaled.png | https://africanmarketingconfederation.org/wp-content/uploads/2025/09/DAY-2-12-scaled.webp | https://africanmarketingconfederation.org/wp-content/uploads/2025/09/DAY-2-14-scaled.webp | https://africanmarketingconfederation.org/wp-content/uploads/2025/09/DAY-2-15-scaled.webp | https://africanmarketingconfederation.org/wp-content/uploads/2025/09/DAY-2-16-scaled.webp | https://africanmarketingconfederation.org/wp-content/uploads/2025/09/DAY-2-19-scaled.png | https://africanmarketingconfederation.org/wp-content/uploads/2025/09/DAY-2-22-scaled.png | https://africanmarketingconfederation.org/wp-content/uploads/2025/09/DAY-2-25-scaled.webp | https://africanmarketingconfederation.org/wp-content/uploads/2025/09/DAY-2-26-scaled.webp | https://africanmarketingconfederation.org/wp-content/uploads/2025/09/DAY-2-31-scaled.png | https://africanmarketingconfederation.org/wp-content/uploads/2025/09/DAY-2-32-scaled.png | https://africanmarketingconfederation.org/wp-content/uploads/2025/09/DAY-2-33-scaled.webp | https://africanmarketingconfederation.org/wp-content/uploads/2025/09/DAY-2-38-scaled.png | https://africanmarketingconfederation.org/wp-content/uploads/2025/09/DAY-2-40-scaled.png | https://africanmarketingconfederation.org/wp-content/uploads/2025/09/DAY-2-42-scaled.webp | https://africanmarketingconfederation.org/wp-content/uploads/2025/09/DAY-2-45-scaled.webp | https://africanmarketingconfederation.org/wp-content/uploads/2025/09/DAY-2-57-scaled.webp | https://africanmarketingconfederation.org/wp-content/uploads/2025/09/DAY-2-60-scaled.webp | https://africanmarketingconfederation.org/wp-content/uploads/2025/09/DAY-2-61-scaled.webp | https://africanmarketingconfederation.org/wp-content/uploads/2025/09/DAY-2-68-scaled.png | https://africanmarketingconfederation.org/wp-content/uploads/2025/09/DAY-2-71-scaled.png | https://africanmarketingconfederation.org/wp-content/uploads/2025/09/DAY-2-74-scaled.webp | https://africanmarketingconfederation.org/wp-content/uploads/2025/09/DAY-2-75-scaled.webp | https://africanmarketingconfederation.org/wp-content/uploads/2025/09/DAY-2-79-scaled.webp | https://africanmarketingconfederation.org/wp-content/uploads/2025/09/DAY-2-80-scaled.webp | https://africanmarketingconfederation.org/wp-content/uploads/2025/09/DAY-2-84-scaled.png | https://africanmarketingconfederation.org/wp-content/uploads/2025/09/DAY-2-87-scaled.webp | https://africanmarketingconfederation.org/wp-content/uploads/2025/09/DAY-2-90-scaled.webp | https://africanmarketingconfederation.org/wp-content/uploads/2025/09/DAY-2-95-scaled.png | https://africanmarketingconfederation.org/wp-content/uploads/2025/09/DSC05469-scaled.png | https://africanmarketingconfederation.org/wp-content/uploads/2025/09/DSC05473-scaled.png | https://africanmarketingconfederation.org/wp-content/uploads/2025/09/DSC06728-1-scaled.png | https://africanmarketingconfederation.org/wp-content/uploads/2025/09/DSC06743-scaled.webp | https://africanmarketingconfederation.org/wp-content/uploads/2025/09/DSC06746-scaled.png | https://africanmarketingconfederation.org/wp-content/uploads/2025/09/DSC06766-scaled.png | https://africanmarketingconfederation.org/wp-content/uploads/2025/09/DSC06848-scaled.webp | https://africanmarketingconfederation.org/wp-content/uploads/2025/09/DSC06859-scaled.webp | https://africanmarketingconfederation.org/wp-content/uploads/2025/09/DSC06875-scaled.webp | https://africanmarketingconfederation.org/wp-content/uploads/2025/09/DSC06897-scaled.webp | https://africanmarketingconfederation.org/wp-content/uploads/2025/09/DSC07015-scaled.webp | https://africanmarketingconfederation.org/wp-content/uploads/2025/09/DSC07054-scaled.webp | https://africanmarketingconfederation.org/wp-content/uploads/2025/09/DSC07062-scaled.webp | https://africanmarketingconfederation.org/wp-content/uploads/2025/09/DSC07115-scaled.webp | https://africanmarketingconfederation.org/wp-content/uploads/2025/09/DSC07126-scaled.webp | https://africanmarketingconfederation.org/wp-content/uploads/2025/09/DSC07164-scaled.png | https://africanmarketingconfederation.org/wp-content/uploads/2025/09/DSC07175-scaled.webp | https://africanmarketingconfederation.org/wp-content/uploads/2025/09/DSC07187-scaled.webp | https://africanmarketingconfederation.org/wp-content/uploads/2025/10/AWARDS-57-1.jpg | https://africanmarketingconfederation.org/wp-content/uploads/2025/10/DAY-2-36.jpg | https://africanmarketingconfederation.org/wp-content/uploads/2025/10/DAY-2-92-1024x683.jpg | https://africanmarketingconfederation.org/wp-content/uploads/2025/10/DAY-3-60.jpg | https://africanmarketingconfederation.org/wp-content/uploads/2025/10/DAY-3-62.jpg | https://africanmarketingconfederation.org/wp-content/uploads/2025/10/DAY-3-63.jpg | https://africanmarketingconfederation.org/wp-content/uploads/2025/10/DAY-3-65.jpg | https://africanmarketingconfederation.org/wp-content/uploads/2025/10/DSC05161-scaled.jpg | https://africanmarketingconfederation.org/wp-content/uploads/2025/10/DSC05170.JPG | https://africanmarketingconfederation.org/wp-content/uploads/2025/10/DSC05182.JPG | https://africanmarketingconfederation.org/wp-content/uploads/2025/10/DSC05227.JPG | https://africanmarketingconfederation.org/wp-content/uploads/2025/10/DSC05273-scaled.jpg | https://africanmarketingconfederation.org/wp-content/uploads/2025/10/DSC05278.JPG | https://africanmarketingconfederation.org/wp-content/uploads/2025/10/DSC06408-1-scaled.jpg | https://africanmarketingconfederation.org/wp-content/uploads/2025/10/DSC06415-scaled.png | https://africanmarketingconfederation.org/wp-content/uploads/2025/10/DSC06483-scaled.jpg | https://africanmarketingconfederation.org/wp-content/uploads/2025/10/DSC06492-scaled.jpg | https://africanmarketingconfederation.org/wp-content/uploads/2025/10/DSC06818.JPG | https://africanmarketingconfederation.org/wp-content/uploads/2025/10/DSC06925.png | https://africanmarketingconfederation.org/wp-content/uploads/2025/10/logo_zim_site-fav.png | https://www.facebook.com/tr?id=1795315120651843&amp;ev=PageView&amp;noscript=1 | https://www.facebook.com/tr?id=1795315120651843&amp;ev=PageView&amp;noscript=1&amp;cd%5Bpage_title%5D=AMC+Conference+2025+Highlights&amp;cd%5Bpost_type%5D=page&amp;cd%5Bpost_id%5D=30257&amp;cd%5Bplugin%5D=PixelYourSite&amp;cd%5Buser_role%5D=guest&amp;cd%5Bevent_url%5D=africanmarketingconfederation.org%2Famc-conference-2025-highlights%2F</t>
        </is>
      </c>
      <c r="D24" s="24" t="n">
        <v>94</v>
      </c>
      <c r="E24" s="24" t="n"/>
      <c r="F24" s="24" t="inlineStr">
        <is>
          <t>jpg:20, other:2, png:25, svg:3, webp:44</t>
        </is>
      </c>
      <c r="G24" s="24" t="n">
        <v>0</v>
      </c>
      <c r="H24" s="32" t="n">
        <v>6</v>
      </c>
      <c r="I24" s="24" t="n"/>
      <c r="J24" s="4" t="b">
        <v>0</v>
      </c>
      <c r="K24">
        <f>IFERROR(HYPERLINK("#Main!A"&amp;MATCH(A24,Main!A:A,0),"Open"),HYPERLINK("#Main!A1","Open"))</f>
        <v/>
      </c>
    </row>
    <row r="25" ht="30" customHeight="1">
      <c r="A25" s="33" t="inlineStr">
        <is>
          <t>https://africanmarketingconfederation.org/amc-conference-2022/</t>
        </is>
      </c>
      <c r="B25" s="6" t="n">
        <v>13</v>
      </c>
      <c r="C25"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is>
      </c>
      <c r="D25" s="6" t="n">
        <v>13</v>
      </c>
      <c r="E25" s="6" t="n"/>
      <c r="F25" s="6" t="inlineStr">
        <is>
          <t>jpg:6, other:2, png:3, svg:2</t>
        </is>
      </c>
      <c r="G25" s="6" t="n">
        <v>0</v>
      </c>
      <c r="H25" s="4" t="n">
        <v>0</v>
      </c>
      <c r="I25" s="6" t="n"/>
      <c r="J25" s="4" t="b">
        <v>0</v>
      </c>
      <c r="K25">
        <f>IFERROR(HYPERLINK("#Main!A"&amp;MATCH(A25,Main!A:A,0),"Open"),HYPERLINK("#Main!A1","Open"))</f>
        <v/>
      </c>
    </row>
    <row r="26" ht="30" customHeight="1">
      <c r="A26" s="33" t="inlineStr">
        <is>
          <t>https://africanmarketingconfederation.org/amc-conference-2023/gallery/</t>
        </is>
      </c>
      <c r="B26" s="24" t="n">
        <v>5</v>
      </c>
      <c r="C26" s="27"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Gallery&amp;cd%5Bpost_type%5D=page&amp;cd%5Bpost_id%5D=13549&amp;cd%5Bplugin%5D=PixelYourSite&amp;cd%5Buser_role%5D=guest&amp;cd%5Bevent_url%5D=africanmarketingconfederation.org%2Famc-conference-2023%2Fgallery%2F</t>
        </is>
      </c>
      <c r="D26" s="24" t="n">
        <v>5</v>
      </c>
      <c r="E26" s="24" t="n"/>
      <c r="F26" s="24" t="inlineStr">
        <is>
          <t>other:2, png:1, svg:2</t>
        </is>
      </c>
      <c r="G26" s="24" t="n">
        <v>0</v>
      </c>
      <c r="H26" s="4" t="n">
        <v>0</v>
      </c>
      <c r="I26" s="24" t="n"/>
      <c r="J26" s="4" t="b">
        <v>0</v>
      </c>
      <c r="K26">
        <f>IFERROR(HYPERLINK("#Main!A"&amp;MATCH(A26,Main!A:A,0),"Open"),HYPERLINK("#Main!A1","Open"))</f>
        <v/>
      </c>
    </row>
    <row r="27" ht="30" customHeight="1">
      <c r="A27" s="33" t="inlineStr">
        <is>
          <t>https://africanmarketingconfederation.org/conference-registrations-2024/</t>
        </is>
      </c>
      <c r="B27" s="6" t="n">
        <v>7</v>
      </c>
      <c r="C27" s="30" t="inlineStr">
        <is>
          <t>https://africanmarketingconfederation.org/wp-content/uploads/2021/08/facebook.svg | https://africanmarketingconfederation.org/wp-content/uploads/2021/08/linkedin.svg | https://africanmarketingconfederation.org/wp-content/uploads/2024/02/MSK-logo-1024x326-3.png | https://africanmarketingconfederation.org/wp-content/uploads/2024/03/AMC-Conference-Event-Design-2-1024x965.png | https://africanmarketingconfederation.org/wp-content/uploads/2026/03/og-image.png | https://www.facebook.com/tr?id=1795315120651843&amp;ev=PageView&amp;noscript=1 | https://www.facebook.com/tr?id=1795315120651843&amp;ev=PageView&amp;noscript=1&amp;cd%5Bpage_title%5D=Conference+Registrations+2024&amp;cd%5Bpost_type%5D=page&amp;cd%5Bpost_id%5D=16472&amp;cd%5Bplugin%5D=PixelYourSite&amp;cd%5Buser_role%5D=guest&amp;cd%5Bevent_url%5D=africanmarketingconfederation.org%2Fconference-registrations-2024%2F</t>
        </is>
      </c>
      <c r="D27" s="6" t="n">
        <v>7</v>
      </c>
      <c r="E27" s="6" t="n"/>
      <c r="F27" s="6" t="inlineStr">
        <is>
          <t>other:2, png:3, svg:2</t>
        </is>
      </c>
      <c r="G27" s="6" t="n">
        <v>0</v>
      </c>
      <c r="H27" s="4" t="n">
        <v>0</v>
      </c>
      <c r="I27" s="6" t="n"/>
      <c r="J27" s="4" t="b">
        <v>0</v>
      </c>
      <c r="K27">
        <f>IFERROR(HYPERLINK("#Main!A"&amp;MATCH(A27,Main!A:A,0),"Open"),HYPERLINK("#Main!A1","Open"))</f>
        <v/>
      </c>
    </row>
    <row r="28" ht="30" customHeight="1">
      <c r="A28" s="33" t="inlineStr">
        <is>
          <t>https://africanmarketingconfederation.org/elementor-31820/</t>
        </is>
      </c>
      <c r="B28" s="24" t="n">
        <v>24</v>
      </c>
      <c r="C28" s="27" t="inlineStr">
        <is>
          <t>https://africanmarketingconfederation.org/wp-content/uploads/2021/08/facebook.svg | https://africanmarketingconfederation.org/wp-content/uploads/2021/08/linkedin.svg | https://africanmarketingconfederation.org/wp-content/uploads/2025/09/2025-TICON-Africa-Conference-Highlights-from-Day-1-4.jpg | https://africanmarketingconfederation.org/wp-content/uploads/2025/09/2025-TICON-Africa-Conference-Highlights-from-Day-1.jpg | https://africanmarketingconfederation.org/wp-content/uploads/2025/09/2025-TICON-Africa-Conference-Highlights-from-Day-2-18.jpg | https://africanmarketingconfederation.org/wp-content/uploads/2025/09/2025-TICON-Africa-Conference-Highlights-from-Day-2-24.jpg | https://africanmarketingconfederation.org/wp-content/uploads/2025/09/2025-TICON-Africa-Conference-Highlights-from-Day-2-29.jpg | https://africanmarketingconfederation.org/wp-content/uploads/2025/09/2025-TICON-Africa-Conference-Highlights-from-Day-2-4.jpg | https://africanmarketingconfederation.org/wp-content/uploads/2025/09/2025-TICON-Africa-Conference-Highlights-from-Day-2-9.jpg | https://africanmarketingconfederation.org/wp-content/uploads/2025/09/2025-TICON-Africa-Conference-Highlights-from-Day-3-11.jpg | https://africanmarketingconfederation.org/wp-content/uploads/2025/09/2025-TICON-Africa-Conference-Highlights-from-Day-3-2.jpg | https://africanmarketingconfederation.org/wp-content/uploads/2025/09/2025-TICON-Africa-Conference-Highlights-from-Day-3-4.jpg | https://africanmarketingconfederation.org/wp-content/uploads/2025/12/2025-TICON-Africa-Conference-Highlights-from-Day-2-7.jpg | https://africanmarketingconfederation.org/wp-content/uploads/2025/12/2025-TICON-Africa-Conference-Highlights-from-Day-3-21.jpg | https://africanmarketingconfederation.org/wp-content/uploads/2025/12/Avani-Victoria-Falls-Resort-TICON-Africa-Conference-2026.jpg | https://africanmarketingconfederation.org/wp-content/uploads/2025/12/ICT-Association-of-Zambia-TICON-Africa-Primary-Member.png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https://africanmarketingconfederation.org/wp-content/uploads/2026/03/og-image.png | https://www.facebook.com/tr?id=1795315120651843&amp;ev=PageView&amp;noscript=1 | https://www.facebook.com/tr?id=1795315120651843&amp;ev=PageView&amp;noscript=1&amp;cd%5Bpage_title%5D=Elementor+%2331820&amp;cd%5Bpost_type%5D=page&amp;cd%5Bpost_id%5D=31820&amp;cd%5Bplugin%5D=PixelYourSite&amp;cd%5Buser_role%5D=guest&amp;cd%5Bevent_url%5D=africanmarketingconfederation.org%2Felementor-31820%2F</t>
        </is>
      </c>
      <c r="D28" s="24" t="n">
        <v>12</v>
      </c>
      <c r="E28" s="24" t="n"/>
      <c r="F28" s="24" t="inlineStr">
        <is>
          <t>jpg:18, other:2, png:2, svg:2</t>
        </is>
      </c>
      <c r="G28" s="24" t="n">
        <v>0</v>
      </c>
      <c r="H28" s="4" t="n">
        <v>0</v>
      </c>
      <c r="I28" s="24" t="n"/>
      <c r="J28" s="4" t="b">
        <v>0</v>
      </c>
      <c r="K28">
        <f>IFERROR(HYPERLINK("#Main!A"&amp;MATCH(A28,Main!A:A,0),"Open"),HYPERLINK("#Main!A1","Open"))</f>
        <v/>
      </c>
    </row>
    <row r="29" ht="30" customHeight="1">
      <c r="A29" s="33" t="inlineStr">
        <is>
          <t>https://africanmarketingconfederation.org/amc-conference-2024-recap/</t>
        </is>
      </c>
      <c r="B29" s="6" t="n">
        <v>86</v>
      </c>
      <c r="C29"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https://africanmarketingconfederation.org/wp-content/uploads/2024/10/049A8252-101.JPG | https://africanmarketingconfederation.org/wp-content/uploads/2024/10/ARN_0214-scaled.jpg | https://africanmarketingconfederation.org/wp-content/uploads/2024/10/Day-2_0000_DSCF5253-185-2.png | https://africanmarketingconfederation.org/wp-content/uploads/2024/10/Day-2_0001_DSCF5204-160-2.png | https://africanmarketingconfederation.org/wp-content/uploads/2024/10/Day-2_0003_DSC09591-250-2.png | https://africanmarketingconfederation.org/wp-content/uploads/2024/10/Day-2_0004_1G2A5177-2.png | https://africanmarketingconfederation.org/wp-content/uploads/2024/10/Day-2_0005_1G2A5360-2.png | https://africanmarketingconfederation.org/wp-content/uploads/2024/10/Day-2_0007_1G2A5219-2.png | https://africanmarketingconfederation.org/wp-content/uploads/2024/10/Day-2_0009_1G2A5142-2.png | https://africanmarketingconfederation.org/wp-content/uploads/2024/10/Day-2_0010_Layer-0-2.png | https://africanmarketingconfederation.org/wp-content/uploads/2024/10/Day-3_0000_DSC09894-126.png | https://africanmarketingconfederation.org/wp-content/uploads/2024/10/Day-3_0001_DSC09777-115.png | https://africanmarketingconfederation.org/wp-content/uploads/2024/10/Day-3_0002_DSC09680-95.png | https://africanmarketingconfederation.org/wp-content/uploads/2024/10/Day-3_0003_DSC00164-145.png | https://africanmarketingconfederation.org/wp-content/uploads/2024/10/Day-3_0004_DSC00113-142.png | https://africanmarketingconfederation.org/wp-content/uploads/2024/10/Day-3_0005_DSC00076-138.png | https://africanmarketingconfederation.org/wp-content/uploads/2024/10/Day-3_0006_DSC00182-146.png | https://africanmarketingconfederation.org/wp-content/uploads/2024/10/Day-3_0007_ARN_0180.png | https://africanmarketingconfederation.org/wp-content/uploads/2024/10/Day-3_0008_DSCF5297.png | https://africanmarketingconfederation.org/wp-content/uploads/2024/10/Day-3_0009_DSCF5292.png | https://africanmarketingconfederation.org/wp-content/uploads/2024/10/Day-3_0010_ARN_0431.png | https://africanmarketingconfederation.org/wp-content/uploads/2024/10/Day-3_0011_ARN_0352.png | https://africanmarketingconfederation.org/wp-content/uploads/2024/10/Day-3_0012_DSCF5354.png | https://africanmarketingconfederation.org/wp-content/uploads/2024/10/Day-3_0013_Layer-1.png | https://africanmarketingconfederation.org/wp-content/uploads/2024/10/Day1-_0000_DSCF4792.png | https://africanmarketingconfederation.org/wp-content/uploads/2024/10/Day1-_0001_ARN_7889.png | https://africanmarketingconfederation.org/wp-content/uploads/2024/10/Day1-_0002_ARN_7862.png | https://africanmarketingconfederation.org/wp-content/uploads/2024/10/Day1-_0003_ARN_7843.png | https://africanmarketingconfederation.org/wp-content/uploads/2024/10/Day1-_0004_ARN_7789.png | https://africanmarketingconfederation.org/wp-content/uploads/2024/10/Day1-_0005_ARN_7734.png | https://africanmarketingconfederation.org/wp-content/uploads/2024/10/Day1-_0006_ARN_7686.png | https://africanmarketingconfederation.org/wp-content/uploads/2024/10/Day1-_0007_1G2A4181.png | https://africanmarketingconfederation.org/wp-content/uploads/2024/10/Day1-_0008_1G2A4096.png | https://africanmarketingconfederation.org/wp-content/uploads/2024/10/Day1-_0009_1G2A4073.png | https://africanmarketingconfederation.org/wp-content/uploads/2024/10/Day1-_0010_1G2A3996.png | https://africanmarketingconfederation.org/wp-content/uploads/2024/10/Day1-_0011_DSC09082.png | https://africanmarketingconfederation.org/wp-content/uploads/2024/10/Day1-_0012_Layer-0.png | https://africanmarketingconfederation.org/wp-content/uploads/2024/10/Ghana-winners-826x1024.png | https://africanmarketingconfederation.org/wp-content/uploads/2024/10/Night-1_0000_1G2A5053.png | https://africanmarketingconfederation.org/wp-content/uploads/2024/10/Night-1_0001_1G2A4944.png | https://africanmarketingconfederation.org/wp-content/uploads/2024/10/Night-1_0002_1G2A4823.png | https://africanmarketingconfederation.org/wp-content/uploads/2024/10/Night-1_0003_1G2A4743.png | https://africanmarketingconfederation.org/wp-content/uploads/2024/10/Night-1_0004_1G2A4664.png | https://africanmarketingconfederation.org/wp-content/uploads/2024/10/Night-1_0005_Layer-0.png | https://africanmarketingconfederation.org/wp-content/uploads/2024/10/Night-2_0000_ARN_9619-1.png | https://africanmarketingconfederation.org/wp-content/uploads/2024/10/Night-2_0001_ARN_9332-1.png | https://africanmarketingconfederation.org/wp-content/uploads/2024/10/Night-2_0002_ARN_9303-1.png | https://africanmarketingconfederation.org/wp-content/uploads/2024/10/Night-2_0003_ARN_9225-1.png | https://africanmarketingconfederation.org/wp-content/uploads/2024/10/Night-2_0004_Layer-0-1.png | https://africanmarketingconfederation.org/wp-content/uploads/2025/05/AMC-Map-2025.png | https://www.facebook.com/tr?id=1795315120651843&amp;ev=PageView&amp;noscript=1 | https://www.facebook.com/tr?id=1795315120651843&amp;ev=PageView&amp;noscript=1&amp;cd%5Bpage_title%5D=AMC+Conference+2024+Recap&amp;cd%5Bpost_type%5D=page&amp;cd%5Bpost_id%5D=22401&amp;cd%5Bplugin%5D=PixelYourSite&amp;cd%5Buser_role%5D=guest&amp;cd%5Bevent_url%5D=africanmarketingconfederation.org%2Famc-conference-2024-recap%2F</t>
        </is>
      </c>
      <c r="D29" s="6" t="n">
        <v>15</v>
      </c>
      <c r="E29" s="6" t="n"/>
      <c r="F29" s="6" t="inlineStr">
        <is>
          <t>jpg:2, other:2, png:79, svg:3</t>
        </is>
      </c>
      <c r="G29" s="6" t="n">
        <v>0</v>
      </c>
      <c r="H29" s="4" t="n">
        <v>0</v>
      </c>
      <c r="I29" s="6" t="n"/>
      <c r="J29" s="4" t="b">
        <v>0</v>
      </c>
      <c r="K29">
        <f>IFERROR(HYPERLINK("#Main!A"&amp;MATCH(A29,Main!A:A,0),"Open"),HYPERLINK("#Main!A1","Open"))</f>
        <v/>
      </c>
    </row>
    <row r="30" ht="30" customHeight="1">
      <c r="A30" s="33" t="inlineStr">
        <is>
          <t>https://africanmarketingconfederation.org/amc-marketing-conference-2024/amc-programme-2025/</t>
        </is>
      </c>
      <c r="B30" s="24" t="n">
        <v>6</v>
      </c>
      <c r="C30"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Programme+2025&amp;cd%5Bpost_type%5D=page&amp;cd%5Bpost_id%5D=24882&amp;cd%5Bplugin%5D=PixelYourSite&amp;cd%5Buser_role%5D=guest&amp;cd%5Bevent_url%5D=africanmarketingconfederation.org%2Famc-marketing-conference-2024%2Famc-programme-2025%2F</t>
        </is>
      </c>
      <c r="D30" s="24" t="n">
        <v>6</v>
      </c>
      <c r="E30" s="24" t="n"/>
      <c r="F30" s="24" t="inlineStr">
        <is>
          <t>other:2, png:1, svg:3</t>
        </is>
      </c>
      <c r="G30" s="24" t="n">
        <v>0</v>
      </c>
      <c r="H30" s="4" t="n">
        <v>0</v>
      </c>
      <c r="I30" s="24" t="n"/>
      <c r="J30" s="4" t="b">
        <v>0</v>
      </c>
      <c r="K30">
        <f>IFERROR(HYPERLINK("#Main!A"&amp;MATCH(A30,Main!A:A,0),"Open"),HYPERLINK("#Main!A1","Open"))</f>
        <v/>
      </c>
    </row>
    <row r="31" ht="30" customHeight="1">
      <c r="A31" s="33" t="inlineStr">
        <is>
          <t>https://africanmarketingconfederation.org/amc-conference-2025/</t>
        </is>
      </c>
      <c r="B31" s="6" t="n">
        <v>41</v>
      </c>
      <c r="C31"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https://africanmarketingconfederation.org/wp-content/uploads/2025/02/AMC-Form-images.png | https://africanmarketingconfederation.org/wp-content/uploads/2025/04/AMC-Woman-Laughing-out-of-joy.png | https://africanmarketingconfederation.org/wp-content/uploads/2025/04/Old-Man-with-glasses-AMC-speaker.png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https://africanmarketingconfederation.org/wp-content/uploads/2025/08/AMC-Conference-Speaker-Cynthia-Ofori-Dwumfuo.png | https://africanmarketingconfederation.org/wp-content/uploads/2025/08/AMC-Speakers-2025_Estella.png | https://africanmarketingconfederation.org/wp-content/uploads/2025/08/AMC-Speakers-2025_Jan.png | https://africanmarketingconfederation.org/wp-content/uploads/2025/08/AMC-Speakers-2025_Orla.png | https://africanmarketingconfederation.org/wp-content/uploads/2025/08/AMC-Speakers-2025_Pluto.png | https://africanmarketingconfederation.org/wp-content/uploads/2025/08/AMC-Speakers-2025_Yannick.png | https://africanmarketingconfederation.org/wp-content/uploads/2025/08/Artboard-1-1024x576.png | https://africanmarketingconfederation.org/wp-content/uploads/2025/08/Artboard-2-1024x1024.png | https://www.facebook.com/tr?id=1795315120651843&amp;ev=PageView&amp;noscript=1 | https://www.facebook.com/tr?id=1795315120651843&amp;ev=PageView&amp;noscript=1&amp;cd%5Bpage_title%5D=AMC+Conference+2025&amp;cd%5Bpost_type%5D=page&amp;cd%5Bpost_id%5D=23710&amp;cd%5Bplugin%5D=PixelYourSite&amp;cd%5Buser_role%5D=guest&amp;cd%5Bevent_url%5D=africanmarketingconfederation.org%2Famc-conference-2025%2F</t>
        </is>
      </c>
      <c r="D31" s="6" t="n">
        <v>25</v>
      </c>
      <c r="E31" s="6" t="n"/>
      <c r="F31" s="6" t="inlineStr">
        <is>
          <t>jpg:1, other:2, png:35, svg:3</t>
        </is>
      </c>
      <c r="G31" s="6" t="n">
        <v>0</v>
      </c>
      <c r="H31" s="4" t="n">
        <v>0</v>
      </c>
      <c r="I31" s="6" t="n"/>
      <c r="J31" s="4" t="b">
        <v>0</v>
      </c>
      <c r="K31">
        <f>IFERROR(HYPERLINK("#Main!A"&amp;MATCH(A31,Main!A:A,0),"Open"),HYPERLINK("#Main!A1","Open"))</f>
        <v/>
      </c>
    </row>
    <row r="32" ht="30" customHeight="1">
      <c r="A32" s="33" t="inlineStr">
        <is>
          <t>https://africanmarketingconfederation.org/amc-sponsors-2025/</t>
        </is>
      </c>
      <c r="B32" s="24" t="n">
        <v>34</v>
      </c>
      <c r="C32"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https://africanmarketingconfederation.org/wp-content/uploads/2025/04/AMC-Speaker-2025-Woman-holding-Mic.png | https://africanmarketingconfederation.org/wp-content/uploads/2025/04/Sponsor-word-AMC-1024x200.png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https://africanmarketingconfederation.org/wp-content/uploads/2025/08/MTN-Ghana-Logo-1024x725.png | https://africanmarketingconfederation.org/wp-content/uploads/2025/08/UiPath-Logo-1.png | https://www.facebook.com/tr?id=1795315120651843&amp;ev=PageView&amp;noscript=1 | https://www.facebook.com/tr?id=1795315120651843&amp;ev=PageView&amp;noscript=1&amp;cd%5Bpage_title%5D=AMC+Sponsors+2025&amp;cd%5Bpost_type%5D=page&amp;cd%5Bpost_id%5D=21952&amp;cd%5Bplugin%5D=PixelYourSite&amp;cd%5Buser_role%5D=guest&amp;cd%5Bevent_url%5D=africanmarketingconfederation.org%2Famc-sponsors-2025%2F</t>
        </is>
      </c>
      <c r="D32" s="24" t="n">
        <v>18</v>
      </c>
      <c r="E32" s="24" t="n"/>
      <c r="F32" s="24" t="inlineStr">
        <is>
          <t>jpg:1, other:2, png:28, svg:3</t>
        </is>
      </c>
      <c r="G32" s="24" t="n">
        <v>0</v>
      </c>
      <c r="H32" s="4" t="n">
        <v>0</v>
      </c>
      <c r="I32" s="24" t="n"/>
      <c r="J32" s="4" t="b">
        <v>0</v>
      </c>
      <c r="K32">
        <f>IFERROR(HYPERLINK("#Main!A"&amp;MATCH(A32,Main!A:A,0),"Open"),HYPERLINK("#Main!A1","Open"))</f>
        <v/>
      </c>
    </row>
    <row r="33" ht="30" customHeight="1">
      <c r="A33" s="33" t="inlineStr">
        <is>
          <t>https://africanmarketingconfederation.org/amc-conference-2022-prospectus/</t>
        </is>
      </c>
      <c r="B33" s="6" t="n">
        <v>8</v>
      </c>
      <c r="C33" s="30" t="inlineStr">
        <is>
          <t>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is>
      </c>
      <c r="D33" s="6" t="n">
        <v>8</v>
      </c>
      <c r="E33" s="6" t="n"/>
      <c r="F33" s="6" t="inlineStr">
        <is>
          <t>other:2, png:4, svg:2</t>
        </is>
      </c>
      <c r="G33" s="6" t="n">
        <v>0</v>
      </c>
      <c r="H33" s="4" t="n">
        <v>0</v>
      </c>
      <c r="I33" s="6" t="n"/>
      <c r="J33" s="4" t="b">
        <v>0</v>
      </c>
      <c r="K33">
        <f>IFERROR(HYPERLINK("#Main!A"&amp;MATCH(A33,Main!A:A,0),"Open"),HYPERLINK("#Main!A1","Open"))</f>
        <v/>
      </c>
    </row>
    <row r="34" ht="30" customHeight="1">
      <c r="A34" s="33" t="inlineStr">
        <is>
          <t>https://africanmarketingconfederation.org/test-payment-gate/</t>
        </is>
      </c>
      <c r="B34" s="24" t="n">
        <v>9</v>
      </c>
      <c r="C34" s="27" t="inlineStr">
        <is>
          <t>https://africanmarketingconfederation.org/wp-content/uploads/2021/08/facebook.svg | https://africanmarketingconfederation.org/wp-content/uploads/2021/08/linkedin.svg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https://africanmarketingconfederation.org/wp-content/uploads/2026/03/og-image.png | https://www.facebook.com/tr?id=1795315120651843&amp;ev=PageView&amp;noscript=1 | https://www.facebook.com/tr?id=1795315120651843&amp;ev=PageView&amp;noscript=1&amp;cd%5Bpage_title%5D=Test+payment+gate&amp;cd%5Bpost_type%5D=page&amp;cd%5Bpost_id%5D=27352&amp;cd%5Bplugin%5D=PixelYourSite&amp;cd%5Buser_role%5D=guest&amp;cd%5Bevent_url%5D=africanmarketingconfederation.org%2Ftest-payment-gate%2F</t>
        </is>
      </c>
      <c r="D34" s="24" t="n">
        <v>9</v>
      </c>
      <c r="E34" s="24" t="n"/>
      <c r="F34" s="24" t="inlineStr">
        <is>
          <t>other:2, png:5, svg:2</t>
        </is>
      </c>
      <c r="G34" s="24" t="n">
        <v>0</v>
      </c>
      <c r="H34" s="4" t="n">
        <v>0</v>
      </c>
      <c r="I34" s="24" t="n"/>
      <c r="J34" s="4" t="b">
        <v>0</v>
      </c>
      <c r="K34">
        <f>IFERROR(HYPERLINK("#Main!A"&amp;MATCH(A34,Main!A:A,0),"Open"),HYPERLINK("#Main!A1","Open"))</f>
        <v/>
      </c>
    </row>
    <row r="35" ht="30" customHeight="1">
      <c r="A35" s="33" t="inlineStr">
        <is>
          <t>https://africanmarketingconfederation.org/amc-marketing-conference-2024/amc-preregister-2025/</t>
        </is>
      </c>
      <c r="B35" s="6" t="n">
        <v>17</v>
      </c>
      <c r="C35"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AMC+Preregister+2025&amp;cd%5Bpost_type%5D=page&amp;cd%5Bpost_id%5D=26290&amp;cd%5Bplugin%5D=PixelYourSite&amp;cd%5Buser_role%5D=guest&amp;cd%5Bevent_url%5D=africanmarketingconfederation.org%2Famc-marketing-conference-2024%2Famc-preregister-2025%2F</t>
        </is>
      </c>
      <c r="D35" s="6" t="n">
        <v>6</v>
      </c>
      <c r="E35" s="6" t="n"/>
      <c r="F35" s="6" t="inlineStr">
        <is>
          <t>other:2, png:12, svg:3</t>
        </is>
      </c>
      <c r="G35" s="6" t="n">
        <v>0</v>
      </c>
      <c r="H35" s="4" t="n">
        <v>0</v>
      </c>
      <c r="I35" s="6" t="n"/>
      <c r="J35" s="4" t="b">
        <v>0</v>
      </c>
      <c r="K35">
        <f>IFERROR(HYPERLINK("#Main!A"&amp;MATCH(A35,Main!A:A,0),"Open"),HYPERLINK("#Main!A1","Open"))</f>
        <v/>
      </c>
    </row>
    <row r="36" ht="30" customHeight="1">
      <c r="A36" s="33" t="inlineStr">
        <is>
          <t>https://africanmarketingconfederation.org/conference-faq-2025/</t>
        </is>
      </c>
      <c r="B36" s="24" t="n">
        <v>23</v>
      </c>
      <c r="C36"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https://africanmarketingconfederation.org/wp-content/uploads/2025/03/Enqiueries-FAQ-form-705x1024.png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Conference+FAQ+2025&amp;cd%5Bpost_type%5D=page&amp;cd%5Bpost_id%5D=24640&amp;cd%5Bplugin%5D=PixelYourSite&amp;cd%5Buser_role%5D=guest&amp;cd%5Bevent_url%5D=africanmarketingconfederation.org%2Fconference-faq-2025%2F</t>
        </is>
      </c>
      <c r="D36" s="24" t="n">
        <v>7</v>
      </c>
      <c r="E36" s="24" t="n"/>
      <c r="F36" s="24" t="inlineStr">
        <is>
          <t>jpg:1, other:2, png:17, svg:3</t>
        </is>
      </c>
      <c r="G36" s="24" t="n">
        <v>0</v>
      </c>
      <c r="H36" s="4" t="n">
        <v>0</v>
      </c>
      <c r="I36" s="24" t="n"/>
      <c r="J36" s="4" t="b">
        <v>0</v>
      </c>
      <c r="K36">
        <f>IFERROR(HYPERLINK("#Main!A"&amp;MATCH(A36,Main!A:A,0),"Open"),HYPERLINK("#Main!A1","Open"))</f>
        <v/>
      </c>
    </row>
    <row r="37" ht="45" customHeight="1">
      <c r="A37" s="33" t="inlineStr">
        <is>
          <t>https://africanmarketingconfederation.org/amc-marketing-conference-2024/amc-conference-2025-ghana-sponsors/</t>
        </is>
      </c>
      <c r="B37" s="6" t="n">
        <v>6</v>
      </c>
      <c r="C37"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Conference+2025+Ghana+Sponsors&amp;cd%5Bpost_type%5D=page&amp;cd%5Bpost_id%5D=25857&amp;cd%5Bplugin%5D=PixelYourSite&amp;cd%5Buser_role%5D=guest&amp;cd%5Bevent_url%5D=africanmarketingconfederation.org%2Famc-marketing-conference-2024%2Famc-conference-2025-ghana-sponsors%2F</t>
        </is>
      </c>
      <c r="D37" s="6" t="n">
        <v>6</v>
      </c>
      <c r="E37" s="6" t="n"/>
      <c r="F37" s="6" t="inlineStr">
        <is>
          <t>other:2, png:1, svg:3</t>
        </is>
      </c>
      <c r="G37" s="6" t="n">
        <v>0</v>
      </c>
      <c r="H37" s="4" t="n">
        <v>0</v>
      </c>
      <c r="I37" s="6" t="n"/>
      <c r="J37" s="4" t="b">
        <v>0</v>
      </c>
      <c r="K37">
        <f>IFERROR(HYPERLINK("#Main!A"&amp;MATCH(A37,Main!A:A,0),"Open"),HYPERLINK("#Main!A1","Open"))</f>
        <v/>
      </c>
    </row>
    <row r="38" ht="30" customHeight="1">
      <c r="A38" s="33" t="inlineStr">
        <is>
          <t>https://africanmarketingconfederation.org/amc-forum-payments/</t>
        </is>
      </c>
      <c r="B38" s="24" t="n">
        <v>22</v>
      </c>
      <c r="C38"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Payments&amp;cd%5Bpost_type%5D=page&amp;cd%5Bpost_id%5D=21984&amp;cd%5Bplugin%5D=PixelYourSite&amp;cd%5Buser_role%5D=guest&amp;cd%5Bevent_url%5D=africanmarketingconfederation.org%2Famc-forum-payments%2F</t>
        </is>
      </c>
      <c r="D38" s="24" t="n">
        <v>6</v>
      </c>
      <c r="E38" s="24" t="n"/>
      <c r="F38" s="24" t="inlineStr">
        <is>
          <t>jpg:1, other:2, png:16, svg:3</t>
        </is>
      </c>
      <c r="G38" s="24" t="n">
        <v>0</v>
      </c>
      <c r="H38" s="4" t="n">
        <v>0</v>
      </c>
      <c r="I38" s="24" t="n"/>
      <c r="J38" s="4" t="b">
        <v>0</v>
      </c>
      <c r="K38">
        <f>IFERROR(HYPERLINK("#Main!A"&amp;MATCH(A38,Main!A:A,0),"Open"),HYPERLINK("#Main!A1","Open"))</f>
        <v/>
      </c>
    </row>
    <row r="39" ht="30" customHeight="1">
      <c r="A39" s="33" t="inlineStr">
        <is>
          <t>https://africanmarketingconfederation.org/amc-marketing-conference-2024/amc-launch-event-2025/</t>
        </is>
      </c>
      <c r="B39" s="6" t="n">
        <v>18</v>
      </c>
      <c r="C39"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https://africanmarketingconfederation.org/wp-content/uploads/2025/04/AMC-people-shaking-hands.png | https://www.facebook.com/tr?id=1795315120651843&amp;ev=PageView&amp;noscript=1 | https://www.facebook.com/tr?id=1795315120651843&amp;ev=PageView&amp;noscript=1&amp;cd%5Bpage_title%5D=AMC+Launch+Event+2025&amp;cd%5Bpost_type%5D=page&amp;cd%5Bpost_id%5D=25788&amp;cd%5Bplugin%5D=PixelYourSite&amp;cd%5Buser_role%5D=guest&amp;cd%5Bevent_url%5D=africanmarketingconfederation.org%2Famc-marketing-conference-2024%2Famc-launch-event-2025%2F</t>
        </is>
      </c>
      <c r="D39" s="6" t="n">
        <v>7</v>
      </c>
      <c r="E39" s="6" t="n"/>
      <c r="F39" s="6" t="inlineStr">
        <is>
          <t>other:2, png:13, svg:3</t>
        </is>
      </c>
      <c r="G39" s="6" t="n">
        <v>0</v>
      </c>
      <c r="H39" s="4" t="n">
        <v>0</v>
      </c>
      <c r="I39" s="6" t="n"/>
      <c r="J39" s="4" t="b">
        <v>0</v>
      </c>
      <c r="K39">
        <f>IFERROR(HYPERLINK("#Main!A"&amp;MATCH(A39,Main!A:A,0),"Open"),HYPERLINK("#Main!A1","Open"))</f>
        <v/>
      </c>
    </row>
    <row r="40" ht="30" customHeight="1">
      <c r="A40" s="33" t="inlineStr">
        <is>
          <t>https://africanmarketingconfederation.org/checkout/</t>
        </is>
      </c>
      <c r="B40" s="24" t="n">
        <v>22</v>
      </c>
      <c r="C40" s="27"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https://africanmarketingconfederation.org/wp-content/uploads/2026/03/og-image.png | https://www.facebook.com/tr?id=1795315120651843&amp;ev=PageView&amp;noscript=1 | https://www.facebook.com/tr?id=1795315120651843&amp;ev=PageView&amp;noscript=1&amp;cd%5Bpage_title%5D=Cart&amp;cd%5Bpost_type%5D=page&amp;cd%5Bpost_id%5D=17908&amp;cd%5Bplugin%5D=PixelYourSite&amp;cd%5Buser_role%5D=guest&amp;cd%5Bevent_url%5D=africanmarketingconfederation.org%2Fcart%2F</t>
        </is>
      </c>
      <c r="D40" s="24" t="n">
        <v>6</v>
      </c>
      <c r="E40" s="24" t="n"/>
      <c r="F40" s="24" t="inlineStr">
        <is>
          <t>jpg:1, other:2, png:17, svg:2</t>
        </is>
      </c>
      <c r="G40" s="24" t="n">
        <v>0</v>
      </c>
      <c r="H40" s="4" t="n">
        <v>0</v>
      </c>
      <c r="I40" s="24" t="n"/>
      <c r="J40" s="4" t="b">
        <v>0</v>
      </c>
      <c r="K40">
        <f>IFERROR(HYPERLINK("#Main!A"&amp;MATCH(A40,Main!A:A,0),"Open"),HYPERLINK("#Main!A1","Open"))</f>
        <v/>
      </c>
    </row>
    <row r="41" ht="30" customHeight="1">
      <c r="A41" s="33" t="inlineStr">
        <is>
          <t>https://africanmarketingconfederation.org/amc-awards-2024/</t>
        </is>
      </c>
      <c r="B41" s="6" t="n">
        <v>47</v>
      </c>
      <c r="C41"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is>
      </c>
      <c r="D41" s="6" t="n">
        <v>25</v>
      </c>
      <c r="E41" s="6" t="n"/>
      <c r="F41" s="6" t="inlineStr">
        <is>
          <t>jpg:11, other:2, png:27, svg:3</t>
        </is>
      </c>
      <c r="G41" s="6" t="n">
        <v>0</v>
      </c>
      <c r="H41" s="4" t="n">
        <v>0</v>
      </c>
      <c r="I41" s="6" t="n"/>
      <c r="J41" s="4" t="b">
        <v>0</v>
      </c>
      <c r="K41">
        <f>IFERROR(HYPERLINK("#Main!A"&amp;MATCH(A41,Main!A:A,0),"Open"),HYPERLINK("#Main!A1","Open"))</f>
        <v/>
      </c>
    </row>
    <row r="42" ht="30" customHeight="1">
      <c r="A42" s="33" t="inlineStr">
        <is>
          <t>https://africanmarketingconfederation.org/amc-conference-2023/</t>
        </is>
      </c>
      <c r="B42" s="24" t="n">
        <v>41</v>
      </c>
      <c r="C42"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is>
      </c>
      <c r="D42" s="24" t="n">
        <v>37</v>
      </c>
      <c r="E42" s="24" t="n"/>
      <c r="F42" s="24" t="inlineStr">
        <is>
          <t>gif:1, jpg:23, other:2, png:12, svg:3</t>
        </is>
      </c>
      <c r="G42" s="24" t="n">
        <v>0</v>
      </c>
      <c r="H42" s="4" t="n">
        <v>0</v>
      </c>
      <c r="I42" s="24" t="n"/>
      <c r="J42" s="4" t="b">
        <v>0</v>
      </c>
      <c r="K42">
        <f>IFERROR(HYPERLINK("#Main!A"&amp;MATCH(A42,Main!A:A,0),"Open"),HYPERLINK("#Main!A1","Open"))</f>
        <v/>
      </c>
    </row>
    <row r="43" ht="30" customHeight="1">
      <c r="A43" s="33" t="inlineStr">
        <is>
          <t>https://africanmarketingconfederation.org/amc-forum-mombasa/</t>
        </is>
      </c>
      <c r="B43" s="6" t="n">
        <v>79</v>
      </c>
      <c r="C43"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3" s="6" t="n">
        <v>15</v>
      </c>
      <c r="E43" s="6" t="n"/>
      <c r="F43" s="6" t="inlineStr">
        <is>
          <t>jpg:23, other:2, png:51, svg:3</t>
        </is>
      </c>
      <c r="G43" s="6" t="n">
        <v>0</v>
      </c>
      <c r="H43" s="4" t="n">
        <v>0</v>
      </c>
      <c r="I43" s="6" t="n"/>
      <c r="J43" s="4" t="b">
        <v>0</v>
      </c>
      <c r="K43">
        <f>IFERROR(HYPERLINK("#Main!A"&amp;MATCH(A43,Main!A:A,0),"Open"),HYPERLINK("#Main!A1","Open"))</f>
        <v/>
      </c>
    </row>
    <row r="44" ht="45" customHeight="1">
      <c r="A44" s="33" t="inlineStr">
        <is>
          <t>https://africanmarketingconfederation.org/amc-marketing-conference-2024/amc-speakers-presentations-2024/</t>
        </is>
      </c>
      <c r="B44" s="24" t="n">
        <v>6</v>
      </c>
      <c r="C44"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peakers+presentations+2024&amp;cd%5Bpost_type%5D=page&amp;cd%5Bpost_id%5D=22595&amp;cd%5Bplugin%5D=PixelYourSite&amp;cd%5Buser_role%5D=guest&amp;cd%5Bevent_url%5D=africanmarketingconfederation.org%2Famc-marketing-conference-2024%2Famc-speakers-presentations-2024%2F</t>
        </is>
      </c>
      <c r="D44" s="24" t="n">
        <v>6</v>
      </c>
      <c r="E44" s="24" t="n"/>
      <c r="F44" s="24" t="inlineStr">
        <is>
          <t>other:2, png:1, svg:3</t>
        </is>
      </c>
      <c r="G44" s="24" t="n">
        <v>0</v>
      </c>
      <c r="H44" s="4" t="n">
        <v>0</v>
      </c>
      <c r="I44" s="24" t="n"/>
      <c r="J44" s="4" t="b">
        <v>0</v>
      </c>
      <c r="K44">
        <f>IFERROR(HYPERLINK("#Main!A"&amp;MATCH(A44,Main!A:A,0),"Open"),HYPERLINK("#Main!A1","Open"))</f>
        <v/>
      </c>
    </row>
    <row r="45" ht="30" customHeight="1">
      <c r="A45" s="33" t="inlineStr">
        <is>
          <t>https://africanmarketingconfederation.org/amc-marketing-conference-2024/testimony-thank-you-page/</t>
        </is>
      </c>
      <c r="B45" s="6" t="n">
        <v>8</v>
      </c>
      <c r="C45"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https://africanmarketingconfederation.org/wp-content/uploads/2024/11/content-young-woman-pointing-camera-826x1024.png | https://www.facebook.com/tr?id=1795315120651843&amp;ev=PageView&amp;noscript=1 | https://www.facebook.com/tr?id=1795315120651843&amp;ev=PageView&amp;noscript=1&amp;cd%5Bpage_title%5D=Testimony+Thank+you+Page&amp;cd%5Bpost_type%5D=page&amp;cd%5Bpost_id%5D=23021&amp;cd%5Bplugin%5D=PixelYourSite&amp;cd%5Buser_role%5D=guest&amp;cd%5Bevent_url%5D=africanmarketingconfederation.org%2Famc-marketing-conference-2024%2Ftestimony-thank-you-page%2F</t>
        </is>
      </c>
      <c r="D45" s="6" t="n">
        <v>8</v>
      </c>
      <c r="E45" s="6" t="n"/>
      <c r="F45" s="6" t="inlineStr">
        <is>
          <t>other:2, png:2, svg:3</t>
        </is>
      </c>
      <c r="G45" s="6" t="n">
        <v>0</v>
      </c>
      <c r="H45" s="4" t="n">
        <v>0</v>
      </c>
      <c r="I45" s="6" t="n"/>
      <c r="J45" s="4" t="b">
        <v>0</v>
      </c>
      <c r="K45">
        <f>IFERROR(HYPERLINK("#Main!A"&amp;MATCH(A45,Main!A:A,0),"Open"),HYPERLINK("#Main!A1","Open"))</f>
        <v/>
      </c>
    </row>
    <row r="46" ht="30" customHeight="1">
      <c r="A46" s="33" t="inlineStr">
        <is>
          <t>https://africanmarketingconfederation.org/amc-sign-up-now-form-2025/</t>
        </is>
      </c>
      <c r="B46" s="24" t="n">
        <v>6</v>
      </c>
      <c r="C46"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ign+up+now+Form+2025&amp;cd%5Bpost_type%5D=page&amp;cd%5Bpost_id%5D=23001&amp;cd%5Bplugin%5D=PixelYourSite&amp;cd%5Buser_role%5D=guest&amp;cd%5Bevent_url%5D=africanmarketingconfederation.org%2Famc-sign-up-now-form-2025%2F</t>
        </is>
      </c>
      <c r="D46" s="24" t="n">
        <v>6</v>
      </c>
      <c r="E46" s="24" t="n"/>
      <c r="F46" s="24" t="inlineStr">
        <is>
          <t>other:2, png:1, svg:3</t>
        </is>
      </c>
      <c r="G46" s="24" t="n">
        <v>0</v>
      </c>
      <c r="H46" s="4" t="n">
        <v>0</v>
      </c>
      <c r="I46" s="24" t="n"/>
      <c r="J46" s="4" t="b">
        <v>0</v>
      </c>
      <c r="K46">
        <f>IFERROR(HYPERLINK("#Main!A"&amp;MATCH(A46,Main!A:A,0),"Open"),HYPERLINK("#Main!A1","Open"))</f>
        <v/>
      </c>
    </row>
    <row r="47" ht="30" customHeight="1">
      <c r="A47" s="33" t="inlineStr">
        <is>
          <t>https://africanmarketingconfederation.org/amc-marketing-conference-2024/</t>
        </is>
      </c>
      <c r="B47" s="6" t="n">
        <v>79</v>
      </c>
      <c r="C47"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7" s="6" t="n">
        <v>15</v>
      </c>
      <c r="E47" s="6" t="n"/>
      <c r="F47" s="6" t="inlineStr">
        <is>
          <t>jpg:23, other:2, png:51, svg:3</t>
        </is>
      </c>
      <c r="G47" s="6" t="n">
        <v>0</v>
      </c>
      <c r="H47" s="4" t="n">
        <v>0</v>
      </c>
      <c r="I47" s="6" t="n"/>
      <c r="J47" s="4" t="b">
        <v>0</v>
      </c>
      <c r="K47">
        <f>IFERROR(HYPERLINK("#Main!A"&amp;MATCH(A47,Main!A:A,0),"Open"),HYPERLINK("#Main!A1","Open"))</f>
        <v/>
      </c>
    </row>
    <row r="48" ht="30" customHeight="1">
      <c r="A48" s="33" t="inlineStr">
        <is>
          <t>https://africanmarketingconfederation.org/amc-testimony-page-2024/</t>
        </is>
      </c>
      <c r="B48" s="24" t="n">
        <v>6</v>
      </c>
      <c r="C48" s="27"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Testimony+page+2024&amp;cd%5Bpost_type%5D=page&amp;cd%5Bpost_id%5D=22679&amp;cd%5Bplugin%5D=PixelYourSite&amp;cd%5Buser_role%5D=guest&amp;cd%5Bevent_url%5D=africanmarketingconfederation.org%2Famc-testimony-page-2024%2F</t>
        </is>
      </c>
      <c r="D48" s="24" t="n">
        <v>6</v>
      </c>
      <c r="E48" s="24" t="n"/>
      <c r="F48" s="24" t="inlineStr">
        <is>
          <t>other:2, png:1, svg:3</t>
        </is>
      </c>
      <c r="G48" s="24" t="n">
        <v>0</v>
      </c>
      <c r="H48" s="4" t="n">
        <v>0</v>
      </c>
      <c r="I48" s="24" t="n"/>
      <c r="J48" s="4" t="b">
        <v>0</v>
      </c>
      <c r="K48">
        <f>IFERROR(HYPERLINK("#Main!A"&amp;MATCH(A48,Main!A:A,0),"Open"),HYPERLINK("#Main!A1","Open"))</f>
        <v/>
      </c>
    </row>
    <row r="49" ht="30" customHeight="1">
      <c r="A49" s="33" t="inlineStr">
        <is>
          <t>https://africanmarketingconfederation.org/thank-you-for-registering-2024-registrations/</t>
        </is>
      </c>
      <c r="B49" s="6" t="n">
        <v>7</v>
      </c>
      <c r="C49"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https://africanmarketingconfederation.org/wp-content/uploads/2024/06/AMC-elements-08-856x1024.png | https://africanmarketingconfederation.org/wp-content/uploads/2026/03/og-image.png | https://www.facebook.com/tr?id=1795315120651843&amp;ev=PageView&amp;noscript=1 | https://www.facebook.com/tr?id=1795315120651843&amp;ev=PageView&amp;noscript=1&amp;cd%5Bpage_title%5D=Thank+you+for+registering+2024+Registrations&amp;cd%5Bpost_type%5D=page&amp;cd%5Bpost_id%5D=17195&amp;cd%5Bplugin%5D=PixelYourSite&amp;cd%5Buser_role%5D=guest&amp;cd%5Bevent_url%5D=africanmarketingconfederation.org%2Fthank-you-for-registering-2024-registrations%2F</t>
        </is>
      </c>
      <c r="D49" s="6" t="n">
        <v>7</v>
      </c>
      <c r="E49" s="6" t="n"/>
      <c r="F49" s="6" t="inlineStr">
        <is>
          <t>other:2, png:3, svg:2</t>
        </is>
      </c>
      <c r="G49" s="6" t="n">
        <v>0</v>
      </c>
      <c r="H49" s="4" t="n">
        <v>0</v>
      </c>
      <c r="I49" s="6" t="n"/>
      <c r="J49" s="4" t="b">
        <v>0</v>
      </c>
      <c r="K49">
        <f>IFERROR(HYPERLINK("#Main!A"&amp;MATCH(A49,Main!A:A,0),"Open"),HYPERLINK("#Main!A1","Open"))</f>
        <v/>
      </c>
    </row>
    <row r="50" ht="30" customHeight="1">
      <c r="A50" s="33" t="inlineStr">
        <is>
          <t>https://africanmarketingconfederation.org/download-prospectus-2024/</t>
        </is>
      </c>
      <c r="B50" s="24" t="n">
        <v>6</v>
      </c>
      <c r="C50" s="27" t="inlineStr">
        <is>
          <t>https://africanmarketingconfederation.org/wp-content/uploads/2021/08/facebook.svg | https://africanmarketingconfederation.org/wp-content/uploads/2021/08/linkedin.svg | https://africanmarketingconfederation.org/wp-content/uploads/2024/04/AMC-Website-Elements-7-1.png | https://africanmarketingconfederation.org/wp-content/uploads/2026/03/og-image.png | https://www.facebook.com/tr?id=1795315120651843&amp;ev=PageView&amp;noscript=1 | https://www.facebook.com/tr?id=1795315120651843&amp;ev=PageView&amp;noscript=1&amp;cd%5Bpage_title%5D=Download+Prospectus+2024&amp;cd%5Bpost_type%5D=page&amp;cd%5Bpost_id%5D=19172&amp;cd%5Bplugin%5D=PixelYourSite&amp;cd%5Buser_role%5D=guest&amp;cd%5Bevent_url%5D=africanmarketingconfederation.org%2Fdownload-prospectus-2024%2F</t>
        </is>
      </c>
      <c r="D50" s="24" t="n">
        <v>6</v>
      </c>
      <c r="E50" s="24" t="n"/>
      <c r="F50" s="24" t="inlineStr">
        <is>
          <t>other:2, png:2, svg:2</t>
        </is>
      </c>
      <c r="G50" s="24" t="n">
        <v>0</v>
      </c>
      <c r="H50" s="4" t="n">
        <v>0</v>
      </c>
      <c r="I50" s="24" t="n"/>
      <c r="J50" s="4" t="b">
        <v>0</v>
      </c>
      <c r="K50">
        <f>IFERROR(HYPERLINK("#Main!A"&amp;MATCH(A50,Main!A:A,0),"Open"),HYPERLINK("#Main!A1","Open"))</f>
        <v/>
      </c>
    </row>
    <row r="51" ht="30" customHeight="1">
      <c r="A51" s="33" t="inlineStr">
        <is>
          <t>https://africanmarketingconfederation.org/thank-you-for-registering-2024-registrations-kenya/</t>
        </is>
      </c>
      <c r="B51" s="6" t="n">
        <v>7</v>
      </c>
      <c r="C51"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https://africanmarketingconfederation.org/wp-content/uploads/2024/04/AMC-Website-Elements-8-819x1024.png | https://africanmarketingconfederation.org/wp-content/uploads/2026/03/og-image.png | https://www.facebook.com/tr?id=1795315120651843&amp;ev=PageView&amp;noscript=1 | https://www.facebook.com/tr?id=1795315120651843&amp;ev=PageView&amp;noscript=1&amp;cd%5Bpage_title%5D=Thank+you+for+registering+2024+Registrations+KENYA&amp;cd%5Bpost_type%5D=page&amp;cd%5Bpost_id%5D=21591&amp;cd%5Bplugin%5D=PixelYourSite&amp;cd%5Buser_role%5D=guest&amp;cd%5Bevent_url%5D=africanmarketingconfederation.org%2Fthank-you-for-registering-2024-registrations-kenya%2F</t>
        </is>
      </c>
      <c r="D51" s="6" t="n">
        <v>7</v>
      </c>
      <c r="E51" s="6" t="n"/>
      <c r="F51" s="6" t="inlineStr">
        <is>
          <t>other:2, png:3, svg:2</t>
        </is>
      </c>
      <c r="G51" s="6" t="n">
        <v>0</v>
      </c>
      <c r="H51" s="4" t="n">
        <v>0</v>
      </c>
      <c r="I51" s="6" t="n"/>
      <c r="J51" s="4" t="b">
        <v>0</v>
      </c>
      <c r="K51">
        <f>IFERROR(HYPERLINK("#Main!A"&amp;MATCH(A51,Main!A:A,0),"Open"),HYPERLINK("#Main!A1","Open"))</f>
        <v/>
      </c>
    </row>
    <row r="52" ht="30" customHeight="1">
      <c r="A52" s="33" t="inlineStr">
        <is>
          <t>https://africanmarketingconfederation.org/subscribe/</t>
        </is>
      </c>
      <c r="B52" s="24" t="n">
        <v>5</v>
      </c>
      <c r="C52" s="27"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scribe&amp;cd%5Bpost_type%5D=page&amp;cd%5Bpost_id%5D=7781&amp;cd%5Bplugin%5D=PixelYourSite&amp;cd%5Buser_role%5D=guest&amp;cd%5Bevent_url%5D=africanmarketingconfederation.org%2Fsubscribe%2F</t>
        </is>
      </c>
      <c r="D52" s="24" t="n">
        <v>5</v>
      </c>
      <c r="E52" s="24" t="n"/>
      <c r="F52" s="24" t="inlineStr">
        <is>
          <t>other:2, png:1, svg:2</t>
        </is>
      </c>
      <c r="G52" s="24" t="n">
        <v>0</v>
      </c>
      <c r="H52" s="4" t="n">
        <v>0</v>
      </c>
      <c r="I52" s="24" t="n"/>
      <c r="J52" s="4" t="b">
        <v>0</v>
      </c>
      <c r="K52">
        <f>IFERROR(HYPERLINK("#Main!A"&amp;MATCH(A52,Main!A:A,0),"Open"),HYPERLINK("#Main!A1","Open"))</f>
        <v/>
      </c>
    </row>
    <row r="53" ht="30" customHeight="1">
      <c r="A53" s="33" t="inlineStr">
        <is>
          <t>https://africanmarketingconfederation.org/amc-marketing-conference-2024/speakers-2024/</t>
        </is>
      </c>
      <c r="B53" s="6" t="n">
        <v>0</v>
      </c>
      <c r="C53" s="30" t="n"/>
      <c r="D53" s="6" t="n">
        <v>0</v>
      </c>
      <c r="E53" s="6" t="n"/>
      <c r="F53" s="6" t="n"/>
      <c r="G53" s="6" t="n">
        <v>0</v>
      </c>
      <c r="H53" s="4" t="n">
        <v>0</v>
      </c>
      <c r="I53" s="6" t="n"/>
      <c r="J53" s="4" t="b">
        <v>0</v>
      </c>
      <c r="K53">
        <f>IFERROR(HYPERLINK("#Main!A"&amp;MATCH(A53,Main!A:A,0),"Open"),HYPERLINK("#Main!A1","Open"))</f>
        <v/>
      </c>
    </row>
    <row r="54" ht="30" customHeight="1">
      <c r="A54" s="33" t="inlineStr">
        <is>
          <t>https://africanmarketingconfederation.org/amc-conference-sponsors/</t>
        </is>
      </c>
      <c r="B54" s="24" t="n">
        <v>0</v>
      </c>
      <c r="C54" s="27" t="n"/>
      <c r="D54" s="24" t="n">
        <v>0</v>
      </c>
      <c r="E54" s="24" t="n"/>
      <c r="F54" s="24" t="n"/>
      <c r="G54" s="24" t="n">
        <v>0</v>
      </c>
      <c r="H54" s="4" t="n">
        <v>0</v>
      </c>
      <c r="I54" s="24" t="n"/>
      <c r="J54" s="4" t="b">
        <v>0</v>
      </c>
      <c r="K54">
        <f>IFERROR(HYPERLINK("#Main!A"&amp;MATCH(A54,Main!A:A,0),"Open"),HYPERLINK("#Main!A1","Open"))</f>
        <v/>
      </c>
    </row>
    <row r="55" ht="30" customHeight="1">
      <c r="A55" s="33" t="inlineStr">
        <is>
          <t>https://africanmarketingconfederation.org/elementor-20341/</t>
        </is>
      </c>
      <c r="B55" s="6" t="n">
        <v>10</v>
      </c>
      <c r="C55" s="30" t="inlineStr">
        <is>
          <t>https://africanmarketingconfederation.org/wp-content/uploads/2021/08/facebook.svg | https://africanmarketingconfederation.org/wp-content/uploads/2021/08/linkedin.svg | https://africanmarketingconfederation.org/wp-content/uploads/2024/05/Conference-Only-Package-1024x1024.png | https://africanmarketingconfederation.org/wp-content/uploads/2024/05/Full-Conference-Experience-Package-1024x1024.png | https://africanmarketingconfederation.org/wp-content/uploads/2024/05/Sarova-Whitesands-Conference-Package-1024x1024.png | https://africanmarketingconfederation.org/wp-content/uploads/2024/05/Travellers-Beach-Hotel-Conference-Package-1024x1024.png | https://africanmarketingconfederation.org/wp-content/uploads/2024/05/Virtual-Package-2-1024x1024.png | https://africanmarketingconfederation.org/wp-content/uploads/2026/03/og-image.png | https://www.facebook.com/tr?id=1795315120651843&amp;ev=PageView&amp;noscript=1 | https://www.facebook.com/tr?id=1795315120651843&amp;ev=PageView&amp;noscript=1&amp;cd%5Bpage_title%5D=Elementor+%2320341&amp;cd%5Bpost_type%5D=page&amp;cd%5Bpost_id%5D=20341&amp;cd%5Bplugin%5D=PixelYourSite&amp;cd%5Buser_role%5D=guest&amp;cd%5Bevent_url%5D=africanmarketingconfederation.org%2Felementor-20341%2F</t>
        </is>
      </c>
      <c r="D55" s="6" t="n">
        <v>10</v>
      </c>
      <c r="E55" s="6" t="n"/>
      <c r="F55" s="6" t="inlineStr">
        <is>
          <t>other:2, png:6, svg:2</t>
        </is>
      </c>
      <c r="G55" s="6" t="n">
        <v>0</v>
      </c>
      <c r="H55" s="4" t="n">
        <v>0</v>
      </c>
      <c r="I55" s="6" t="n"/>
      <c r="J55" s="4" t="b">
        <v>0</v>
      </c>
      <c r="K55">
        <f>IFERROR(HYPERLINK("#Main!A"&amp;MATCH(A55,Main!A:A,0),"Open"),HYPERLINK("#Main!A1","Open"))</f>
        <v/>
      </c>
    </row>
    <row r="56" ht="30" customHeight="1">
      <c r="A56" s="33" t="inlineStr">
        <is>
          <t>https://africanmarketingconfederation.org/chartered-marketer-africa-final-submission-fee/</t>
        </is>
      </c>
      <c r="B56" s="24" t="n">
        <v>7</v>
      </c>
      <c r="C56" s="27"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Final+submission+fee&amp;cd%5Bpost_type%5D=page&amp;cd%5Bpost_id%5D=20001&amp;cd%5Bplugin%5D=PixelYourSite&amp;cd%5Buser_role%5D=guest&amp;cd%5Bevent_url%5D=africanmarketingconfederation.org%2Fchartered-marketer-africa-final-submission-fee%2F</t>
        </is>
      </c>
      <c r="D56" s="24" t="n">
        <v>6</v>
      </c>
      <c r="E56" s="24" t="n"/>
      <c r="F56" s="24" t="inlineStr">
        <is>
          <t>other:2, png:3, svg:2</t>
        </is>
      </c>
      <c r="G56" s="24" t="n">
        <v>0</v>
      </c>
      <c r="H56" s="4" t="n">
        <v>0</v>
      </c>
      <c r="I56" s="24" t="n"/>
      <c r="J56" s="4" t="b">
        <v>0</v>
      </c>
      <c r="K56">
        <f>IFERROR(HYPERLINK("#Main!A"&amp;MATCH(A56,Main!A:A,0),"Open"),HYPERLINK("#Main!A1","Open"))</f>
        <v/>
      </c>
    </row>
    <row r="57" ht="30" customHeight="1">
      <c r="A57" s="33" t="inlineStr">
        <is>
          <t>https://africanmarketingconfederation.org/chartered-marketer-africa-programme-fee/</t>
        </is>
      </c>
      <c r="B57" s="6" t="n">
        <v>7</v>
      </c>
      <c r="C57"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Programme+fee&amp;cd%5Bpost_type%5D=page&amp;cd%5Bpost_id%5D=19980&amp;cd%5Bplugin%5D=PixelYourSite&amp;cd%5Buser_role%5D=guest&amp;cd%5Bevent_url%5D=africanmarketingconfederation.org%2Fchartered-marketer-africa-programme-fee%2F</t>
        </is>
      </c>
      <c r="D57" s="6" t="n">
        <v>6</v>
      </c>
      <c r="E57" s="6" t="n"/>
      <c r="F57" s="6" t="inlineStr">
        <is>
          <t>other:2, png:3, svg:2</t>
        </is>
      </c>
      <c r="G57" s="6" t="n">
        <v>0</v>
      </c>
      <c r="H57" s="4" t="n">
        <v>0</v>
      </c>
      <c r="I57" s="6" t="n"/>
      <c r="J57" s="4" t="b">
        <v>0</v>
      </c>
      <c r="K57">
        <f>IFERROR(HYPERLINK("#Main!A"&amp;MATCH(A57,Main!A:A,0),"Open"),HYPERLINK("#Main!A1","Open"))</f>
        <v/>
      </c>
    </row>
    <row r="58" ht="30" customHeight="1">
      <c r="A58" s="33" t="inlineStr">
        <is>
          <t>https://africanmarketingconfederation.org/download-brochure/</t>
        </is>
      </c>
      <c r="B58" s="24" t="n">
        <v>6</v>
      </c>
      <c r="C58" s="27" t="inlineStr">
        <is>
          <t>https://africanmarketingconfederation.org/wp-content/uploads/2021/08/facebook.svg | https://africanmarketingconfederation.org/wp-content/uploads/2021/08/linkedin.svg | https://africanmarketingconfederation.org/wp-content/uploads/2024/02/AMC-conference-2024-woman-1.png | https://africanmarketingconfederation.org/wp-content/uploads/2026/03/og-image.png | https://www.facebook.com/tr?id=1795315120651843&amp;ev=PageView&amp;noscript=1 | https://www.facebook.com/tr?id=1795315120651843&amp;ev=PageView&amp;noscript=1&amp;cd%5Bpage_title%5D=Download+Brochure&amp;cd%5Bpost_type%5D=page&amp;cd%5Bpost_id%5D=18478&amp;cd%5Bplugin%5D=PixelYourSite&amp;cd%5Buser_role%5D=guest&amp;cd%5Bevent_url%5D=africanmarketingconfederation.org%2Fdownload-brochure%2F</t>
        </is>
      </c>
      <c r="D58" s="24" t="n">
        <v>6</v>
      </c>
      <c r="E58" s="24" t="n"/>
      <c r="F58" s="24" t="inlineStr">
        <is>
          <t>other:2, png:2, svg:2</t>
        </is>
      </c>
      <c r="G58" s="24" t="n">
        <v>0</v>
      </c>
      <c r="H58" s="4" t="n">
        <v>0</v>
      </c>
      <c r="I58" s="24" t="n"/>
      <c r="J58" s="4" t="b">
        <v>0</v>
      </c>
      <c r="K58">
        <f>IFERROR(HYPERLINK("#Main!A"&amp;MATCH(A58,Main!A:A,0),"Open"),HYPERLINK("#Main!A1","Open"))</f>
        <v/>
      </c>
    </row>
    <row r="59" ht="30" customHeight="1">
      <c r="A59" s="33" t="inlineStr">
        <is>
          <t>https://africanmarketingconfederation.org/thank-you-for-the-nomination-2024/</t>
        </is>
      </c>
      <c r="B59" s="6" t="n">
        <v>7</v>
      </c>
      <c r="C59"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https://africanmarketingconfederation.org/wp-content/uploads/2024/03/AMC-Website-Elements-2-1-819x1024.png | https://africanmarketingconfederation.org/wp-content/uploads/2026/03/og-image.png | https://www.facebook.com/tr?id=1795315120651843&amp;ev=PageView&amp;noscript=1 | https://www.facebook.com/tr?id=1795315120651843&amp;ev=PageView&amp;noscript=1&amp;cd%5Bpage_title%5D=Thank+you+for+the+nomination+2024&amp;cd%5Bpost_type%5D=page&amp;cd%5Bpost_id%5D=17000&amp;cd%5Bplugin%5D=PixelYourSite&amp;cd%5Buser_role%5D=guest&amp;cd%5Bevent_url%5D=africanmarketingconfederation.org%2Fthank-you-for-the-nomination-2024%2F</t>
        </is>
      </c>
      <c r="D59" s="6" t="n">
        <v>7</v>
      </c>
      <c r="E59" s="6" t="n"/>
      <c r="F59" s="6" t="inlineStr">
        <is>
          <t>other:2, png:3, svg:2</t>
        </is>
      </c>
      <c r="G59" s="6" t="n">
        <v>0</v>
      </c>
      <c r="H59" s="4" t="n">
        <v>0</v>
      </c>
      <c r="I59" s="6" t="n"/>
      <c r="J59" s="4" t="b">
        <v>0</v>
      </c>
      <c r="K59">
        <f>IFERROR(HYPERLINK("#Main!A"&amp;MATCH(A59,Main!A:A,0),"Open"),HYPERLINK("#Main!A1","Open"))</f>
        <v/>
      </c>
    </row>
    <row r="60" ht="30" customHeight="1">
      <c r="A60" s="33" t="inlineStr">
        <is>
          <t>https://africanmarketingconfederation.org/thank-you-for-the-submission-2024/</t>
        </is>
      </c>
      <c r="B60" s="24" t="n">
        <v>6</v>
      </c>
      <c r="C60" s="27" t="inlineStr">
        <is>
          <t>https://africanmarketingconfederation.org/wp-content/uploads/2021/08/facebook.svg | https://africanmarketingconfederation.org/wp-content/uploads/2021/08/linkedin.svg | https://africanmarketingconfederation.org/wp-content/uploads/2024/04/AMC-Website-Elements-4-2.png | https://africanmarketingconfederation.org/wp-content/uploads/2026/03/og-image.png | https://www.facebook.com/tr?id=1795315120651843&amp;ev=PageView&amp;noscript=1 | https://www.facebook.com/tr?id=1795315120651843&amp;ev=PageView&amp;noscript=1&amp;cd%5Bpage_title%5D=Thank+you+for+the+Submission+2024&amp;cd%5Bpost_type%5D=page&amp;cd%5Bpost_id%5D=17196&amp;cd%5Bplugin%5D=PixelYourSite&amp;cd%5Buser_role%5D=guest&amp;cd%5Bevent_url%5D=africanmarketingconfederation.org%2Fthank-you-for-the-submission-2024%2F</t>
        </is>
      </c>
      <c r="D60" s="24" t="n">
        <v>6</v>
      </c>
      <c r="E60" s="24" t="n"/>
      <c r="F60" s="24" t="inlineStr">
        <is>
          <t>other:2, png:2, svg:2</t>
        </is>
      </c>
      <c r="G60" s="24" t="n">
        <v>0</v>
      </c>
      <c r="H60" s="4" t="n">
        <v>0</v>
      </c>
      <c r="I60" s="24" t="n"/>
      <c r="J60" s="4" t="b">
        <v>0</v>
      </c>
      <c r="K60">
        <f>IFERROR(HYPERLINK("#Main!A"&amp;MATCH(A60,Main!A:A,0),"Open"),HYPERLINK("#Main!A1","Open"))</f>
        <v/>
      </c>
    </row>
    <row r="61" ht="30" customHeight="1">
      <c r="A61" s="33" t="inlineStr">
        <is>
          <t>https://africanmarketingconfederation.org/amc-conference-2024-sponsors-packages/</t>
        </is>
      </c>
      <c r="B61" s="6" t="n">
        <v>26</v>
      </c>
      <c r="C61"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https://africanmarketingconfederation.org/wp-content/uploads/2025/05/Conference-only-package-2.png | https://africanmarketingconfederation.org/wp-content/uploads/2025/05/Day-attendance-1.png | https://africanmarketingconfederation.org/wp-content/uploads/2025/05/Full-conference-La-palm-resort-1.png | https://africanmarketingconfederation.org/wp-content/uploads/2025/05/Full-conference-Lebadi-beach-hotel-store-Image-1.png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Sponsors+Packages&amp;cd%5Bpost_type%5D=page&amp;cd%5Bpost_id%5D=18318&amp;cd%5Bplugin%5D=PixelYourSite&amp;cd%5Buser_role%5D=guest&amp;cd%5Bevent_url%5D=africanmarketingconfederation.org%2Famc-conference-2024-sponsors-packages%2F</t>
        </is>
      </c>
      <c r="D61" s="6" t="n">
        <v>10</v>
      </c>
      <c r="E61" s="6" t="n"/>
      <c r="F61" s="6" t="inlineStr">
        <is>
          <t>jpg:1, other:2, png:20, svg:3</t>
        </is>
      </c>
      <c r="G61" s="6" t="n">
        <v>0</v>
      </c>
      <c r="H61" s="4" t="n">
        <v>0</v>
      </c>
      <c r="I61" s="6" t="n"/>
      <c r="J61" s="4" t="b">
        <v>0</v>
      </c>
      <c r="K61">
        <f>IFERROR(HYPERLINK("#Main!A"&amp;MATCH(A61,Main!A:A,0),"Open"),HYPERLINK("#Main!A1","Open"))</f>
        <v/>
      </c>
    </row>
    <row r="62" ht="30" customHeight="1">
      <c r="A62" s="33" t="inlineStr">
        <is>
          <t>https://africanmarketingconfederation.org/elementor-16548/</t>
        </is>
      </c>
      <c r="B62" s="24" t="n">
        <v>6</v>
      </c>
      <c r="C62" s="27" t="inlineStr">
        <is>
          <t>https://africanmarketingconfederation.org/wp-content/uploads/2021/08/facebook.svg | https://africanmarketingconfederation.org/wp-content/uploads/2021/08/linkedin.svg | https://africanmarketingconfederation.org/wp-content/uploads/2024/03/amc-people-with-lines-05-683x1024.png | https://africanmarketingconfederation.org/wp-content/uploads/2026/03/og-image.png | https://www.facebook.com/tr?id=1795315120651843&amp;ev=PageView&amp;noscript=1 | https://www.facebook.com/tr?id=1795315120651843&amp;ev=PageView&amp;noscript=1&amp;cd%5Bpage_title%5D=Thank+you+for+registering&amp;cd%5Bpost_type%5D=page&amp;cd%5Bpost_id%5D=16548&amp;cd%5Bplugin%5D=PixelYourSite&amp;cd%5Buser_role%5D=guest&amp;cd%5Bevent_url%5D=africanmarketingconfederation.org%2Felementor-16548%2F</t>
        </is>
      </c>
      <c r="D62" s="24" t="n">
        <v>6</v>
      </c>
      <c r="E62" s="24" t="n"/>
      <c r="F62" s="24" t="inlineStr">
        <is>
          <t>other:2, png:2, svg:2</t>
        </is>
      </c>
      <c r="G62" s="24" t="n">
        <v>0</v>
      </c>
      <c r="H62" s="4" t="n">
        <v>0</v>
      </c>
      <c r="I62" s="24" t="n"/>
      <c r="J62" s="4" t="b">
        <v>0</v>
      </c>
      <c r="K62">
        <f>IFERROR(HYPERLINK("#Main!A"&amp;MATCH(A62,Main!A:A,0),"Open"),HYPERLINK("#Main!A1","Open"))</f>
        <v/>
      </c>
    </row>
    <row r="63" ht="30" customHeight="1">
      <c r="A63" s="33" t="inlineStr">
        <is>
          <t>https://africanmarketingconfederation.org/amc-marketing-conference-2024/programme-2024/</t>
        </is>
      </c>
      <c r="B63" s="6" t="n">
        <v>19</v>
      </c>
      <c r="C63"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https://africanmarketingconfederation.org/wp-content/uploads/2024/02/Programme-2024-829x1024.png | https://africanmarketingconfederation.org/wp-content/uploads/2024/02/Programme-2024.png2-2-vd-734x1024.png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Programme+2024&amp;cd%5Bpost_type%5D=page&amp;cd%5Bpost_id%5D=16104&amp;cd%5Bplugin%5D=PixelYourSite&amp;cd%5Buser_role%5D=guest&amp;cd%5Bevent_url%5D=africanmarketingconfederation.org%2Famc-marketing-conference-2024%2Fprogramme-2024%2F</t>
        </is>
      </c>
      <c r="D63" s="6" t="n">
        <v>8</v>
      </c>
      <c r="E63" s="6" t="n"/>
      <c r="F63" s="6" t="inlineStr">
        <is>
          <t>other:2, png:14, svg:3</t>
        </is>
      </c>
      <c r="G63" s="6" t="n">
        <v>0</v>
      </c>
      <c r="H63" s="4" t="n">
        <v>0</v>
      </c>
      <c r="I63" s="6" t="n"/>
      <c r="J63" s="4" t="b">
        <v>0</v>
      </c>
      <c r="K63">
        <f>IFERROR(HYPERLINK("#Main!A"&amp;MATCH(A63,Main!A:A,0),"Open"),HYPERLINK("#Main!A1","Open"))</f>
        <v/>
      </c>
    </row>
    <row r="64" ht="30" customHeight="1">
      <c r="A64" s="33" t="inlineStr">
        <is>
          <t>https://africanmarketingconfederation.org/amc-conference-2023/programme/</t>
        </is>
      </c>
      <c r="B64" s="24" t="n">
        <v>5</v>
      </c>
      <c r="C64" s="27"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Programme&amp;cd%5Bpost_type%5D=page&amp;cd%5Bpost_id%5D=12945&amp;cd%5Bplugin%5D=PixelYourSite&amp;cd%5Buser_role%5D=guest&amp;cd%5Bevent_url%5D=africanmarketingconfederation.org%2Famc-conference-2023%2Fprogramme%2F</t>
        </is>
      </c>
      <c r="D64" s="24" t="n">
        <v>5</v>
      </c>
      <c r="E64" s="24" t="n"/>
      <c r="F64" s="24" t="inlineStr">
        <is>
          <t>other:2, png:1, svg:2</t>
        </is>
      </c>
      <c r="G64" s="24" t="n">
        <v>0</v>
      </c>
      <c r="H64" s="4" t="n">
        <v>0</v>
      </c>
      <c r="I64" s="24" t="n"/>
      <c r="J64" s="4" t="b">
        <v>0</v>
      </c>
      <c r="K64">
        <f>IFERROR(HYPERLINK("#Main!A"&amp;MATCH(A64,Main!A:A,0),"Open"),HYPERLINK("#Main!A1","Open"))</f>
        <v/>
      </c>
    </row>
    <row r="65" ht="30" customHeight="1">
      <c r="A65" s="33" t="inlineStr">
        <is>
          <t>https://africanmarketingconfederation.org/amc-conference-2023/amc-awards/</t>
        </is>
      </c>
      <c r="B65" s="6" t="n">
        <v>10</v>
      </c>
      <c r="C65"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is>
      </c>
      <c r="D65" s="6" t="n">
        <v>7</v>
      </c>
      <c r="E65" s="6" t="n"/>
      <c r="F65" s="6" t="inlineStr">
        <is>
          <t>jpg:2, other:2, png:4, svg:2</t>
        </is>
      </c>
      <c r="G65" s="6" t="n">
        <v>0</v>
      </c>
      <c r="H65" s="4" t="n">
        <v>0</v>
      </c>
      <c r="I65" s="6" t="n"/>
      <c r="J65" s="4" t="b">
        <v>0</v>
      </c>
      <c r="K65">
        <f>IFERROR(HYPERLINK("#Main!A"&amp;MATCH(A65,Main!A:A,0),"Open"),HYPERLINK("#Main!A1","Open"))</f>
        <v/>
      </c>
    </row>
    <row r="66" ht="30" customHeight="1">
      <c r="A66" s="33" t="inlineStr">
        <is>
          <t>https://africanmarketingconfederation.org/amc-conference-2023/partners/</t>
        </is>
      </c>
      <c r="B66" s="24" t="n">
        <v>29</v>
      </c>
      <c r="C66" s="27"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https://africanmarketingconfederation.org/wp-content/uploads/2023/06/IMM-Logo-2022_IMM_primary_horizontal.png | https://africanmarketingconfederation.org/wp-content/uploads/2023/06/Institute-of-Marketing-in-Malawi.png | https://africanmarketingconfederation.org/wp-content/uploads/2023/08/Afro-Mobile-Logo.png | https://africanmarketingconfederation.org/wp-content/uploads/2023/08/CIMDescriptor_blue-1.jpg | https://africanmarketingconfederation.org/wp-content/uploads/2023/08/Cocreate-LOGO-1024x409.png | https://africanmarketingconfederation.org/wp-content/uploads/2023/08/DVI-Pngs-02-11-1024x1024.png | https://africanmarketingconfederation.org/wp-content/uploads/2023/08/Multichoice-Uganda-Logo.png | https://africanmarketingconfederation.org/wp-content/uploads/2023/08/Next-Com-1.png | https://africanmarketingconfederation.org/wp-content/uploads/2023/08/PostBank-Logo-2-1024x229.png | https://africanmarketingconfederation.org/wp-content/uploads/2023/08/PostBank-Logo-3.png | https://africanmarketingconfederation.org/wp-content/uploads/2023/08/SBU-LOGO-3D.png | https://africanmarketingconfederation.org/wp-content/uploads/2023/08/UBL.png | https://africanmarketingconfederation.org/wp-content/uploads/2023/08/nv-footer_logo.02b1d23.png | https://africanmarketingconfederation.org/wp-content/uploads/2023/08/nv-logo_red.1a0b5c1.png | https://africanmarketingconfederation.org/wp-content/uploads/2023/08/u-airlines.png | https://africanmarketingconfederation.org/wp-content/uploads/2023/08/ug-air.png | https://www.facebook.com/tr?id=1795315120651843&amp;ev=PageView&amp;noscript=1 | https://www.facebook.com/tr?id=1795315120651843&amp;ev=PageView&amp;noscript=1&amp;cd%5Bpage_title%5D=Partners&amp;cd%5Bpost_type%5D=page&amp;cd%5Bpost_id%5D=13282&amp;cd%5Bplugin%5D=PixelYourSite&amp;cd%5Buser_role%5D=guest&amp;cd%5Bevent_url%5D=africanmarketingconfederation.org%2Famc-conference-2023%2Fpartners%2F</t>
        </is>
      </c>
      <c r="D66" s="24" t="n">
        <v>15</v>
      </c>
      <c r="E66" s="24" t="n"/>
      <c r="F66" s="24" t="inlineStr">
        <is>
          <t>jpg:1, other:2, png:24, svg:2</t>
        </is>
      </c>
      <c r="G66" s="24" t="n">
        <v>0</v>
      </c>
      <c r="H66" s="4" t="n">
        <v>0</v>
      </c>
      <c r="I66" s="24" t="n"/>
      <c r="J66" s="4" t="b">
        <v>0</v>
      </c>
      <c r="K66">
        <f>IFERROR(HYPERLINK("#Main!A"&amp;MATCH(A66,Main!A:A,0),"Open"),HYPERLINK("#Main!A1","Open"))</f>
        <v/>
      </c>
    </row>
    <row r="67" ht="30" customHeight="1">
      <c r="A67" s="33" t="inlineStr">
        <is>
          <t>https://africanmarketingconfederation.org/amc-conference-2023/speakers/</t>
        </is>
      </c>
      <c r="B67" s="6" t="n">
        <v>18</v>
      </c>
      <c r="C67" s="3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https://africanmarketingconfederation.org/wp-content/uploads/2023/08/Juliet-Ziswa-1-1.jpg | https://africanmarketingconfederation.org/wp-content/uploads/2023/08/Kin-Kariisa.png | https://africanmarketingconfederation.org/wp-content/uploads/2023/08/Matongo-Matamwandi.png | https://africanmarketingconfederation.org/wp-content/uploads/2023/08/Nondumiso-Ngobese-Mabece.png | https://africanmarketingconfederation.org/wp-content/uploads/2023/08/Pheodor-Mundia.jpg | https://africanmarketingconfederation.org/wp-content/uploads/2023/08/Philbert-Julai-Mdindi.png | https://africanmarketingconfederation.org/wp-content/uploads/2023/08/Prof-Robert-Ebo-Hanson.png | https://africanmarketingconfederation.org/wp-content/uploads/2023/08/Siham-Malek.png | https://africanmarketingconfederation.org/wp-content/uploads/2023/08/Yaw-Nsarkoh.png | https://www.facebook.com/tr?id=1795315120651843&amp;ev=PageView&amp;noscript=1 | https://www.facebook.com/tr?id=1795315120651843&amp;ev=PageView&amp;noscript=1&amp;cd%5Bpage_title%5D=Speakers&amp;cd%5Bpost_type%5D=page&amp;cd%5Bpost_id%5D=13179&amp;cd%5Bplugin%5D=PixelYourSite&amp;cd%5Buser_role%5D=guest&amp;cd%5Bevent_url%5D=africanmarketingconfederation.org%2Famc-conference-2023%2Fspeakers%2F</t>
        </is>
      </c>
      <c r="D67" s="6" t="n">
        <v>5</v>
      </c>
      <c r="E67" s="6" t="n"/>
      <c r="F67" s="6" t="inlineStr">
        <is>
          <t>jpg:5, other:2, png:9, svg:2</t>
        </is>
      </c>
      <c r="G67" s="6" t="n">
        <v>0</v>
      </c>
      <c r="H67" s="4" t="n">
        <v>0</v>
      </c>
      <c r="I67" s="6" t="n"/>
      <c r="J67" s="4" t="b">
        <v>0</v>
      </c>
      <c r="K67">
        <f>IFERROR(HYPERLINK("#Main!A"&amp;MATCH(A67,Main!A:A,0),"Open"),HYPERLINK("#Main!A1","Open"))</f>
        <v/>
      </c>
    </row>
    <row r="68" ht="30" customHeight="1">
      <c r="A68" s="33" t="inlineStr">
        <is>
          <t>https://africanmarketingconfederation.org/chartered-marketer-africa-thank-you/</t>
        </is>
      </c>
      <c r="B68" s="24" t="n">
        <v>6</v>
      </c>
      <c r="C68" s="27" t="inlineStr">
        <is>
          <t>https://africanmarketingconfederation.org/wp-content/uploads/2021/08/facebook.svg | https://africanmarketingconfederation.org/wp-content/uploads/2021/08/linkedin.svg | https://africanmarketingconfederation.org/wp-content/uploads/2022/10/AMC-2022_Website-banner-Chartered-Marketing-1024x267.png | https://africanmarketingconfederation.org/wp-content/uploads/2026/03/og-image.png | https://www.facebook.com/tr?id=1795315120651843&amp;ev=PageView&amp;noscript=1 | https://www.facebook.com/tr?id=1795315120651843&amp;ev=PageView&amp;noscript=1&amp;cd%5Bpage_title%5D=Chartered+Marketer+%28Africa%29+%7C+Thank+You&amp;cd%5Bpost_type%5D=page&amp;cd%5Bpost_id%5D=10823&amp;cd%5Bplugin%5D=PixelYourSite&amp;cd%5Buser_role%5D=guest&amp;cd%5Bevent_url%5D=africanmarketingconfederation.org%2Fchartered-marketer-africa-thank-you%2F</t>
        </is>
      </c>
      <c r="D68" s="24" t="n">
        <v>5</v>
      </c>
      <c r="E68" s="24" t="n"/>
      <c r="F68" s="24" t="inlineStr">
        <is>
          <t>other:2, png:2, svg:2</t>
        </is>
      </c>
      <c r="G68" s="24" t="n">
        <v>0</v>
      </c>
      <c r="H68" s="4" t="n">
        <v>0</v>
      </c>
      <c r="I68" s="24" t="n"/>
      <c r="J68" s="4" t="b">
        <v>0</v>
      </c>
      <c r="K68">
        <f>IFERROR(HYPERLINK("#Main!A"&amp;MATCH(A68,Main!A:A,0),"Open"),HYPERLINK("#Main!A1","Open"))</f>
        <v/>
      </c>
    </row>
    <row r="69" ht="30" customHeight="1">
      <c r="A69" s="33" t="inlineStr">
        <is>
          <t>https://africanmarketingconfederation.org/amc-conference-2023/amc-awards-book-now/</t>
        </is>
      </c>
      <c r="B69" s="6" t="n">
        <v>5</v>
      </c>
      <c r="C69" s="30"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is>
      </c>
      <c r="D69" s="6" t="n">
        <v>5</v>
      </c>
      <c r="E69" s="6" t="n"/>
      <c r="F69" s="6" t="inlineStr">
        <is>
          <t>other:2, png:1, svg:2</t>
        </is>
      </c>
      <c r="G69" s="6" t="n">
        <v>0</v>
      </c>
      <c r="H69" s="4" t="n">
        <v>0</v>
      </c>
      <c r="I69" s="6" t="n"/>
      <c r="J69" s="4" t="b">
        <v>0</v>
      </c>
      <c r="K69">
        <f>IFERROR(HYPERLINK("#Main!A"&amp;MATCH(A69,Main!A:A,0),"Open"),HYPERLINK("#Main!A1","Open"))</f>
        <v/>
      </c>
    </row>
    <row r="70" ht="30" customHeight="1">
      <c r="A70" s="33" t="inlineStr">
        <is>
          <t>https://africanmarketingconfederation.org/amc-conference-2023/book-now/</t>
        </is>
      </c>
      <c r="B70" s="24" t="n">
        <v>5</v>
      </c>
      <c r="C70" s="27"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Book+Now&amp;cd%5Bpost_type%5D=page&amp;cd%5Bpost_id%5D=12407&amp;cd%5Bplugin%5D=PixelYourSite&amp;cd%5Buser_role%5D=guest&amp;cd%5Bevent_url%5D=africanmarketingconfederation.org%2Famc-conference-2023%2Fbook-now%2F</t>
        </is>
      </c>
      <c r="D70" s="24" t="n">
        <v>5</v>
      </c>
      <c r="E70" s="24" t="n"/>
      <c r="F70" s="24" t="inlineStr">
        <is>
          <t>other:2, png:1, svg:2</t>
        </is>
      </c>
      <c r="G70" s="24" t="n">
        <v>0</v>
      </c>
      <c r="H70" s="4" t="n">
        <v>0</v>
      </c>
      <c r="I70" s="24" t="n"/>
      <c r="J70" s="4" t="b">
        <v>0</v>
      </c>
      <c r="K70">
        <f>IFERROR(HYPERLINK("#Main!A"&amp;MATCH(A70,Main!A:A,0),"Open"),HYPERLINK("#Main!A1","Open"))</f>
        <v/>
      </c>
    </row>
    <row r="71" ht="30" customHeight="1">
      <c r="A71" s="33" t="inlineStr">
        <is>
          <t>https://africanmarketingconfederation.org/amc-conference-2023/download-prospectus/</t>
        </is>
      </c>
      <c r="B71" s="6" t="n">
        <v>7</v>
      </c>
      <c r="C71"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https://africanmarketingconfederation.org/wp-content/uploads/2023/08/Prospectus-Cover.png | https://www.facebook.com/tr?id=1795315120651843&amp;ev=PageView&amp;noscript=1 | https://www.facebook.com/tr?id=1795315120651843&amp;ev=PageView&amp;noscript=1&amp;cd%5Bpage_title%5D=Download+Prospectus&amp;cd%5Bpost_type%5D=page&amp;cd%5Bpost_id%5D=13098&amp;cd%5Bplugin%5D=PixelYourSite&amp;cd%5Buser_role%5D=guest&amp;cd%5Bevent_url%5D=africanmarketingconfederation.org%2Famc-conference-2023%2Fdownload-prospectus%2F</t>
        </is>
      </c>
      <c r="D71" s="6" t="n">
        <v>6</v>
      </c>
      <c r="E71" s="6" t="n"/>
      <c r="F71" s="6" t="inlineStr">
        <is>
          <t>other:2, png:2, svg:3</t>
        </is>
      </c>
      <c r="G71" s="6" t="n">
        <v>0</v>
      </c>
      <c r="H71" s="4" t="n">
        <v>0</v>
      </c>
      <c r="I71" s="6" t="n"/>
      <c r="J71" s="4" t="b">
        <v>0</v>
      </c>
      <c r="K71">
        <f>IFERROR(HYPERLINK("#Main!A"&amp;MATCH(A71,Main!A:A,0),"Open"),HYPERLINK("#Main!A1","Open"))</f>
        <v/>
      </c>
    </row>
    <row r="72" ht="30" customHeight="1">
      <c r="A72" s="33" t="inlineStr">
        <is>
          <t>https://africanmarketingconfederation.org/thank-you-for-subscribing/</t>
        </is>
      </c>
      <c r="B72" s="24" t="n">
        <v>9</v>
      </c>
      <c r="C72" s="27" t="inlineStr">
        <is>
          <t>https://africanmarketingconfederation.org/wp-content/uploads/2021/08/facebook.svg | https://africanmarketingconfederation.org/wp-content/uploads/2021/08/linkedin.svg | https://africanmarketingconfederation.org/wp-content/uploads/2022/07/amc_Thank-You-for-Subscribing-Image-1.png | https://africanmarketingconfederation.org/wp-content/uploads/2022/07/amc_Thank-You-for-Subscribing-Image-2.png | https://africanmarketingconfederation.org/wp-content/uploads/2022/07/amc_Thank-You-for-Subscribing-Image-3.png | https://africanmarketingconfederation.org/wp-content/uploads/2022/07/amc_Thank-You-for-Subscribing-Image-4.png | https://africanmarketingconfederation.org/wp-content/uploads/2026/03/og-image.png | https://www.facebook.com/tr?id=1795315120651843&amp;ev=PageView&amp;noscript=1 | https://www.facebook.com/tr?id=1795315120651843&amp;ev=PageView&amp;noscript=1&amp;cd%5Bpage_title%5D=Thank+You+for+Subscribing&amp;cd%5Bpost_type%5D=page&amp;cd%5Bpost_id%5D=7916&amp;cd%5Bplugin%5D=PixelYourSite&amp;cd%5Buser_role%5D=guest&amp;cd%5Bevent_url%5D=africanmarketingconfederation.org%2Fthank-you-for-subscribing%2F</t>
        </is>
      </c>
      <c r="D72" s="24" t="n">
        <v>9</v>
      </c>
      <c r="E72" s="24" t="n"/>
      <c r="F72" s="24" t="inlineStr">
        <is>
          <t>other:2, png:5, svg:2</t>
        </is>
      </c>
      <c r="G72" s="24" t="n">
        <v>0</v>
      </c>
      <c r="H72" s="4" t="n">
        <v>0</v>
      </c>
      <c r="I72" s="24" t="n"/>
      <c r="J72" s="4" t="b">
        <v>0</v>
      </c>
      <c r="K72">
        <f>IFERROR(HYPERLINK("#Main!A"&amp;MATCH(A72,Main!A:A,0),"Open"),HYPERLINK("#Main!A1","Open"))</f>
        <v/>
      </c>
    </row>
    <row r="73" ht="30" customHeight="1">
      <c r="A73" s="33" t="inlineStr">
        <is>
          <t>https://africanmarketingconfederation.org/amc-conference-2023/book-now-thank-you/</t>
        </is>
      </c>
      <c r="B73" s="6" t="n">
        <v>2</v>
      </c>
      <c r="C73" s="30" t="inlineStr">
        <is>
          <t>https://www.facebook.com/tr?id=1795315120651843&amp;ev=PageView&amp;noscript=1 | https://www.facebook.com/tr?id=1795315120651843&amp;ev=PageView&amp;noscript=1&amp;cd%5Bpage_title%5D=Book+Now+%7C+Thank+you&amp;cd%5Bpost_type%5D=page&amp;cd%5Bpost_id%5D=12497&amp;cd%5Bplugin%5D=PixelYourSite&amp;cd%5Buser_role%5D=guest&amp;cd%5Bevent_url%5D=africanmarketingconfederation.org%2Famc-conference-2023%2Fbook-now-thank-you%2F</t>
        </is>
      </c>
      <c r="D73" s="6" t="n">
        <v>2</v>
      </c>
      <c r="E73" s="6" t="n"/>
      <c r="F73" s="6" t="inlineStr">
        <is>
          <t>other:2</t>
        </is>
      </c>
      <c r="G73" s="6" t="n">
        <v>0</v>
      </c>
      <c r="H73" s="4" t="n">
        <v>0</v>
      </c>
      <c r="I73" s="6" t="n"/>
      <c r="J73" s="4" t="b">
        <v>0</v>
      </c>
      <c r="K73">
        <f>IFERROR(HYPERLINK("#Main!A"&amp;MATCH(A73,Main!A:A,0),"Open"),HYPERLINK("#Main!A1","Open"))</f>
        <v/>
      </c>
    </row>
    <row r="74" ht="30" customHeight="1">
      <c r="A74" s="33" t="inlineStr">
        <is>
          <t>https://africanmarketingconfederation.org/upcoming-events/</t>
        </is>
      </c>
      <c r="B74" s="24" t="n">
        <v>5</v>
      </c>
      <c r="C74" s="27"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Upcoming+Events&amp;cd%5Bpost_type%5D=page&amp;cd%5Bpost_id%5D=4909&amp;cd%5Bplugin%5D=PixelYourSite&amp;cd%5Buser_role%5D=guest&amp;cd%5Bevent_url%5D=africanmarketingconfederation.org%2Fupcoming-events%2F</t>
        </is>
      </c>
      <c r="D74" s="24" t="n">
        <v>5</v>
      </c>
      <c r="E74" s="24" t="n"/>
      <c r="F74" s="24" t="inlineStr">
        <is>
          <t>other:2, png:1, svg:2</t>
        </is>
      </c>
      <c r="G74" s="24" t="n">
        <v>0</v>
      </c>
      <c r="H74" s="4" t="n">
        <v>0</v>
      </c>
      <c r="I74" s="24" t="n"/>
      <c r="J74" s="4" t="b">
        <v>0</v>
      </c>
      <c r="K74">
        <f>IFERROR(HYPERLINK("#Main!A"&amp;MATCH(A74,Main!A:A,0),"Open"),HYPERLINK("#Main!A1","Open"))</f>
        <v/>
      </c>
    </row>
    <row r="75" ht="30" customHeight="1">
      <c r="A75" s="33" t="inlineStr">
        <is>
          <t>https://africanmarketingconfederation.org/amc-conference-thank-you/</t>
        </is>
      </c>
      <c r="B75" s="6" t="n">
        <v>18</v>
      </c>
      <c r="C75" s="3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https://africanmarketingconfederation.org/wp-content/uploads/2023/06/AfricaPro-Conference-Icon.png | https://africanmarketingconfederation.org/wp-content/uploads/2023/06/IMM-Logo-2022_IMM_primary_horizontal.png | https://africanmarketingconfederation.org/wp-content/uploads/2023/06/Institute-of-Marketing-in-Malawi.png | https://www.facebook.com/tr?id=1795315120651843&amp;ev=PageView&amp;noscript=1 | https://www.facebook.com/tr?id=1795315120651843&amp;ev=PageView&amp;noscript=1&amp;cd%5Bpage_title%5D=AMC+Conference+%7C+Thank+You&amp;cd%5Bpost_type%5D=page&amp;cd%5Bpost_id%5D=12477&amp;cd%5Bplugin%5D=PixelYourSite&amp;cd%5Buser_role%5D=guest&amp;cd%5Bevent_url%5D=africanmarketingconfederation.org%2Famc-conference-thank-you%2F</t>
        </is>
      </c>
      <c r="D75" s="6" t="n">
        <v>18</v>
      </c>
      <c r="E75" s="6" t="n"/>
      <c r="F75" s="6" t="inlineStr">
        <is>
          <t>gif:1, other:2, png:12, svg:3</t>
        </is>
      </c>
      <c r="G75" s="6" t="n">
        <v>0</v>
      </c>
      <c r="H75" s="4" t="n">
        <v>0</v>
      </c>
      <c r="I75" s="6" t="n"/>
      <c r="J75" s="4" t="b">
        <v>0</v>
      </c>
      <c r="K75">
        <f>IFERROR(HYPERLINK("#Main!A"&amp;MATCH(A75,Main!A:A,0),"Open"),HYPERLINK("#Main!A1","Open"))</f>
        <v/>
      </c>
    </row>
    <row r="76" ht="30" customHeight="1">
      <c r="A76" s="33" t="inlineStr">
        <is>
          <t>https://africanmarketingconfederation.org/amc-masterclass/</t>
        </is>
      </c>
      <c r="B76" s="24" t="n">
        <v>6</v>
      </c>
      <c r="C76" s="27" t="inlineStr">
        <is>
          <t>https://africanmarketingconfederation.org/wp-content/uploads/2021/08/facebook.svg | https://africanmarketingconfederation.org/wp-content/uploads/2021/08/linkedin.svg | https://africanmarketingconfederation.org/wp-content/uploads/2022/04/Adrian-Palmer.png | https://africanmarketingconfederation.org/wp-content/uploads/2026/03/og-image.png | https://www.facebook.com/tr?id=1795315120651843&amp;ev=PageView&amp;noscript=1 | https://www.facebook.com/tr?id=1795315120651843&amp;ev=PageView&amp;noscript=1&amp;cd%5Bpage_title%5D=AMC+Masterclass&amp;cd%5Bpost_type%5D=page&amp;cd%5Bpost_id%5D=6553&amp;cd%5Bplugin%5D=PixelYourSite&amp;cd%5Buser_role%5D=guest&amp;cd%5Bevent_url%5D=africanmarketingconfederation.org%2Famc-masterclass%2F</t>
        </is>
      </c>
      <c r="D76" s="24" t="n">
        <v>5</v>
      </c>
      <c r="E76" s="24" t="n"/>
      <c r="F76" s="24" t="inlineStr">
        <is>
          <t>other:2, png:2, svg:2</t>
        </is>
      </c>
      <c r="G76" s="24" t="n">
        <v>0</v>
      </c>
      <c r="H76" s="4" t="n">
        <v>0</v>
      </c>
      <c r="I76" s="24" t="n"/>
      <c r="J76" s="4" t="b">
        <v>0</v>
      </c>
      <c r="K76">
        <f>IFERROR(HYPERLINK("#Main!A"&amp;MATCH(A76,Main!A:A,0),"Open"),HYPERLINK("#Main!A1","Open"))</f>
        <v/>
      </c>
    </row>
    <row r="77" ht="30" customHeight="1">
      <c r="A77" s="33" t="inlineStr">
        <is>
          <t>https://africanmarketingconfederation.org/amc-relaunch-programme/</t>
        </is>
      </c>
      <c r="B77" s="6" t="n">
        <v>20</v>
      </c>
      <c r="C77" s="30"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https://africanmarketingconfederation.org/wp-content/uploads/2021/09/Helen-McIntee2021a-1-copy2.jpg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https://africanmarketingconfederation.org/wp-content/uploads/2021/10/AMC-Conference-3.png | https://africanmarketingconfederation.org/wp-content/uploads/2026/03/og-image.png | https://www.facebook.com/tr?id=1795315120651843&amp;ev=PageView&amp;noscript=1 | https://www.facebook.com/tr?id=1795315120651843&amp;ev=PageView&amp;noscript=1&amp;cd%5Bpage_title%5D=AMC+RELAUNCH+-+PROGRAMME&amp;cd%5Bpost_type%5D=page&amp;cd%5Bpost_id%5D=4492&amp;cd%5Bplugin%5D=PixelYourSite&amp;cd%5Buser_role%5D=guest&amp;cd%5Bevent_url%5D=africanmarketingconfederation.org%2Famc-relaunch-programme%2F</t>
        </is>
      </c>
      <c r="D77" s="6" t="n">
        <v>6</v>
      </c>
      <c r="E77" s="6" t="n"/>
      <c r="F77" s="6" t="inlineStr">
        <is>
          <t>jpg:1, other:2, png:15, svg:2</t>
        </is>
      </c>
      <c r="G77" s="6" t="n">
        <v>0</v>
      </c>
      <c r="H77" s="4" t="n">
        <v>0</v>
      </c>
      <c r="I77" s="6" t="n"/>
      <c r="J77" s="4" t="b">
        <v>0</v>
      </c>
      <c r="K77">
        <f>IFERROR(HYPERLINK("#Main!A"&amp;MATCH(A77,Main!A:A,0),"Open"),HYPERLINK("#Main!A1","Open"))</f>
        <v/>
      </c>
    </row>
    <row r="78" ht="30" customHeight="1">
      <c r="A78" s="33" t="inlineStr">
        <is>
          <t>https://africanmarketingconfederation.org/amc-masterclass-thank-you/</t>
        </is>
      </c>
      <c r="B78" s="24" t="n">
        <v>2</v>
      </c>
      <c r="C78" s="27" t="inlineStr">
        <is>
          <t>https://www.facebook.com/tr?id=1795315120651843&amp;ev=PageView&amp;noscript=1 | https://www.facebook.com/tr?id=1795315120651843&amp;ev=PageView&amp;noscript=1&amp;cd%5Bpage_title%5D=AMC+Masterclass+%7C+Thank+you&amp;cd%5Bpost_type%5D=page&amp;cd%5Bpost_id%5D=6822&amp;cd%5Bplugin%5D=PixelYourSite&amp;cd%5Buser_role%5D=guest&amp;cd%5Bevent_url%5D=africanmarketingconfederation.org%2Famc-masterclass-thank-you%2F</t>
        </is>
      </c>
      <c r="D78" s="24" t="n">
        <v>2</v>
      </c>
      <c r="E78" s="24" t="n"/>
      <c r="F78" s="24" t="inlineStr">
        <is>
          <t>other:2</t>
        </is>
      </c>
      <c r="G78" s="24" t="n">
        <v>0</v>
      </c>
      <c r="H78" s="4" t="n">
        <v>0</v>
      </c>
      <c r="I78" s="24" t="n"/>
      <c r="J78" s="4" t="b">
        <v>0</v>
      </c>
      <c r="K78">
        <f>IFERROR(HYPERLINK("#Main!A"&amp;MATCH(A78,Main!A:A,0),"Open"),HYPERLINK("#Main!A1","Open"))</f>
        <v/>
      </c>
    </row>
    <row r="79" ht="30" customHeight="1">
      <c r="A79" s="33" t="inlineStr">
        <is>
          <t>https://africanmarketingconfederation.org/amc-masterclass-bookings/</t>
        </is>
      </c>
      <c r="B79" s="6" t="n">
        <v>5</v>
      </c>
      <c r="C79" s="30"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AMC+Masterclass+%7C+Bookings&amp;cd%5Bpost_type%5D=page&amp;cd%5Bpost_id%5D=6816&amp;cd%5Bplugin%5D=PixelYourSite&amp;cd%5Buser_role%5D=guest&amp;cd%5Bevent_url%5D=africanmarketingconfederation.org%2Famc-masterclass-bookings%2F</t>
        </is>
      </c>
      <c r="D79" s="6" t="n">
        <v>5</v>
      </c>
      <c r="E79" s="6" t="n"/>
      <c r="F79" s="6" t="inlineStr">
        <is>
          <t>other:2, png:1, svg:2</t>
        </is>
      </c>
      <c r="G79" s="6" t="n">
        <v>0</v>
      </c>
      <c r="H79" s="4" t="n">
        <v>0</v>
      </c>
      <c r="I79" s="6" t="n"/>
      <c r="J79" s="4" t="b">
        <v>0</v>
      </c>
      <c r="K79">
        <f>IFERROR(HYPERLINK("#Main!A"&amp;MATCH(A79,Main!A:A,0),"Open"),HYPERLINK("#Main!A1","Open"))</f>
        <v/>
      </c>
    </row>
    <row r="80" ht="30" customHeight="1">
      <c r="A80" s="33" t="inlineStr">
        <is>
          <t>https://africanmarketingconfederation.org/amc-conference-programme/</t>
        </is>
      </c>
      <c r="B80" s="24" t="n">
        <v>5</v>
      </c>
      <c r="C80" s="27"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HYBRID+PROGRAMME%E2%80%8B&amp;cd%5Bpost_type%5D=page&amp;cd%5Bpost_id%5D=5057&amp;cd%5Bplugin%5D=PixelYourSite&amp;cd%5Buser_role%5D=guest&amp;cd%5Bevent_url%5D=africanmarketingconfederation.org%2Famc-conference-programme%2F</t>
        </is>
      </c>
      <c r="D80" s="24" t="n">
        <v>5</v>
      </c>
      <c r="E80" s="24" t="n"/>
      <c r="F80" s="24" t="inlineStr">
        <is>
          <t>other:2, png:1, svg:2</t>
        </is>
      </c>
      <c r="G80" s="24" t="n">
        <v>0</v>
      </c>
      <c r="H80" s="4" t="n">
        <v>0</v>
      </c>
      <c r="I80" s="24" t="n"/>
      <c r="J80" s="4" t="b">
        <v>0</v>
      </c>
      <c r="K80">
        <f>IFERROR(HYPERLINK("#Main!A"&amp;MATCH(A80,Main!A:A,0),"Open"),HYPERLINK("#Main!A1","Open"))</f>
        <v/>
      </c>
    </row>
    <row r="81" ht="30" customHeight="1">
      <c r="A81" s="33" t="inlineStr">
        <is>
          <t>https://africanmarketingconfederation.org/test-homeslider/</t>
        </is>
      </c>
      <c r="B81" s="6" t="n">
        <v>7</v>
      </c>
      <c r="C81" s="30" t="inlineStr">
        <is>
          <t>https://africanmarketingconfederation.org/wp-content/uploads/2021/08/facebook.svg | https://africanmarketingconfederation.org/wp-content/uploads/2021/08/linkedin.svg | https://africanmarketingconfederation.org/wp-content/uploads/2022/01/AMC-2022_Website-Slide-Navigating-image-3.png | https://africanmarketingconfederation.org/wp-content/uploads/2026/03/og-image.png | https://www.facebook.com/tr?id=1795315120651843&amp;ev=PageView&amp;noscript=1 | https://www.facebook.com/tr?id=1795315120651843&amp;ev=PageView&amp;noscript=1&amp;cd%5Bpage_title%5D=Test+HomeSlider&amp;cd%5Bpost_type%5D=page&amp;cd%5Bpost_id%5D=5490&amp;cd%5Bplugin%5D=PixelYourSite&amp;cd%5Buser_role%5D=guest&amp;cd%5Bevent_url%5D=africanmarketingconfederation.org%2Ftest-homeslider%2F</t>
        </is>
      </c>
      <c r="D81" s="6" t="n">
        <v>5</v>
      </c>
      <c r="E81" s="6" t="n"/>
      <c r="F81" s="6" t="inlineStr">
        <is>
          <t>other:2, png:2, svg:2</t>
        </is>
      </c>
      <c r="G81" s="6" t="n">
        <v>0</v>
      </c>
      <c r="H81" s="4" t="n">
        <v>0</v>
      </c>
      <c r="I81" s="6" t="n"/>
      <c r="J81" s="4" t="b">
        <v>0</v>
      </c>
      <c r="K81">
        <f>IFERROR(HYPERLINK("#Main!A"&amp;MATCH(A81,Main!A:A,0),"Open"),HYPERLINK("#Main!A1","Open"))</f>
        <v/>
      </c>
    </row>
    <row r="82" ht="30" customHeight="1">
      <c r="A82" s="33" t="inlineStr">
        <is>
          <t>https://africanmarketingconfederation.org/virtual-programme/</t>
        </is>
      </c>
      <c r="B82" s="24" t="n">
        <v>5</v>
      </c>
      <c r="C82" s="27"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VIRTUAL+PROGRAMME&amp;cd%5Bpost_type%5D=page&amp;cd%5Bpost_id%5D=5290&amp;cd%5Bplugin%5D=PixelYourSite&amp;cd%5Buser_role%5D=guest&amp;cd%5Bevent_url%5D=africanmarketingconfederation.org%2Fvirtual-programme%2F</t>
        </is>
      </c>
      <c r="D82" s="24" t="n">
        <v>5</v>
      </c>
      <c r="E82" s="24" t="n"/>
      <c r="F82" s="24" t="inlineStr">
        <is>
          <t>other:2, png:1, svg:2</t>
        </is>
      </c>
      <c r="G82" s="24" t="n">
        <v>0</v>
      </c>
      <c r="H82" s="4" t="n">
        <v>0</v>
      </c>
      <c r="I82" s="24" t="n"/>
      <c r="J82" s="4" t="b">
        <v>0</v>
      </c>
      <c r="K82">
        <f>IFERROR(HYPERLINK("#Main!A"&amp;MATCH(A82,Main!A:A,0),"Open"),HYPERLINK("#Main!A1","Open"))</f>
        <v/>
      </c>
    </row>
    <row r="83" ht="30" customHeight="1">
      <c r="A83" s="33" t="inlineStr">
        <is>
          <t>https://africanmarketingconfederation.org/general-enquiry-form-thank-you/</t>
        </is>
      </c>
      <c r="B83" s="6" t="n">
        <v>5</v>
      </c>
      <c r="C83" s="30"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General+Enquiry+Form+-+Thank+You&amp;cd%5Bpost_type%5D=page&amp;cd%5Bpost_id%5D=5597&amp;cd%5Bplugin%5D=PixelYourSite&amp;cd%5Buser_role%5D=guest&amp;cd%5Bevent_url%5D=africanmarketingconfederation.org%2Fgeneral-enquiry-form-thank-you%2F</t>
        </is>
      </c>
      <c r="D83" s="6" t="n">
        <v>5</v>
      </c>
      <c r="E83" s="6" t="n"/>
      <c r="F83" s="6" t="inlineStr">
        <is>
          <t>other:2, png:1, svg:2</t>
        </is>
      </c>
      <c r="G83" s="6" t="n">
        <v>0</v>
      </c>
      <c r="H83" s="4" t="n">
        <v>0</v>
      </c>
      <c r="I83" s="6" t="n"/>
      <c r="J83" s="4" t="b">
        <v>0</v>
      </c>
      <c r="K83">
        <f>IFERROR(HYPERLINK("#Main!A"&amp;MATCH(A83,Main!A:A,0),"Open"),HYPERLINK("#Main!A1","Open"))</f>
        <v/>
      </c>
    </row>
    <row r="84" ht="30" customHeight="1">
      <c r="A84" s="33" t="inlineStr">
        <is>
          <t>https://africanmarketingconfederation.org/amc-conference-2022-thank-you/</t>
        </is>
      </c>
      <c r="B84" s="24" t="n">
        <v>15</v>
      </c>
      <c r="C84" s="27" t="inlineStr">
        <is>
          <t>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is>
      </c>
      <c r="D84" s="24" t="n">
        <v>15</v>
      </c>
      <c r="E84" s="24" t="n"/>
      <c r="F84" s="24" t="inlineStr">
        <is>
          <t>other:2, png:11, svg:2</t>
        </is>
      </c>
      <c r="G84" s="24" t="n">
        <v>0</v>
      </c>
      <c r="H84" s="4" t="n">
        <v>0</v>
      </c>
      <c r="I84" s="24" t="n"/>
      <c r="J84" s="4" t="b">
        <v>0</v>
      </c>
      <c r="K84">
        <f>IFERROR(HYPERLINK("#Main!A"&amp;MATCH(A84,Main!A:A,0),"Open"),HYPERLINK("#Main!A1","Open"))</f>
        <v/>
      </c>
    </row>
    <row r="85" ht="30" customHeight="1">
      <c r="A85" s="33" t="inlineStr">
        <is>
          <t>https://africanmarketingconfederation.org/privacy-policy/</t>
        </is>
      </c>
      <c r="B85" s="6" t="n">
        <v>5</v>
      </c>
      <c r="C85" s="30"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rivacy+Policy&amp;cd%5Bpost_type%5D=page&amp;cd%5Bpost_id%5D=3&amp;cd%5Bplugin%5D=PixelYourSite&amp;cd%5Buser_role%5D=guest&amp;cd%5Bevent_url%5D=africanmarketingconfederation.org%2Fprivacy-policy%2F</t>
        </is>
      </c>
      <c r="D85" s="6" t="n">
        <v>5</v>
      </c>
      <c r="E85" s="6" t="n"/>
      <c r="F85" s="6" t="inlineStr">
        <is>
          <t>other:2, png:1, svg:2</t>
        </is>
      </c>
      <c r="G85" s="6" t="n">
        <v>0</v>
      </c>
      <c r="H85" s="4" t="n">
        <v>0</v>
      </c>
      <c r="I85" s="6" t="n"/>
      <c r="J85" s="4" t="b">
        <v>0</v>
      </c>
      <c r="K85">
        <f>IFERROR(HYPERLINK("#Main!A"&amp;MATCH(A85,Main!A:A,0),"Open"),HYPERLINK("#Main!A1","Open"))</f>
        <v/>
      </c>
    </row>
    <row r="86" ht="30" customHeight="1">
      <c r="A86" s="33" t="inlineStr">
        <is>
          <t>https://africanmarketingconfederation.org/speakers/</t>
        </is>
      </c>
      <c r="B86" s="24" t="n">
        <v>18</v>
      </c>
      <c r="C86" s="27"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https://africanmarketingconfederation.org/wp-content/uploads/2026/03/og-image.png | https://www.facebook.com/tr?id=1795315120651843&amp;ev=PageView&amp;noscript=1 | https://www.facebook.com/tr?id=1795315120651843&amp;ev=PageView&amp;noscript=1&amp;cd%5Bpage_title%5D=Speakers&amp;cd%5Bpost_type%5D=page&amp;cd%5Bpost_id%5D=3252&amp;cd%5Bplugin%5D=PixelYourSite&amp;cd%5Buser_role%5D=guest&amp;cd%5Bevent_url%5D=africanmarketingconfederation.org%2Fspeakers%2F</t>
        </is>
      </c>
      <c r="D86" s="24" t="n">
        <v>8</v>
      </c>
      <c r="E86" s="24" t="n"/>
      <c r="F86" s="24" t="inlineStr">
        <is>
          <t>other:2, png:14, svg:2</t>
        </is>
      </c>
      <c r="G86" s="24" t="n">
        <v>0</v>
      </c>
      <c r="H86" s="4" t="n">
        <v>0</v>
      </c>
      <c r="I86" s="24" t="n"/>
      <c r="J86" s="4" t="b">
        <v>0</v>
      </c>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21" customWidth="1" min="4" max="4"/>
  </cols>
  <sheetData>
    <row r="1">
      <c r="A1" s="3" t="inlineStr">
        <is>
          <t>URL</t>
        </is>
      </c>
      <c r="B1" s="3" t="inlineStr">
        <is>
          <t>Schema Types Found</t>
        </is>
      </c>
      <c r="C1" s="3" t="inlineStr">
        <is>
          <t>Schema Types Count</t>
        </is>
      </c>
      <c r="D1" s="3" t="inlineStr">
        <is>
          <t>Schema Parse Errors</t>
        </is>
      </c>
      <c r="E1" t="inlineStr">
        <is>
          <t>Open in Main</t>
        </is>
      </c>
      <c r="F1" s="23" t="inlineStr">
        <is>
          <t>BACK TO DASHBOARD</t>
        </is>
      </c>
    </row>
    <row r="2">
      <c r="A2" s="33" t="inlineStr">
        <is>
          <t>https://africanmarketingconfederation.org/</t>
        </is>
      </c>
      <c r="B2" s="24" t="n"/>
      <c r="C2" s="24" t="n">
        <v>0</v>
      </c>
      <c r="D2" s="24" t="n">
        <v>0</v>
      </c>
      <c r="E2">
        <f>IFERROR(HYPERLINK("#Main!A"&amp;MATCH(A2,Main!A:A,0),"Open"),HYPERLINK("#Main!A1","Open"))</f>
        <v/>
      </c>
    </row>
    <row r="3" ht="30" customHeight="1">
      <c r="A3" s="33" t="inlineStr">
        <is>
          <t>https://africanmarketingconfederation.org/publication-download-list/</t>
        </is>
      </c>
      <c r="B3" s="6" t="n"/>
      <c r="C3" s="6" t="n">
        <v>0</v>
      </c>
      <c r="D3" s="6" t="n">
        <v>0</v>
      </c>
      <c r="E3">
        <f>IFERROR(HYPERLINK("#Main!A"&amp;MATCH(A3,Main!A:A,0),"Open"),HYPERLINK("#Main!A1","Open"))</f>
        <v/>
      </c>
    </row>
    <row r="4" ht="30" customHeight="1">
      <c r="A4" s="33" t="inlineStr">
        <is>
          <t>https://africanmarketingconfederation.org/launch-event-2026-amc-conference/</t>
        </is>
      </c>
      <c r="B4" s="24" t="n"/>
      <c r="C4" s="24" t="n">
        <v>0</v>
      </c>
      <c r="D4" s="24" t="n">
        <v>0</v>
      </c>
      <c r="E4">
        <f>IFERROR(HYPERLINK("#Main!A"&amp;MATCH(A4,Main!A:A,0),"Open"),HYPERLINK("#Main!A1","Open"))</f>
        <v/>
      </c>
    </row>
    <row r="5" ht="30" customHeight="1">
      <c r="A5" s="33" t="inlineStr">
        <is>
          <t>https://africanmarketingconfederation.org/publications-2/</t>
        </is>
      </c>
      <c r="B5" s="6" t="n"/>
      <c r="C5" s="6" t="n">
        <v>0</v>
      </c>
      <c r="D5" s="6" t="n">
        <v>0</v>
      </c>
      <c r="E5">
        <f>IFERROR(HYPERLINK("#Main!A"&amp;MATCH(A5,Main!A:A,0),"Open"),HYPERLINK("#Main!A1","Open"))</f>
        <v/>
      </c>
    </row>
    <row r="6" ht="30" customHeight="1">
      <c r="A6" s="33" t="inlineStr">
        <is>
          <t>https://africanmarketingconfederation.org/certified-professional-marketer-africa/</t>
        </is>
      </c>
      <c r="B6" s="24" t="n"/>
      <c r="C6" s="24" t="n">
        <v>0</v>
      </c>
      <c r="D6" s="24" t="n">
        <v>0</v>
      </c>
      <c r="E6">
        <f>IFERROR(HYPERLINK("#Main!A"&amp;MATCH(A6,Main!A:A,0),"Open"),HYPERLINK("#Main!A1","Open"))</f>
        <v/>
      </c>
    </row>
    <row r="7" ht="30" customHeight="1">
      <c r="A7" s="33" t="inlineStr">
        <is>
          <t>https://africanmarketingconfederation.org/chartered-marketer-africa/</t>
        </is>
      </c>
      <c r="B7" s="6" t="n"/>
      <c r="C7" s="6" t="n">
        <v>0</v>
      </c>
      <c r="D7" s="6" t="n">
        <v>0</v>
      </c>
      <c r="E7">
        <f>IFERROR(HYPERLINK("#Main!A"&amp;MATCH(A7,Main!A:A,0),"Open"),HYPERLINK("#Main!A1","Open"))</f>
        <v/>
      </c>
    </row>
    <row r="8" ht="30" customHeight="1">
      <c r="A8" s="33" t="inlineStr">
        <is>
          <t>https://africanmarketingconfederation.org/amc-conference-2026/</t>
        </is>
      </c>
      <c r="B8" s="24" t="n"/>
      <c r="C8" s="24" t="n">
        <v>0</v>
      </c>
      <c r="D8" s="24" t="n">
        <v>0</v>
      </c>
      <c r="E8">
        <f>IFERROR(HYPERLINK("#Main!A"&amp;MATCH(A8,Main!A:A,0),"Open"),HYPERLINK("#Main!A1","Open"))</f>
        <v/>
      </c>
    </row>
    <row r="9" ht="30" customHeight="1">
      <c r="A9" s="33" t="inlineStr">
        <is>
          <t>https://africanmarketingconfederation.org/education/</t>
        </is>
      </c>
      <c r="B9" s="6" t="n"/>
      <c r="C9" s="6" t="n">
        <v>0</v>
      </c>
      <c r="D9" s="6" t="n">
        <v>0</v>
      </c>
      <c r="E9">
        <f>IFERROR(HYPERLINK("#Main!A"&amp;MATCH(A9,Main!A:A,0),"Open"),HYPERLINK("#Main!A1","Open"))</f>
        <v/>
      </c>
    </row>
    <row r="10" ht="30" customHeight="1">
      <c r="A10" s="33" t="inlineStr">
        <is>
          <t>https://africanmarketingconfederation.org/awards-2026/</t>
        </is>
      </c>
      <c r="B10" s="24" t="n"/>
      <c r="C10" s="24" t="n">
        <v>0</v>
      </c>
      <c r="D10" s="24" t="n">
        <v>0</v>
      </c>
      <c r="E10">
        <f>IFERROR(HYPERLINK("#Main!A"&amp;MATCH(A10,Main!A:A,0),"Open"),HYPERLINK("#Main!A1","Open"))</f>
        <v/>
      </c>
    </row>
    <row r="11" ht="30" customHeight="1">
      <c r="A11" s="33" t="inlineStr">
        <is>
          <t>https://africanmarketingconfederation.org/contact-us/</t>
        </is>
      </c>
      <c r="B11" s="6" t="n"/>
      <c r="C11" s="6" t="n">
        <v>0</v>
      </c>
      <c r="D11" s="6" t="n">
        <v>0</v>
      </c>
      <c r="E11">
        <f>IFERROR(HYPERLINK("#Main!A"&amp;MATCH(A11,Main!A:A,0),"Open"),HYPERLINK("#Main!A1","Open"))</f>
        <v/>
      </c>
    </row>
    <row r="12" ht="30" customHeight="1">
      <c r="A12" s="33" t="inlineStr">
        <is>
          <t>https://africanmarketingconfederation.org/news-articles/</t>
        </is>
      </c>
      <c r="B12" s="24" t="n"/>
      <c r="C12" s="24" t="n">
        <v>0</v>
      </c>
      <c r="D12" s="24" t="n">
        <v>0</v>
      </c>
      <c r="E12">
        <f>IFERROR(HYPERLINK("#Main!A"&amp;MATCH(A12,Main!A:A,0),"Open"),HYPERLINK("#Main!A1","Open"))</f>
        <v/>
      </c>
    </row>
    <row r="13" ht="30" customHeight="1">
      <c r="A13" s="33" t="inlineStr">
        <is>
          <t>https://africanmarketingconfederation.org/african-marketing-confederation-tourism-chapter/</t>
        </is>
      </c>
      <c r="B13" s="6" t="n"/>
      <c r="C13" s="6" t="n">
        <v>0</v>
      </c>
      <c r="D13" s="6" t="n">
        <v>0</v>
      </c>
      <c r="E13">
        <f>IFERROR(HYPERLINK("#Main!A"&amp;MATCH(A13,Main!A:A,0),"Open"),HYPERLINK("#Main!A1","Open"))</f>
        <v/>
      </c>
    </row>
    <row r="14" ht="30" customHeight="1">
      <c r="A14" s="33" t="inlineStr">
        <is>
          <t>https://africanmarketingconfederation.org/sub-committees/</t>
        </is>
      </c>
      <c r="B14" s="24" t="n"/>
      <c r="C14" s="24" t="n">
        <v>0</v>
      </c>
      <c r="D14" s="24" t="n">
        <v>0</v>
      </c>
      <c r="E14">
        <f>IFERROR(HYPERLINK("#Main!A"&amp;MATCH(A14,Main!A:A,0),"Open"),HYPERLINK("#Main!A1","Open"))</f>
        <v/>
      </c>
    </row>
    <row r="15" ht="30" customHeight="1">
      <c r="A15" s="33" t="inlineStr">
        <is>
          <t>https://africanmarketingconfederation.org/members/</t>
        </is>
      </c>
      <c r="B15" s="6" t="n"/>
      <c r="C15" s="6" t="n">
        <v>0</v>
      </c>
      <c r="D15" s="6" t="n">
        <v>0</v>
      </c>
      <c r="E15">
        <f>IFERROR(HYPERLINK("#Main!A"&amp;MATCH(A15,Main!A:A,0),"Open"),HYPERLINK("#Main!A1","Open"))</f>
        <v/>
      </c>
    </row>
    <row r="16" ht="30" customHeight="1">
      <c r="A16" s="33" t="inlineStr">
        <is>
          <t>https://africanmarketingconfederation.org/about-us/</t>
        </is>
      </c>
      <c r="B16" s="24" t="n"/>
      <c r="C16" s="24" t="n">
        <v>0</v>
      </c>
      <c r="D16" s="24" t="n">
        <v>0</v>
      </c>
      <c r="E16">
        <f>IFERROR(HYPERLINK("#Main!A"&amp;MATCH(A16,Main!A:A,0),"Open"),HYPERLINK("#Main!A1","Open"))</f>
        <v/>
      </c>
    </row>
    <row r="17" ht="30" customHeight="1">
      <c r="A17" s="33" t="inlineStr">
        <is>
          <t>https://africanmarketingconfederation.org/awards-2026-1/</t>
        </is>
      </c>
      <c r="B17" s="6" t="n"/>
      <c r="C17" s="6" t="n">
        <v>0</v>
      </c>
      <c r="D17" s="6" t="n">
        <v>0</v>
      </c>
      <c r="E17">
        <f>IFERROR(HYPERLINK("#Main!A"&amp;MATCH(A17,Main!A:A,0),"Open"),HYPERLINK("#Main!A1","Open"))</f>
        <v/>
      </c>
    </row>
    <row r="18" ht="30" customHeight="1">
      <c r="A18" s="33" t="inlineStr">
        <is>
          <t>https://africanmarketingconfederation.org/awards-2026-test/</t>
        </is>
      </c>
      <c r="B18" s="24" t="n"/>
      <c r="C18" s="24" t="n">
        <v>0</v>
      </c>
      <c r="D18" s="24" t="n">
        <v>0</v>
      </c>
      <c r="E18">
        <f>IFERROR(HYPERLINK("#Main!A"&amp;MATCH(A18,Main!A:A,0),"Open"),HYPERLINK("#Main!A1","Open"))</f>
        <v/>
      </c>
    </row>
    <row r="19" ht="30" customHeight="1">
      <c r="A19" s="33" t="inlineStr">
        <is>
          <t>https://africanmarketingconfederation.org/amc-conference-2026-awards-nominations-thank-you/</t>
        </is>
      </c>
      <c r="B19" s="6" t="n"/>
      <c r="C19" s="6" t="n">
        <v>0</v>
      </c>
      <c r="D19" s="6" t="n">
        <v>0</v>
      </c>
      <c r="E19">
        <f>IFERROR(HYPERLINK("#Main!A"&amp;MATCH(A19,Main!A:A,0),"Open"),HYPERLINK("#Main!A1","Open"))</f>
        <v/>
      </c>
    </row>
    <row r="20" ht="30" customHeight="1">
      <c r="A20" s="33" t="inlineStr">
        <is>
          <t>https://africanmarketingconfederation.org/speakers-2025/</t>
        </is>
      </c>
      <c r="B20" s="24" t="n"/>
      <c r="C20" s="24" t="n">
        <v>0</v>
      </c>
      <c r="D20" s="24" t="n">
        <v>0</v>
      </c>
      <c r="E20">
        <f>IFERROR(HYPERLINK("#Main!A"&amp;MATCH(A20,Main!A:A,0),"Open"),HYPERLINK("#Main!A1","Open"))</f>
        <v/>
      </c>
    </row>
    <row r="21" ht="30" customHeight="1">
      <c r="A21" s="33" t="inlineStr">
        <is>
          <t>https://africanmarketingconfederation.org/amc-conference-2026-zambia-thank-you/</t>
        </is>
      </c>
      <c r="B21" s="6" t="n"/>
      <c r="C21" s="6" t="n">
        <v>0</v>
      </c>
      <c r="D21" s="6" t="n">
        <v>0</v>
      </c>
      <c r="E21">
        <f>IFERROR(HYPERLINK("#Main!A"&amp;MATCH(A21,Main!A:A,0),"Open"),HYPERLINK("#Main!A1","Open"))</f>
        <v/>
      </c>
    </row>
    <row r="22" ht="30" customHeight="1">
      <c r="A22" s="33" t="inlineStr">
        <is>
          <t>https://africanmarketingconfederation.org/amc-launch-event-zambia-thank-you-2026/</t>
        </is>
      </c>
      <c r="B22" s="24" t="n"/>
      <c r="C22" s="24" t="n">
        <v>0</v>
      </c>
      <c r="D22" s="24" t="n">
        <v>0</v>
      </c>
      <c r="E22">
        <f>IFERROR(HYPERLINK("#Main!A"&amp;MATCH(A22,Main!A:A,0),"Open"),HYPERLINK("#Main!A1","Open"))</f>
        <v/>
      </c>
    </row>
    <row r="23" ht="30" customHeight="1">
      <c r="A23" s="33" t="inlineStr">
        <is>
          <t>https://africanmarketingconfederation.org/amc-marketing-conference-2024/awards-2025/</t>
        </is>
      </c>
      <c r="B23" s="6" t="n"/>
      <c r="C23" s="6" t="n">
        <v>0</v>
      </c>
      <c r="D23" s="6" t="n">
        <v>0</v>
      </c>
      <c r="E23">
        <f>IFERROR(HYPERLINK("#Main!A"&amp;MATCH(A23,Main!A:A,0),"Open"),HYPERLINK("#Main!A1","Open"))</f>
        <v/>
      </c>
    </row>
    <row r="24" ht="30" customHeight="1">
      <c r="A24" s="33" t="inlineStr">
        <is>
          <t>https://africanmarketingconfederation.org/amc-conference-2025-highlights/</t>
        </is>
      </c>
      <c r="B24" s="24" t="n"/>
      <c r="C24" s="24" t="n">
        <v>0</v>
      </c>
      <c r="D24" s="24" t="n">
        <v>0</v>
      </c>
      <c r="E24">
        <f>IFERROR(HYPERLINK("#Main!A"&amp;MATCH(A24,Main!A:A,0),"Open"),HYPERLINK("#Main!A1","Open"))</f>
        <v/>
      </c>
    </row>
    <row r="25" ht="30" customHeight="1">
      <c r="A25" s="33" t="inlineStr">
        <is>
          <t>https://africanmarketingconfederation.org/amc-conference-2022/</t>
        </is>
      </c>
      <c r="B25" s="6" t="n"/>
      <c r="C25" s="6" t="n">
        <v>0</v>
      </c>
      <c r="D25" s="6" t="n">
        <v>0</v>
      </c>
      <c r="E25">
        <f>IFERROR(HYPERLINK("#Main!A"&amp;MATCH(A25,Main!A:A,0),"Open"),HYPERLINK("#Main!A1","Open"))</f>
        <v/>
      </c>
    </row>
    <row r="26" ht="30" customHeight="1">
      <c r="A26" s="33" t="inlineStr">
        <is>
          <t>https://africanmarketingconfederation.org/amc-conference-2023/gallery/</t>
        </is>
      </c>
      <c r="B26" s="24" t="n"/>
      <c r="C26" s="24" t="n">
        <v>0</v>
      </c>
      <c r="D26" s="24" t="n">
        <v>0</v>
      </c>
      <c r="E26">
        <f>IFERROR(HYPERLINK("#Main!A"&amp;MATCH(A26,Main!A:A,0),"Open"),HYPERLINK("#Main!A1","Open"))</f>
        <v/>
      </c>
    </row>
    <row r="27" ht="30" customHeight="1">
      <c r="A27" s="33" t="inlineStr">
        <is>
          <t>https://africanmarketingconfederation.org/conference-registrations-2024/</t>
        </is>
      </c>
      <c r="B27" s="6" t="n"/>
      <c r="C27" s="6" t="n">
        <v>0</v>
      </c>
      <c r="D27" s="6" t="n">
        <v>0</v>
      </c>
      <c r="E27">
        <f>IFERROR(HYPERLINK("#Main!A"&amp;MATCH(A27,Main!A:A,0),"Open"),HYPERLINK("#Main!A1","Open"))</f>
        <v/>
      </c>
    </row>
    <row r="28" ht="30" customHeight="1">
      <c r="A28" s="33" t="inlineStr">
        <is>
          <t>https://africanmarketingconfederation.org/elementor-31820/</t>
        </is>
      </c>
      <c r="B28" s="24" t="n"/>
      <c r="C28" s="24" t="n">
        <v>0</v>
      </c>
      <c r="D28" s="24" t="n">
        <v>0</v>
      </c>
      <c r="E28">
        <f>IFERROR(HYPERLINK("#Main!A"&amp;MATCH(A28,Main!A:A,0),"Open"),HYPERLINK("#Main!A1","Open"))</f>
        <v/>
      </c>
    </row>
    <row r="29" ht="30" customHeight="1">
      <c r="A29" s="33" t="inlineStr">
        <is>
          <t>https://africanmarketingconfederation.org/amc-conference-2024-recap/</t>
        </is>
      </c>
      <c r="B29" s="6" t="n"/>
      <c r="C29" s="6" t="n">
        <v>0</v>
      </c>
      <c r="D29" s="6" t="n">
        <v>0</v>
      </c>
      <c r="E29">
        <f>IFERROR(HYPERLINK("#Main!A"&amp;MATCH(A29,Main!A:A,0),"Open"),HYPERLINK("#Main!A1","Open"))</f>
        <v/>
      </c>
    </row>
    <row r="30" ht="30" customHeight="1">
      <c r="A30" s="33" t="inlineStr">
        <is>
          <t>https://africanmarketingconfederation.org/amc-marketing-conference-2024/amc-programme-2025/</t>
        </is>
      </c>
      <c r="B30" s="24" t="n"/>
      <c r="C30" s="24" t="n">
        <v>0</v>
      </c>
      <c r="D30" s="24" t="n">
        <v>0</v>
      </c>
      <c r="E30">
        <f>IFERROR(HYPERLINK("#Main!A"&amp;MATCH(A30,Main!A:A,0),"Open"),HYPERLINK("#Main!A1","Open"))</f>
        <v/>
      </c>
    </row>
    <row r="31" ht="30" customHeight="1">
      <c r="A31" s="33" t="inlineStr">
        <is>
          <t>https://africanmarketingconfederation.org/amc-conference-2025/</t>
        </is>
      </c>
      <c r="B31" s="6" t="n"/>
      <c r="C31" s="6" t="n">
        <v>0</v>
      </c>
      <c r="D31" s="6" t="n">
        <v>0</v>
      </c>
      <c r="E31">
        <f>IFERROR(HYPERLINK("#Main!A"&amp;MATCH(A31,Main!A:A,0),"Open"),HYPERLINK("#Main!A1","Open"))</f>
        <v/>
      </c>
    </row>
    <row r="32" ht="30" customHeight="1">
      <c r="A32" s="33" t="inlineStr">
        <is>
          <t>https://africanmarketingconfederation.org/amc-sponsors-2025/</t>
        </is>
      </c>
      <c r="B32" s="24" t="n"/>
      <c r="C32" s="24" t="n">
        <v>0</v>
      </c>
      <c r="D32" s="24" t="n">
        <v>0</v>
      </c>
      <c r="E32">
        <f>IFERROR(HYPERLINK("#Main!A"&amp;MATCH(A32,Main!A:A,0),"Open"),HYPERLINK("#Main!A1","Open"))</f>
        <v/>
      </c>
    </row>
    <row r="33" ht="30" customHeight="1">
      <c r="A33" s="33" t="inlineStr">
        <is>
          <t>https://africanmarketingconfederation.org/amc-conference-2022-prospectus/</t>
        </is>
      </c>
      <c r="B33" s="6" t="n"/>
      <c r="C33" s="6" t="n">
        <v>0</v>
      </c>
      <c r="D33" s="6" t="n">
        <v>0</v>
      </c>
      <c r="E33">
        <f>IFERROR(HYPERLINK("#Main!A"&amp;MATCH(A33,Main!A:A,0),"Open"),HYPERLINK("#Main!A1","Open"))</f>
        <v/>
      </c>
    </row>
    <row r="34" ht="30" customHeight="1">
      <c r="A34" s="33" t="inlineStr">
        <is>
          <t>https://africanmarketingconfederation.org/test-payment-gate/</t>
        </is>
      </c>
      <c r="B34" s="24" t="n"/>
      <c r="C34" s="24" t="n">
        <v>0</v>
      </c>
      <c r="D34" s="24" t="n">
        <v>0</v>
      </c>
      <c r="E34">
        <f>IFERROR(HYPERLINK("#Main!A"&amp;MATCH(A34,Main!A:A,0),"Open"),HYPERLINK("#Main!A1","Open"))</f>
        <v/>
      </c>
    </row>
    <row r="35" ht="30" customHeight="1">
      <c r="A35" s="33" t="inlineStr">
        <is>
          <t>https://africanmarketingconfederation.org/amc-marketing-conference-2024/amc-preregister-2025/</t>
        </is>
      </c>
      <c r="B35" s="6" t="n"/>
      <c r="C35" s="6" t="n">
        <v>0</v>
      </c>
      <c r="D35" s="6" t="n">
        <v>0</v>
      </c>
      <c r="E35">
        <f>IFERROR(HYPERLINK("#Main!A"&amp;MATCH(A35,Main!A:A,0),"Open"),HYPERLINK("#Main!A1","Open"))</f>
        <v/>
      </c>
    </row>
    <row r="36" ht="30" customHeight="1">
      <c r="A36" s="33" t="inlineStr">
        <is>
          <t>https://africanmarketingconfederation.org/conference-faq-2025/</t>
        </is>
      </c>
      <c r="B36" s="24" t="n"/>
      <c r="C36" s="24" t="n">
        <v>0</v>
      </c>
      <c r="D36" s="24" t="n">
        <v>0</v>
      </c>
      <c r="E36">
        <f>IFERROR(HYPERLINK("#Main!A"&amp;MATCH(A36,Main!A:A,0),"Open"),HYPERLINK("#Main!A1","Open"))</f>
        <v/>
      </c>
    </row>
    <row r="37" ht="45" customHeight="1">
      <c r="A37" s="33" t="inlineStr">
        <is>
          <t>https://africanmarketingconfederation.org/amc-marketing-conference-2024/amc-conference-2025-ghana-sponsors/</t>
        </is>
      </c>
      <c r="B37" s="6" t="n"/>
      <c r="C37" s="6" t="n">
        <v>0</v>
      </c>
      <c r="D37" s="6" t="n">
        <v>0</v>
      </c>
      <c r="E37">
        <f>IFERROR(HYPERLINK("#Main!A"&amp;MATCH(A37,Main!A:A,0),"Open"),HYPERLINK("#Main!A1","Open"))</f>
        <v/>
      </c>
    </row>
    <row r="38" ht="30" customHeight="1">
      <c r="A38" s="33" t="inlineStr">
        <is>
          <t>https://africanmarketingconfederation.org/amc-forum-payments/</t>
        </is>
      </c>
      <c r="B38" s="24" t="n"/>
      <c r="C38" s="24" t="n">
        <v>0</v>
      </c>
      <c r="D38" s="24" t="n">
        <v>0</v>
      </c>
      <c r="E38">
        <f>IFERROR(HYPERLINK("#Main!A"&amp;MATCH(A38,Main!A:A,0),"Open"),HYPERLINK("#Main!A1","Open"))</f>
        <v/>
      </c>
    </row>
    <row r="39" ht="30" customHeight="1">
      <c r="A39" s="33" t="inlineStr">
        <is>
          <t>https://africanmarketingconfederation.org/amc-marketing-conference-2024/amc-launch-event-2025/</t>
        </is>
      </c>
      <c r="B39" s="6" t="n"/>
      <c r="C39" s="6" t="n">
        <v>0</v>
      </c>
      <c r="D39" s="6" t="n">
        <v>0</v>
      </c>
      <c r="E39">
        <f>IFERROR(HYPERLINK("#Main!A"&amp;MATCH(A39,Main!A:A,0),"Open"),HYPERLINK("#Main!A1","Open"))</f>
        <v/>
      </c>
    </row>
    <row r="40" ht="30" customHeight="1">
      <c r="A40" s="33" t="inlineStr">
        <is>
          <t>https://africanmarketingconfederation.org/checkout/</t>
        </is>
      </c>
      <c r="B40" s="24" t="n"/>
      <c r="C40" s="24" t="n">
        <v>0</v>
      </c>
      <c r="D40" s="24" t="n">
        <v>0</v>
      </c>
      <c r="E40">
        <f>IFERROR(HYPERLINK("#Main!A"&amp;MATCH(A40,Main!A:A,0),"Open"),HYPERLINK("#Main!A1","Open"))</f>
        <v/>
      </c>
    </row>
    <row r="41" ht="30" customHeight="1">
      <c r="A41" s="33" t="inlineStr">
        <is>
          <t>https://africanmarketingconfederation.org/amc-awards-2024/</t>
        </is>
      </c>
      <c r="B41" s="6" t="n"/>
      <c r="C41" s="6" t="n">
        <v>0</v>
      </c>
      <c r="D41" s="6" t="n">
        <v>0</v>
      </c>
      <c r="E41">
        <f>IFERROR(HYPERLINK("#Main!A"&amp;MATCH(A41,Main!A:A,0),"Open"),HYPERLINK("#Main!A1","Open"))</f>
        <v/>
      </c>
    </row>
    <row r="42" ht="30" customHeight="1">
      <c r="A42" s="33" t="inlineStr">
        <is>
          <t>https://africanmarketingconfederation.org/amc-conference-2023/</t>
        </is>
      </c>
      <c r="B42" s="24" t="n"/>
      <c r="C42" s="24" t="n">
        <v>0</v>
      </c>
      <c r="D42" s="24" t="n">
        <v>0</v>
      </c>
      <c r="E42">
        <f>IFERROR(HYPERLINK("#Main!A"&amp;MATCH(A42,Main!A:A,0),"Open"),HYPERLINK("#Main!A1","Open"))</f>
        <v/>
      </c>
    </row>
    <row r="43" ht="30" customHeight="1">
      <c r="A43" s="33" t="inlineStr">
        <is>
          <t>https://africanmarketingconfederation.org/amc-forum-mombasa/</t>
        </is>
      </c>
      <c r="B43" s="6" t="n"/>
      <c r="C43" s="6" t="n">
        <v>0</v>
      </c>
      <c r="D43" s="6" t="n">
        <v>0</v>
      </c>
      <c r="E43">
        <f>IFERROR(HYPERLINK("#Main!A"&amp;MATCH(A43,Main!A:A,0),"Open"),HYPERLINK("#Main!A1","Open"))</f>
        <v/>
      </c>
    </row>
    <row r="44" ht="45" customHeight="1">
      <c r="A44" s="33" t="inlineStr">
        <is>
          <t>https://africanmarketingconfederation.org/amc-marketing-conference-2024/amc-speakers-presentations-2024/</t>
        </is>
      </c>
      <c r="B44" s="24" t="n"/>
      <c r="C44" s="24" t="n">
        <v>0</v>
      </c>
      <c r="D44" s="24" t="n">
        <v>0</v>
      </c>
      <c r="E44">
        <f>IFERROR(HYPERLINK("#Main!A"&amp;MATCH(A44,Main!A:A,0),"Open"),HYPERLINK("#Main!A1","Open"))</f>
        <v/>
      </c>
    </row>
    <row r="45" ht="30" customHeight="1">
      <c r="A45" s="33" t="inlineStr">
        <is>
          <t>https://africanmarketingconfederation.org/amc-marketing-conference-2024/testimony-thank-you-page/</t>
        </is>
      </c>
      <c r="B45" s="6" t="n"/>
      <c r="C45" s="6" t="n">
        <v>0</v>
      </c>
      <c r="D45" s="6" t="n">
        <v>0</v>
      </c>
      <c r="E45">
        <f>IFERROR(HYPERLINK("#Main!A"&amp;MATCH(A45,Main!A:A,0),"Open"),HYPERLINK("#Main!A1","Open"))</f>
        <v/>
      </c>
    </row>
    <row r="46" ht="30" customHeight="1">
      <c r="A46" s="33" t="inlineStr">
        <is>
          <t>https://africanmarketingconfederation.org/amc-sign-up-now-form-2025/</t>
        </is>
      </c>
      <c r="B46" s="24" t="n"/>
      <c r="C46" s="24" t="n">
        <v>0</v>
      </c>
      <c r="D46" s="24" t="n">
        <v>0</v>
      </c>
      <c r="E46">
        <f>IFERROR(HYPERLINK("#Main!A"&amp;MATCH(A46,Main!A:A,0),"Open"),HYPERLINK("#Main!A1","Open"))</f>
        <v/>
      </c>
    </row>
    <row r="47" ht="30" customHeight="1">
      <c r="A47" s="33" t="inlineStr">
        <is>
          <t>https://africanmarketingconfederation.org/amc-marketing-conference-2024/</t>
        </is>
      </c>
      <c r="B47" s="6" t="n"/>
      <c r="C47" s="6" t="n">
        <v>0</v>
      </c>
      <c r="D47" s="6" t="n">
        <v>0</v>
      </c>
      <c r="E47">
        <f>IFERROR(HYPERLINK("#Main!A"&amp;MATCH(A47,Main!A:A,0),"Open"),HYPERLINK("#Main!A1","Open"))</f>
        <v/>
      </c>
    </row>
    <row r="48" ht="30" customHeight="1">
      <c r="A48" s="33" t="inlineStr">
        <is>
          <t>https://africanmarketingconfederation.org/amc-testimony-page-2024/</t>
        </is>
      </c>
      <c r="B48" s="24" t="n"/>
      <c r="C48" s="24" t="n">
        <v>0</v>
      </c>
      <c r="D48" s="24" t="n">
        <v>0</v>
      </c>
      <c r="E48">
        <f>IFERROR(HYPERLINK("#Main!A"&amp;MATCH(A48,Main!A:A,0),"Open"),HYPERLINK("#Main!A1","Open"))</f>
        <v/>
      </c>
    </row>
    <row r="49" ht="30" customHeight="1">
      <c r="A49" s="33" t="inlineStr">
        <is>
          <t>https://africanmarketingconfederation.org/thank-you-for-registering-2024-registrations/</t>
        </is>
      </c>
      <c r="B49" s="6" t="n"/>
      <c r="C49" s="6" t="n">
        <v>0</v>
      </c>
      <c r="D49" s="6" t="n">
        <v>0</v>
      </c>
      <c r="E49">
        <f>IFERROR(HYPERLINK("#Main!A"&amp;MATCH(A49,Main!A:A,0),"Open"),HYPERLINK("#Main!A1","Open"))</f>
        <v/>
      </c>
    </row>
    <row r="50" ht="30" customHeight="1">
      <c r="A50" s="33" t="inlineStr">
        <is>
          <t>https://africanmarketingconfederation.org/download-prospectus-2024/</t>
        </is>
      </c>
      <c r="B50" s="24" t="n"/>
      <c r="C50" s="24" t="n">
        <v>0</v>
      </c>
      <c r="D50" s="24" t="n">
        <v>0</v>
      </c>
      <c r="E50">
        <f>IFERROR(HYPERLINK("#Main!A"&amp;MATCH(A50,Main!A:A,0),"Open"),HYPERLINK("#Main!A1","Open"))</f>
        <v/>
      </c>
    </row>
    <row r="51" ht="30" customHeight="1">
      <c r="A51" s="33" t="inlineStr">
        <is>
          <t>https://africanmarketingconfederation.org/thank-you-for-registering-2024-registrations-kenya/</t>
        </is>
      </c>
      <c r="B51" s="6" t="n"/>
      <c r="C51" s="6" t="n">
        <v>0</v>
      </c>
      <c r="D51" s="6" t="n">
        <v>0</v>
      </c>
      <c r="E51">
        <f>IFERROR(HYPERLINK("#Main!A"&amp;MATCH(A51,Main!A:A,0),"Open"),HYPERLINK("#Main!A1","Open"))</f>
        <v/>
      </c>
    </row>
    <row r="52" ht="30" customHeight="1">
      <c r="A52" s="33" t="inlineStr">
        <is>
          <t>https://africanmarketingconfederation.org/subscribe/</t>
        </is>
      </c>
      <c r="B52" s="24" t="n"/>
      <c r="C52" s="24" t="n">
        <v>0</v>
      </c>
      <c r="D52" s="24" t="n">
        <v>0</v>
      </c>
      <c r="E52">
        <f>IFERROR(HYPERLINK("#Main!A"&amp;MATCH(A52,Main!A:A,0),"Open"),HYPERLINK("#Main!A1","Open"))</f>
        <v/>
      </c>
    </row>
    <row r="53" ht="30" customHeight="1">
      <c r="A53" s="33" t="inlineStr">
        <is>
          <t>https://africanmarketingconfederation.org/amc-marketing-conference-2024/speakers-2024/</t>
        </is>
      </c>
      <c r="B53" s="6" t="n"/>
      <c r="C53" s="6" t="n">
        <v>0</v>
      </c>
      <c r="D53" s="6" t="n">
        <v>0</v>
      </c>
      <c r="E53">
        <f>IFERROR(HYPERLINK("#Main!A"&amp;MATCH(A53,Main!A:A,0),"Open"),HYPERLINK("#Main!A1","Open"))</f>
        <v/>
      </c>
    </row>
    <row r="54" ht="30" customHeight="1">
      <c r="A54" s="33" t="inlineStr">
        <is>
          <t>https://africanmarketingconfederation.org/amc-conference-sponsors/</t>
        </is>
      </c>
      <c r="B54" s="24" t="n"/>
      <c r="C54" s="24" t="n">
        <v>0</v>
      </c>
      <c r="D54" s="24" t="n">
        <v>0</v>
      </c>
      <c r="E54">
        <f>IFERROR(HYPERLINK("#Main!A"&amp;MATCH(A54,Main!A:A,0),"Open"),HYPERLINK("#Main!A1","Open"))</f>
        <v/>
      </c>
    </row>
    <row r="55" ht="30" customHeight="1">
      <c r="A55" s="33" t="inlineStr">
        <is>
          <t>https://africanmarketingconfederation.org/elementor-20341/</t>
        </is>
      </c>
      <c r="B55" s="6" t="n"/>
      <c r="C55" s="6" t="n">
        <v>0</v>
      </c>
      <c r="D55" s="6" t="n">
        <v>0</v>
      </c>
      <c r="E55">
        <f>IFERROR(HYPERLINK("#Main!A"&amp;MATCH(A55,Main!A:A,0),"Open"),HYPERLINK("#Main!A1","Open"))</f>
        <v/>
      </c>
    </row>
    <row r="56" ht="30" customHeight="1">
      <c r="A56" s="33" t="inlineStr">
        <is>
          <t>https://africanmarketingconfederation.org/chartered-marketer-africa-final-submission-fee/</t>
        </is>
      </c>
      <c r="B56" s="24" t="n"/>
      <c r="C56" s="24" t="n">
        <v>0</v>
      </c>
      <c r="D56" s="24" t="n">
        <v>0</v>
      </c>
      <c r="E56">
        <f>IFERROR(HYPERLINK("#Main!A"&amp;MATCH(A56,Main!A:A,0),"Open"),HYPERLINK("#Main!A1","Open"))</f>
        <v/>
      </c>
    </row>
    <row r="57" ht="30" customHeight="1">
      <c r="A57" s="33" t="inlineStr">
        <is>
          <t>https://africanmarketingconfederation.org/chartered-marketer-africa-programme-fee/</t>
        </is>
      </c>
      <c r="B57" s="6" t="n"/>
      <c r="C57" s="6" t="n">
        <v>0</v>
      </c>
      <c r="D57" s="6" t="n">
        <v>0</v>
      </c>
      <c r="E57">
        <f>IFERROR(HYPERLINK("#Main!A"&amp;MATCH(A57,Main!A:A,0),"Open"),HYPERLINK("#Main!A1","Open"))</f>
        <v/>
      </c>
    </row>
    <row r="58" ht="30" customHeight="1">
      <c r="A58" s="33" t="inlineStr">
        <is>
          <t>https://africanmarketingconfederation.org/download-brochure/</t>
        </is>
      </c>
      <c r="B58" s="24" t="n"/>
      <c r="C58" s="24" t="n">
        <v>0</v>
      </c>
      <c r="D58" s="24" t="n">
        <v>0</v>
      </c>
      <c r="E58">
        <f>IFERROR(HYPERLINK("#Main!A"&amp;MATCH(A58,Main!A:A,0),"Open"),HYPERLINK("#Main!A1","Open"))</f>
        <v/>
      </c>
    </row>
    <row r="59" ht="30" customHeight="1">
      <c r="A59" s="33" t="inlineStr">
        <is>
          <t>https://africanmarketingconfederation.org/thank-you-for-the-nomination-2024/</t>
        </is>
      </c>
      <c r="B59" s="6" t="n"/>
      <c r="C59" s="6" t="n">
        <v>0</v>
      </c>
      <c r="D59" s="6" t="n">
        <v>0</v>
      </c>
      <c r="E59">
        <f>IFERROR(HYPERLINK("#Main!A"&amp;MATCH(A59,Main!A:A,0),"Open"),HYPERLINK("#Main!A1","Open"))</f>
        <v/>
      </c>
    </row>
    <row r="60" ht="30" customHeight="1">
      <c r="A60" s="33" t="inlineStr">
        <is>
          <t>https://africanmarketingconfederation.org/thank-you-for-the-submission-2024/</t>
        </is>
      </c>
      <c r="B60" s="24" t="n"/>
      <c r="C60" s="24" t="n">
        <v>0</v>
      </c>
      <c r="D60" s="24" t="n">
        <v>0</v>
      </c>
      <c r="E60">
        <f>IFERROR(HYPERLINK("#Main!A"&amp;MATCH(A60,Main!A:A,0),"Open"),HYPERLINK("#Main!A1","Open"))</f>
        <v/>
      </c>
    </row>
    <row r="61" ht="30" customHeight="1">
      <c r="A61" s="33" t="inlineStr">
        <is>
          <t>https://africanmarketingconfederation.org/amc-conference-2024-sponsors-packages/</t>
        </is>
      </c>
      <c r="B61" s="6" t="n"/>
      <c r="C61" s="6" t="n">
        <v>0</v>
      </c>
      <c r="D61" s="6" t="n">
        <v>0</v>
      </c>
      <c r="E61">
        <f>IFERROR(HYPERLINK("#Main!A"&amp;MATCH(A61,Main!A:A,0),"Open"),HYPERLINK("#Main!A1","Open"))</f>
        <v/>
      </c>
    </row>
    <row r="62" ht="30" customHeight="1">
      <c r="A62" s="33" t="inlineStr">
        <is>
          <t>https://africanmarketingconfederation.org/elementor-16548/</t>
        </is>
      </c>
      <c r="B62" s="24" t="n"/>
      <c r="C62" s="24" t="n">
        <v>0</v>
      </c>
      <c r="D62" s="24" t="n">
        <v>0</v>
      </c>
      <c r="E62">
        <f>IFERROR(HYPERLINK("#Main!A"&amp;MATCH(A62,Main!A:A,0),"Open"),HYPERLINK("#Main!A1","Open"))</f>
        <v/>
      </c>
    </row>
    <row r="63" ht="30" customHeight="1">
      <c r="A63" s="33" t="inlineStr">
        <is>
          <t>https://africanmarketingconfederation.org/amc-marketing-conference-2024/programme-2024/</t>
        </is>
      </c>
      <c r="B63" s="6" t="n"/>
      <c r="C63" s="6" t="n">
        <v>0</v>
      </c>
      <c r="D63" s="6" t="n">
        <v>0</v>
      </c>
      <c r="E63">
        <f>IFERROR(HYPERLINK("#Main!A"&amp;MATCH(A63,Main!A:A,0),"Open"),HYPERLINK("#Main!A1","Open"))</f>
        <v/>
      </c>
    </row>
    <row r="64" ht="30" customHeight="1">
      <c r="A64" s="33" t="inlineStr">
        <is>
          <t>https://africanmarketingconfederation.org/amc-conference-2023/programme/</t>
        </is>
      </c>
      <c r="B64" s="24" t="n"/>
      <c r="C64" s="24" t="n">
        <v>0</v>
      </c>
      <c r="D64" s="24" t="n">
        <v>0</v>
      </c>
      <c r="E64">
        <f>IFERROR(HYPERLINK("#Main!A"&amp;MATCH(A64,Main!A:A,0),"Open"),HYPERLINK("#Main!A1","Open"))</f>
        <v/>
      </c>
    </row>
    <row r="65" ht="30" customHeight="1">
      <c r="A65" s="33" t="inlineStr">
        <is>
          <t>https://africanmarketingconfederation.org/amc-conference-2023/amc-awards/</t>
        </is>
      </c>
      <c r="B65" s="6" t="n"/>
      <c r="C65" s="6" t="n">
        <v>0</v>
      </c>
      <c r="D65" s="6" t="n">
        <v>0</v>
      </c>
      <c r="E65">
        <f>IFERROR(HYPERLINK("#Main!A"&amp;MATCH(A65,Main!A:A,0),"Open"),HYPERLINK("#Main!A1","Open"))</f>
        <v/>
      </c>
    </row>
    <row r="66" ht="30" customHeight="1">
      <c r="A66" s="33" t="inlineStr">
        <is>
          <t>https://africanmarketingconfederation.org/amc-conference-2023/partners/</t>
        </is>
      </c>
      <c r="B66" s="24" t="n"/>
      <c r="C66" s="24" t="n">
        <v>0</v>
      </c>
      <c r="D66" s="24" t="n">
        <v>0</v>
      </c>
      <c r="E66">
        <f>IFERROR(HYPERLINK("#Main!A"&amp;MATCH(A66,Main!A:A,0),"Open"),HYPERLINK("#Main!A1","Open"))</f>
        <v/>
      </c>
    </row>
    <row r="67" ht="30" customHeight="1">
      <c r="A67" s="33" t="inlineStr">
        <is>
          <t>https://africanmarketingconfederation.org/amc-conference-2023/speakers/</t>
        </is>
      </c>
      <c r="B67" s="6" t="n"/>
      <c r="C67" s="6" t="n">
        <v>0</v>
      </c>
      <c r="D67" s="6" t="n">
        <v>0</v>
      </c>
      <c r="E67">
        <f>IFERROR(HYPERLINK("#Main!A"&amp;MATCH(A67,Main!A:A,0),"Open"),HYPERLINK("#Main!A1","Open"))</f>
        <v/>
      </c>
    </row>
    <row r="68" ht="30" customHeight="1">
      <c r="A68" s="33" t="inlineStr">
        <is>
          <t>https://africanmarketingconfederation.org/chartered-marketer-africa-thank-you/</t>
        </is>
      </c>
      <c r="B68" s="24" t="n"/>
      <c r="C68" s="24" t="n">
        <v>0</v>
      </c>
      <c r="D68" s="24" t="n">
        <v>0</v>
      </c>
      <c r="E68">
        <f>IFERROR(HYPERLINK("#Main!A"&amp;MATCH(A68,Main!A:A,0),"Open"),HYPERLINK("#Main!A1","Open"))</f>
        <v/>
      </c>
    </row>
    <row r="69" ht="30" customHeight="1">
      <c r="A69" s="33" t="inlineStr">
        <is>
          <t>https://africanmarketingconfederation.org/amc-conference-2023/amc-awards-book-now/</t>
        </is>
      </c>
      <c r="B69" s="6" t="n"/>
      <c r="C69" s="6" t="n">
        <v>0</v>
      </c>
      <c r="D69" s="6" t="n">
        <v>0</v>
      </c>
      <c r="E69">
        <f>IFERROR(HYPERLINK("#Main!A"&amp;MATCH(A69,Main!A:A,0),"Open"),HYPERLINK("#Main!A1","Open"))</f>
        <v/>
      </c>
    </row>
    <row r="70" ht="30" customHeight="1">
      <c r="A70" s="33" t="inlineStr">
        <is>
          <t>https://africanmarketingconfederation.org/amc-conference-2023/book-now/</t>
        </is>
      </c>
      <c r="B70" s="24" t="n"/>
      <c r="C70" s="24" t="n">
        <v>0</v>
      </c>
      <c r="D70" s="24" t="n">
        <v>0</v>
      </c>
      <c r="E70">
        <f>IFERROR(HYPERLINK("#Main!A"&amp;MATCH(A70,Main!A:A,0),"Open"),HYPERLINK("#Main!A1","Open"))</f>
        <v/>
      </c>
    </row>
    <row r="71" ht="30" customHeight="1">
      <c r="A71" s="33" t="inlineStr">
        <is>
          <t>https://africanmarketingconfederation.org/amc-conference-2023/download-prospectus/</t>
        </is>
      </c>
      <c r="B71" s="6" t="n"/>
      <c r="C71" s="6" t="n">
        <v>0</v>
      </c>
      <c r="D71" s="6" t="n">
        <v>0</v>
      </c>
      <c r="E71">
        <f>IFERROR(HYPERLINK("#Main!A"&amp;MATCH(A71,Main!A:A,0),"Open"),HYPERLINK("#Main!A1","Open"))</f>
        <v/>
      </c>
    </row>
    <row r="72" ht="30" customHeight="1">
      <c r="A72" s="33" t="inlineStr">
        <is>
          <t>https://africanmarketingconfederation.org/thank-you-for-subscribing/</t>
        </is>
      </c>
      <c r="B72" s="24" t="n"/>
      <c r="C72" s="24" t="n">
        <v>0</v>
      </c>
      <c r="D72" s="24" t="n">
        <v>0</v>
      </c>
      <c r="E72">
        <f>IFERROR(HYPERLINK("#Main!A"&amp;MATCH(A72,Main!A:A,0),"Open"),HYPERLINK("#Main!A1","Open"))</f>
        <v/>
      </c>
    </row>
    <row r="73" ht="30" customHeight="1">
      <c r="A73" s="33" t="inlineStr">
        <is>
          <t>https://africanmarketingconfederation.org/amc-conference-2023/book-now-thank-you/</t>
        </is>
      </c>
      <c r="B73" s="6" t="n"/>
      <c r="C73" s="6" t="n">
        <v>0</v>
      </c>
      <c r="D73" s="6" t="n">
        <v>0</v>
      </c>
      <c r="E73">
        <f>IFERROR(HYPERLINK("#Main!A"&amp;MATCH(A73,Main!A:A,0),"Open"),HYPERLINK("#Main!A1","Open"))</f>
        <v/>
      </c>
    </row>
    <row r="74" ht="30" customHeight="1">
      <c r="A74" s="33" t="inlineStr">
        <is>
          <t>https://africanmarketingconfederation.org/upcoming-events/</t>
        </is>
      </c>
      <c r="B74" s="24" t="n"/>
      <c r="C74" s="24" t="n">
        <v>0</v>
      </c>
      <c r="D74" s="24" t="n">
        <v>0</v>
      </c>
      <c r="E74">
        <f>IFERROR(HYPERLINK("#Main!A"&amp;MATCH(A74,Main!A:A,0),"Open"),HYPERLINK("#Main!A1","Open"))</f>
        <v/>
      </c>
    </row>
    <row r="75" ht="30" customHeight="1">
      <c r="A75" s="33" t="inlineStr">
        <is>
          <t>https://africanmarketingconfederation.org/amc-conference-thank-you/</t>
        </is>
      </c>
      <c r="B75" s="6" t="n"/>
      <c r="C75" s="6" t="n">
        <v>0</v>
      </c>
      <c r="D75" s="6" t="n">
        <v>0</v>
      </c>
      <c r="E75">
        <f>IFERROR(HYPERLINK("#Main!A"&amp;MATCH(A75,Main!A:A,0),"Open"),HYPERLINK("#Main!A1","Open"))</f>
        <v/>
      </c>
    </row>
    <row r="76" ht="30" customHeight="1">
      <c r="A76" s="33" t="inlineStr">
        <is>
          <t>https://africanmarketingconfederation.org/amc-masterclass/</t>
        </is>
      </c>
      <c r="B76" s="24" t="n"/>
      <c r="C76" s="24" t="n">
        <v>0</v>
      </c>
      <c r="D76" s="24" t="n">
        <v>0</v>
      </c>
      <c r="E76">
        <f>IFERROR(HYPERLINK("#Main!A"&amp;MATCH(A76,Main!A:A,0),"Open"),HYPERLINK("#Main!A1","Open"))</f>
        <v/>
      </c>
    </row>
    <row r="77" ht="30" customHeight="1">
      <c r="A77" s="33" t="inlineStr">
        <is>
          <t>https://africanmarketingconfederation.org/amc-relaunch-programme/</t>
        </is>
      </c>
      <c r="B77" s="6" t="n"/>
      <c r="C77" s="6" t="n">
        <v>0</v>
      </c>
      <c r="D77" s="6" t="n">
        <v>0</v>
      </c>
      <c r="E77">
        <f>IFERROR(HYPERLINK("#Main!A"&amp;MATCH(A77,Main!A:A,0),"Open"),HYPERLINK("#Main!A1","Open"))</f>
        <v/>
      </c>
    </row>
    <row r="78" ht="30" customHeight="1">
      <c r="A78" s="33" t="inlineStr">
        <is>
          <t>https://africanmarketingconfederation.org/amc-masterclass-thank-you/</t>
        </is>
      </c>
      <c r="B78" s="24" t="n"/>
      <c r="C78" s="24" t="n">
        <v>0</v>
      </c>
      <c r="D78" s="24" t="n">
        <v>0</v>
      </c>
      <c r="E78">
        <f>IFERROR(HYPERLINK("#Main!A"&amp;MATCH(A78,Main!A:A,0),"Open"),HYPERLINK("#Main!A1","Open"))</f>
        <v/>
      </c>
    </row>
    <row r="79" ht="30" customHeight="1">
      <c r="A79" s="33" t="inlineStr">
        <is>
          <t>https://africanmarketingconfederation.org/amc-masterclass-bookings/</t>
        </is>
      </c>
      <c r="B79" s="6" t="n"/>
      <c r="C79" s="6" t="n">
        <v>0</v>
      </c>
      <c r="D79" s="6" t="n">
        <v>0</v>
      </c>
      <c r="E79">
        <f>IFERROR(HYPERLINK("#Main!A"&amp;MATCH(A79,Main!A:A,0),"Open"),HYPERLINK("#Main!A1","Open"))</f>
        <v/>
      </c>
    </row>
    <row r="80" ht="30" customHeight="1">
      <c r="A80" s="33" t="inlineStr">
        <is>
          <t>https://africanmarketingconfederation.org/amc-conference-programme/</t>
        </is>
      </c>
      <c r="B80" s="24" t="n"/>
      <c r="C80" s="24" t="n">
        <v>0</v>
      </c>
      <c r="D80" s="24" t="n">
        <v>0</v>
      </c>
      <c r="E80">
        <f>IFERROR(HYPERLINK("#Main!A"&amp;MATCH(A80,Main!A:A,0),"Open"),HYPERLINK("#Main!A1","Open"))</f>
        <v/>
      </c>
    </row>
    <row r="81" ht="30" customHeight="1">
      <c r="A81" s="33" t="inlineStr">
        <is>
          <t>https://africanmarketingconfederation.org/test-homeslider/</t>
        </is>
      </c>
      <c r="B81" s="6" t="n"/>
      <c r="C81" s="6" t="n">
        <v>0</v>
      </c>
      <c r="D81" s="6" t="n">
        <v>0</v>
      </c>
      <c r="E81">
        <f>IFERROR(HYPERLINK("#Main!A"&amp;MATCH(A81,Main!A:A,0),"Open"),HYPERLINK("#Main!A1","Open"))</f>
        <v/>
      </c>
    </row>
    <row r="82" ht="30" customHeight="1">
      <c r="A82" s="33" t="inlineStr">
        <is>
          <t>https://africanmarketingconfederation.org/virtual-programme/</t>
        </is>
      </c>
      <c r="B82" s="24" t="n"/>
      <c r="C82" s="24" t="n">
        <v>0</v>
      </c>
      <c r="D82" s="24" t="n">
        <v>0</v>
      </c>
      <c r="E82">
        <f>IFERROR(HYPERLINK("#Main!A"&amp;MATCH(A82,Main!A:A,0),"Open"),HYPERLINK("#Main!A1","Open"))</f>
        <v/>
      </c>
    </row>
    <row r="83" ht="30" customHeight="1">
      <c r="A83" s="33" t="inlineStr">
        <is>
          <t>https://africanmarketingconfederation.org/general-enquiry-form-thank-you/</t>
        </is>
      </c>
      <c r="B83" s="6" t="n"/>
      <c r="C83" s="6" t="n">
        <v>0</v>
      </c>
      <c r="D83" s="6" t="n">
        <v>0</v>
      </c>
      <c r="E83">
        <f>IFERROR(HYPERLINK("#Main!A"&amp;MATCH(A83,Main!A:A,0),"Open"),HYPERLINK("#Main!A1","Open"))</f>
        <v/>
      </c>
    </row>
    <row r="84" ht="30" customHeight="1">
      <c r="A84" s="33" t="inlineStr">
        <is>
          <t>https://africanmarketingconfederation.org/amc-conference-2022-thank-you/</t>
        </is>
      </c>
      <c r="B84" s="24" t="n"/>
      <c r="C84" s="24" t="n">
        <v>0</v>
      </c>
      <c r="D84" s="24" t="n">
        <v>0</v>
      </c>
      <c r="E84">
        <f>IFERROR(HYPERLINK("#Main!A"&amp;MATCH(A84,Main!A:A,0),"Open"),HYPERLINK("#Main!A1","Open"))</f>
        <v/>
      </c>
    </row>
    <row r="85" ht="30" customHeight="1">
      <c r="A85" s="33" t="inlineStr">
        <is>
          <t>https://africanmarketingconfederation.org/privacy-policy/</t>
        </is>
      </c>
      <c r="B85" s="6" t="n"/>
      <c r="C85" s="6" t="n">
        <v>0</v>
      </c>
      <c r="D85" s="6" t="n">
        <v>0</v>
      </c>
      <c r="E85">
        <f>IFERROR(HYPERLINK("#Main!A"&amp;MATCH(A85,Main!A:A,0),"Open"),HYPERLINK("#Main!A1","Open"))</f>
        <v/>
      </c>
    </row>
    <row r="86" ht="30" customHeight="1">
      <c r="A86" s="33" t="inlineStr">
        <is>
          <t>https://africanmarketingconfederation.org/speakers/</t>
        </is>
      </c>
      <c r="B86" s="24" t="n"/>
      <c r="C86" s="24" t="n">
        <v>0</v>
      </c>
      <c r="D86" s="24" t="n">
        <v>0</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6" customWidth="1" min="3" max="3"/>
    <col width="10" customWidth="1" min="4" max="4"/>
    <col width="21" customWidth="1" min="5" max="5"/>
    <col width="19" customWidth="1" min="6" max="6"/>
  </cols>
  <sheetData>
    <row r="1">
      <c r="A1" s="3" t="inlineStr">
        <is>
          <t>URL</t>
        </is>
      </c>
      <c r="B1" s="3" t="inlineStr">
        <is>
          <t>OG Title</t>
        </is>
      </c>
      <c r="C1" s="3" t="inlineStr">
        <is>
          <t>OG Description</t>
        </is>
      </c>
      <c r="D1" s="3" t="inlineStr">
        <is>
          <t>OG Image</t>
        </is>
      </c>
      <c r="E1" s="3" t="inlineStr">
        <is>
          <t>Open Graph Complete</t>
        </is>
      </c>
      <c r="F1" s="3" t="inlineStr">
        <is>
          <t>Twitter Card Type</t>
        </is>
      </c>
      <c r="G1" t="inlineStr">
        <is>
          <t>Open in Main</t>
        </is>
      </c>
      <c r="H1" s="23" t="inlineStr">
        <is>
          <t>BACK TO DASHBOARD</t>
        </is>
      </c>
    </row>
    <row r="2">
      <c r="A2" s="33" t="inlineStr">
        <is>
          <t>https://africanmarketingconfederation.org/</t>
        </is>
      </c>
      <c r="B2" s="24" t="n"/>
      <c r="C2" s="24" t="n"/>
      <c r="D2" s="24" t="n"/>
      <c r="E2" s="25" t="b">
        <v>0</v>
      </c>
      <c r="F2" s="24" t="n"/>
      <c r="G2">
        <f>IFERROR(HYPERLINK("#Main!A"&amp;MATCH(A2,Main!A:A,0),"Open"),HYPERLINK("#Main!A1","Open"))</f>
        <v/>
      </c>
    </row>
    <row r="3" ht="30" customHeight="1">
      <c r="A3" s="33" t="inlineStr">
        <is>
          <t>https://africanmarketingconfederation.org/publication-download-list/</t>
        </is>
      </c>
      <c r="B3" s="6" t="n"/>
      <c r="C3" s="6" t="n"/>
      <c r="D3" s="6" t="n"/>
      <c r="E3" s="25" t="b">
        <v>0</v>
      </c>
      <c r="F3" s="6" t="n"/>
      <c r="G3">
        <f>IFERROR(HYPERLINK("#Main!A"&amp;MATCH(A3,Main!A:A,0),"Open"),HYPERLINK("#Main!A1","Open"))</f>
        <v/>
      </c>
    </row>
    <row r="4" ht="30" customHeight="1">
      <c r="A4" s="33" t="inlineStr">
        <is>
          <t>https://africanmarketingconfederation.org/launch-event-2026-amc-conference/</t>
        </is>
      </c>
      <c r="B4" s="24" t="n"/>
      <c r="C4" s="24" t="n"/>
      <c r="D4" s="24" t="n"/>
      <c r="E4" s="25" t="b">
        <v>0</v>
      </c>
      <c r="F4" s="24" t="n"/>
      <c r="G4">
        <f>IFERROR(HYPERLINK("#Main!A"&amp;MATCH(A4,Main!A:A,0),"Open"),HYPERLINK("#Main!A1","Open"))</f>
        <v/>
      </c>
    </row>
    <row r="5" ht="30" customHeight="1">
      <c r="A5" s="33" t="inlineStr">
        <is>
          <t>https://africanmarketingconfederation.org/publications-2/</t>
        </is>
      </c>
      <c r="B5" s="6" t="n"/>
      <c r="C5" s="6" t="n"/>
      <c r="D5" s="6" t="n"/>
      <c r="E5" s="25" t="b">
        <v>0</v>
      </c>
      <c r="F5" s="6" t="n"/>
      <c r="G5">
        <f>IFERROR(HYPERLINK("#Main!A"&amp;MATCH(A5,Main!A:A,0),"Open"),HYPERLINK("#Main!A1","Open"))</f>
        <v/>
      </c>
    </row>
    <row r="6" ht="30" customHeight="1">
      <c r="A6" s="33" t="inlineStr">
        <is>
          <t>https://africanmarketingconfederation.org/certified-professional-marketer-africa/</t>
        </is>
      </c>
      <c r="B6" s="24" t="n"/>
      <c r="C6" s="24" t="n"/>
      <c r="D6" s="24" t="n"/>
      <c r="E6" s="25" t="b">
        <v>0</v>
      </c>
      <c r="F6" s="24" t="n"/>
      <c r="G6">
        <f>IFERROR(HYPERLINK("#Main!A"&amp;MATCH(A6,Main!A:A,0),"Open"),HYPERLINK("#Main!A1","Open"))</f>
        <v/>
      </c>
    </row>
    <row r="7" ht="30" customHeight="1">
      <c r="A7" s="33" t="inlineStr">
        <is>
          <t>https://africanmarketingconfederation.org/chartered-marketer-africa/</t>
        </is>
      </c>
      <c r="B7" s="6" t="n"/>
      <c r="C7" s="6" t="n"/>
      <c r="D7" s="6" t="n"/>
      <c r="E7" s="25" t="b">
        <v>0</v>
      </c>
      <c r="F7" s="6" t="n"/>
      <c r="G7">
        <f>IFERROR(HYPERLINK("#Main!A"&amp;MATCH(A7,Main!A:A,0),"Open"),HYPERLINK("#Main!A1","Open"))</f>
        <v/>
      </c>
    </row>
    <row r="8" ht="30" customHeight="1">
      <c r="A8" s="33" t="inlineStr">
        <is>
          <t>https://africanmarketingconfederation.org/amc-conference-2026/</t>
        </is>
      </c>
      <c r="B8" s="24" t="n"/>
      <c r="C8" s="24" t="n"/>
      <c r="D8" s="24" t="n"/>
      <c r="E8" s="25" t="b">
        <v>0</v>
      </c>
      <c r="F8" s="24" t="n"/>
      <c r="G8">
        <f>IFERROR(HYPERLINK("#Main!A"&amp;MATCH(A8,Main!A:A,0),"Open"),HYPERLINK("#Main!A1","Open"))</f>
        <v/>
      </c>
    </row>
    <row r="9" ht="30" customHeight="1">
      <c r="A9" s="33" t="inlineStr">
        <is>
          <t>https://africanmarketingconfederation.org/education/</t>
        </is>
      </c>
      <c r="B9" s="6" t="n"/>
      <c r="C9" s="6" t="n"/>
      <c r="D9" s="6" t="n"/>
      <c r="E9" s="25" t="b">
        <v>0</v>
      </c>
      <c r="F9" s="6" t="n"/>
      <c r="G9">
        <f>IFERROR(HYPERLINK("#Main!A"&amp;MATCH(A9,Main!A:A,0),"Open"),HYPERLINK("#Main!A1","Open"))</f>
        <v/>
      </c>
    </row>
    <row r="10" ht="30" customHeight="1">
      <c r="A10" s="33" t="inlineStr">
        <is>
          <t>https://africanmarketingconfederation.org/awards-2026/</t>
        </is>
      </c>
      <c r="B10" s="24" t="n"/>
      <c r="C10" s="24" t="n"/>
      <c r="D10" s="24" t="n"/>
      <c r="E10" s="25" t="b">
        <v>0</v>
      </c>
      <c r="F10" s="24" t="n"/>
      <c r="G10">
        <f>IFERROR(HYPERLINK("#Main!A"&amp;MATCH(A10,Main!A:A,0),"Open"),HYPERLINK("#Main!A1","Open"))</f>
        <v/>
      </c>
    </row>
    <row r="11" ht="30" customHeight="1">
      <c r="A11" s="33" t="inlineStr">
        <is>
          <t>https://africanmarketingconfederation.org/contact-us/</t>
        </is>
      </c>
      <c r="B11" s="6" t="n"/>
      <c r="C11" s="6" t="n"/>
      <c r="D11" s="6" t="n"/>
      <c r="E11" s="25" t="b">
        <v>0</v>
      </c>
      <c r="F11" s="6" t="n"/>
      <c r="G11">
        <f>IFERROR(HYPERLINK("#Main!A"&amp;MATCH(A11,Main!A:A,0),"Open"),HYPERLINK("#Main!A1","Open"))</f>
        <v/>
      </c>
    </row>
    <row r="12" ht="30" customHeight="1">
      <c r="A12" s="33" t="inlineStr">
        <is>
          <t>https://africanmarketingconfederation.org/news-articles/</t>
        </is>
      </c>
      <c r="B12" s="24" t="n"/>
      <c r="C12" s="24" t="n"/>
      <c r="D12" s="24" t="n"/>
      <c r="E12" s="25" t="b">
        <v>0</v>
      </c>
      <c r="F12" s="24" t="n"/>
      <c r="G12">
        <f>IFERROR(HYPERLINK("#Main!A"&amp;MATCH(A12,Main!A:A,0),"Open"),HYPERLINK("#Main!A1","Open"))</f>
        <v/>
      </c>
    </row>
    <row r="13" ht="30" customHeight="1">
      <c r="A13" s="33" t="inlineStr">
        <is>
          <t>https://africanmarketingconfederation.org/african-marketing-confederation-tourism-chapter/</t>
        </is>
      </c>
      <c r="B13" s="6" t="n"/>
      <c r="C13" s="6" t="n"/>
      <c r="D13" s="6" t="n"/>
      <c r="E13" s="25" t="b">
        <v>0</v>
      </c>
      <c r="F13" s="6" t="n"/>
      <c r="G13">
        <f>IFERROR(HYPERLINK("#Main!A"&amp;MATCH(A13,Main!A:A,0),"Open"),HYPERLINK("#Main!A1","Open"))</f>
        <v/>
      </c>
    </row>
    <row r="14" ht="30" customHeight="1">
      <c r="A14" s="33" t="inlineStr">
        <is>
          <t>https://africanmarketingconfederation.org/sub-committees/</t>
        </is>
      </c>
      <c r="B14" s="24" t="n"/>
      <c r="C14" s="24" t="n"/>
      <c r="D14" s="24" t="n"/>
      <c r="E14" s="25" t="b">
        <v>0</v>
      </c>
      <c r="F14" s="24" t="n"/>
      <c r="G14">
        <f>IFERROR(HYPERLINK("#Main!A"&amp;MATCH(A14,Main!A:A,0),"Open"),HYPERLINK("#Main!A1","Open"))</f>
        <v/>
      </c>
    </row>
    <row r="15" ht="30" customHeight="1">
      <c r="A15" s="33" t="inlineStr">
        <is>
          <t>https://africanmarketingconfederation.org/members/</t>
        </is>
      </c>
      <c r="B15" s="6" t="n"/>
      <c r="C15" s="6" t="n"/>
      <c r="D15" s="6" t="n"/>
      <c r="E15" s="25" t="b">
        <v>0</v>
      </c>
      <c r="F15" s="6" t="n"/>
      <c r="G15">
        <f>IFERROR(HYPERLINK("#Main!A"&amp;MATCH(A15,Main!A:A,0),"Open"),HYPERLINK("#Main!A1","Open"))</f>
        <v/>
      </c>
    </row>
    <row r="16" ht="30" customHeight="1">
      <c r="A16" s="33" t="inlineStr">
        <is>
          <t>https://africanmarketingconfederation.org/about-us/</t>
        </is>
      </c>
      <c r="B16" s="24" t="n"/>
      <c r="C16" s="24" t="n"/>
      <c r="D16" s="24" t="n"/>
      <c r="E16" s="25" t="b">
        <v>0</v>
      </c>
      <c r="F16" s="24" t="n"/>
      <c r="G16">
        <f>IFERROR(HYPERLINK("#Main!A"&amp;MATCH(A16,Main!A:A,0),"Open"),HYPERLINK("#Main!A1","Open"))</f>
        <v/>
      </c>
    </row>
    <row r="17" ht="30" customHeight="1">
      <c r="A17" s="33" t="inlineStr">
        <is>
          <t>https://africanmarketingconfederation.org/awards-2026-1/</t>
        </is>
      </c>
      <c r="B17" s="6" t="n"/>
      <c r="C17" s="6" t="n"/>
      <c r="D17" s="6" t="n"/>
      <c r="E17" s="25" t="b">
        <v>0</v>
      </c>
      <c r="F17" s="6" t="n"/>
      <c r="G17">
        <f>IFERROR(HYPERLINK("#Main!A"&amp;MATCH(A17,Main!A:A,0),"Open"),HYPERLINK("#Main!A1","Open"))</f>
        <v/>
      </c>
    </row>
    <row r="18" ht="30" customHeight="1">
      <c r="A18" s="33" t="inlineStr">
        <is>
          <t>https://africanmarketingconfederation.org/awards-2026-test/</t>
        </is>
      </c>
      <c r="B18" s="24" t="n"/>
      <c r="C18" s="24" t="n"/>
      <c r="D18" s="24" t="n"/>
      <c r="E18" s="25" t="b">
        <v>0</v>
      </c>
      <c r="F18" s="24" t="n"/>
      <c r="G18">
        <f>IFERROR(HYPERLINK("#Main!A"&amp;MATCH(A18,Main!A:A,0),"Open"),HYPERLINK("#Main!A1","Open"))</f>
        <v/>
      </c>
    </row>
    <row r="19" ht="30" customHeight="1">
      <c r="A19" s="33" t="inlineStr">
        <is>
          <t>https://africanmarketingconfederation.org/amc-conference-2026-awards-nominations-thank-you/</t>
        </is>
      </c>
      <c r="B19" s="6" t="n"/>
      <c r="C19" s="6" t="n"/>
      <c r="D19" s="6" t="n"/>
      <c r="E19" s="25" t="b">
        <v>0</v>
      </c>
      <c r="F19" s="6" t="n"/>
      <c r="G19">
        <f>IFERROR(HYPERLINK("#Main!A"&amp;MATCH(A19,Main!A:A,0),"Open"),HYPERLINK("#Main!A1","Open"))</f>
        <v/>
      </c>
    </row>
    <row r="20" ht="30" customHeight="1">
      <c r="A20" s="33" t="inlineStr">
        <is>
          <t>https://africanmarketingconfederation.org/speakers-2025/</t>
        </is>
      </c>
      <c r="B20" s="24" t="n"/>
      <c r="C20" s="24" t="n"/>
      <c r="D20" s="24" t="n"/>
      <c r="E20" s="25" t="b">
        <v>0</v>
      </c>
      <c r="F20" s="24" t="n"/>
      <c r="G20">
        <f>IFERROR(HYPERLINK("#Main!A"&amp;MATCH(A20,Main!A:A,0),"Open"),HYPERLINK("#Main!A1","Open"))</f>
        <v/>
      </c>
    </row>
    <row r="21" ht="30" customHeight="1">
      <c r="A21" s="33" t="inlineStr">
        <is>
          <t>https://africanmarketingconfederation.org/amc-conference-2026-zambia-thank-you/</t>
        </is>
      </c>
      <c r="B21" s="6" t="n"/>
      <c r="C21" s="6" t="n"/>
      <c r="D21" s="6" t="n"/>
      <c r="E21" s="25" t="b">
        <v>0</v>
      </c>
      <c r="F21" s="6" t="n"/>
      <c r="G21">
        <f>IFERROR(HYPERLINK("#Main!A"&amp;MATCH(A21,Main!A:A,0),"Open"),HYPERLINK("#Main!A1","Open"))</f>
        <v/>
      </c>
    </row>
    <row r="22" ht="30" customHeight="1">
      <c r="A22" s="33" t="inlineStr">
        <is>
          <t>https://africanmarketingconfederation.org/amc-launch-event-zambia-thank-you-2026/</t>
        </is>
      </c>
      <c r="B22" s="24" t="n"/>
      <c r="C22" s="24" t="n"/>
      <c r="D22" s="24" t="n"/>
      <c r="E22" s="25" t="b">
        <v>0</v>
      </c>
      <c r="F22" s="24" t="n"/>
      <c r="G22">
        <f>IFERROR(HYPERLINK("#Main!A"&amp;MATCH(A22,Main!A:A,0),"Open"),HYPERLINK("#Main!A1","Open"))</f>
        <v/>
      </c>
    </row>
    <row r="23" ht="30" customHeight="1">
      <c r="A23" s="33" t="inlineStr">
        <is>
          <t>https://africanmarketingconfederation.org/amc-marketing-conference-2024/awards-2025/</t>
        </is>
      </c>
      <c r="B23" s="6" t="n"/>
      <c r="C23" s="6" t="n"/>
      <c r="D23" s="6" t="n"/>
      <c r="E23" s="25" t="b">
        <v>0</v>
      </c>
      <c r="F23" s="6" t="n"/>
      <c r="G23">
        <f>IFERROR(HYPERLINK("#Main!A"&amp;MATCH(A23,Main!A:A,0),"Open"),HYPERLINK("#Main!A1","Open"))</f>
        <v/>
      </c>
    </row>
    <row r="24" ht="30" customHeight="1">
      <c r="A24" s="33" t="inlineStr">
        <is>
          <t>https://africanmarketingconfederation.org/amc-conference-2025-highlights/</t>
        </is>
      </c>
      <c r="B24" s="24" t="n"/>
      <c r="C24" s="24" t="n"/>
      <c r="D24" s="24" t="n"/>
      <c r="E24" s="25" t="b">
        <v>0</v>
      </c>
      <c r="F24" s="24" t="n"/>
      <c r="G24">
        <f>IFERROR(HYPERLINK("#Main!A"&amp;MATCH(A24,Main!A:A,0),"Open"),HYPERLINK("#Main!A1","Open"))</f>
        <v/>
      </c>
    </row>
    <row r="25" ht="30" customHeight="1">
      <c r="A25" s="33" t="inlineStr">
        <is>
          <t>https://africanmarketingconfederation.org/amc-conference-2022/</t>
        </is>
      </c>
      <c r="B25" s="6" t="n"/>
      <c r="C25" s="6" t="n"/>
      <c r="D25" s="6" t="n"/>
      <c r="E25" s="25" t="b">
        <v>0</v>
      </c>
      <c r="F25" s="6" t="n"/>
      <c r="G25">
        <f>IFERROR(HYPERLINK("#Main!A"&amp;MATCH(A25,Main!A:A,0),"Open"),HYPERLINK("#Main!A1","Open"))</f>
        <v/>
      </c>
    </row>
    <row r="26" ht="30" customHeight="1">
      <c r="A26" s="33" t="inlineStr">
        <is>
          <t>https://africanmarketingconfederation.org/amc-conference-2023/gallery/</t>
        </is>
      </c>
      <c r="B26" s="24" t="n"/>
      <c r="C26" s="24" t="n"/>
      <c r="D26" s="24" t="n"/>
      <c r="E26" s="25" t="b">
        <v>0</v>
      </c>
      <c r="F26" s="24" t="n"/>
      <c r="G26">
        <f>IFERROR(HYPERLINK("#Main!A"&amp;MATCH(A26,Main!A:A,0),"Open"),HYPERLINK("#Main!A1","Open"))</f>
        <v/>
      </c>
    </row>
    <row r="27" ht="30" customHeight="1">
      <c r="A27" s="33" t="inlineStr">
        <is>
          <t>https://africanmarketingconfederation.org/conference-registrations-2024/</t>
        </is>
      </c>
      <c r="B27" s="6" t="n"/>
      <c r="C27" s="6" t="n"/>
      <c r="D27" s="6" t="n"/>
      <c r="E27" s="25" t="b">
        <v>0</v>
      </c>
      <c r="F27" s="6" t="n"/>
      <c r="G27">
        <f>IFERROR(HYPERLINK("#Main!A"&amp;MATCH(A27,Main!A:A,0),"Open"),HYPERLINK("#Main!A1","Open"))</f>
        <v/>
      </c>
    </row>
    <row r="28" ht="30" customHeight="1">
      <c r="A28" s="33" t="inlineStr">
        <is>
          <t>https://africanmarketingconfederation.org/elementor-31820/</t>
        </is>
      </c>
      <c r="B28" s="24" t="n"/>
      <c r="C28" s="24" t="n"/>
      <c r="D28" s="24" t="n"/>
      <c r="E28" s="25" t="b">
        <v>0</v>
      </c>
      <c r="F28" s="24" t="n"/>
      <c r="G28">
        <f>IFERROR(HYPERLINK("#Main!A"&amp;MATCH(A28,Main!A:A,0),"Open"),HYPERLINK("#Main!A1","Open"))</f>
        <v/>
      </c>
    </row>
    <row r="29" ht="30" customHeight="1">
      <c r="A29" s="33" t="inlineStr">
        <is>
          <t>https://africanmarketingconfederation.org/amc-conference-2024-recap/</t>
        </is>
      </c>
      <c r="B29" s="6" t="n"/>
      <c r="C29" s="6" t="n"/>
      <c r="D29" s="6" t="n"/>
      <c r="E29" s="25" t="b">
        <v>0</v>
      </c>
      <c r="F29" s="6" t="n"/>
      <c r="G29">
        <f>IFERROR(HYPERLINK("#Main!A"&amp;MATCH(A29,Main!A:A,0),"Open"),HYPERLINK("#Main!A1","Open"))</f>
        <v/>
      </c>
    </row>
    <row r="30" ht="30" customHeight="1">
      <c r="A30" s="33" t="inlineStr">
        <is>
          <t>https://africanmarketingconfederation.org/amc-marketing-conference-2024/amc-programme-2025/</t>
        </is>
      </c>
      <c r="B30" s="24" t="n"/>
      <c r="C30" s="24" t="n"/>
      <c r="D30" s="24" t="n"/>
      <c r="E30" s="25" t="b">
        <v>0</v>
      </c>
      <c r="F30" s="24" t="n"/>
      <c r="G30">
        <f>IFERROR(HYPERLINK("#Main!A"&amp;MATCH(A30,Main!A:A,0),"Open"),HYPERLINK("#Main!A1","Open"))</f>
        <v/>
      </c>
    </row>
    <row r="31" ht="30" customHeight="1">
      <c r="A31" s="33" t="inlineStr">
        <is>
          <t>https://africanmarketingconfederation.org/amc-conference-2025/</t>
        </is>
      </c>
      <c r="B31" s="6" t="n"/>
      <c r="C31" s="6" t="n"/>
      <c r="D31" s="6" t="n"/>
      <c r="E31" s="25" t="b">
        <v>0</v>
      </c>
      <c r="F31" s="6" t="n"/>
      <c r="G31">
        <f>IFERROR(HYPERLINK("#Main!A"&amp;MATCH(A31,Main!A:A,0),"Open"),HYPERLINK("#Main!A1","Open"))</f>
        <v/>
      </c>
    </row>
    <row r="32" ht="30" customHeight="1">
      <c r="A32" s="33" t="inlineStr">
        <is>
          <t>https://africanmarketingconfederation.org/amc-sponsors-2025/</t>
        </is>
      </c>
      <c r="B32" s="24" t="n"/>
      <c r="C32" s="24" t="n"/>
      <c r="D32" s="24" t="n"/>
      <c r="E32" s="25" t="b">
        <v>0</v>
      </c>
      <c r="F32" s="24" t="n"/>
      <c r="G32">
        <f>IFERROR(HYPERLINK("#Main!A"&amp;MATCH(A32,Main!A:A,0),"Open"),HYPERLINK("#Main!A1","Open"))</f>
        <v/>
      </c>
    </row>
    <row r="33" ht="30" customHeight="1">
      <c r="A33" s="33" t="inlineStr">
        <is>
          <t>https://africanmarketingconfederation.org/amc-conference-2022-prospectus/</t>
        </is>
      </c>
      <c r="B33" s="6" t="n"/>
      <c r="C33" s="6" t="n"/>
      <c r="D33" s="6" t="n"/>
      <c r="E33" s="25" t="b">
        <v>0</v>
      </c>
      <c r="F33" s="6" t="n"/>
      <c r="G33">
        <f>IFERROR(HYPERLINK("#Main!A"&amp;MATCH(A33,Main!A:A,0),"Open"),HYPERLINK("#Main!A1","Open"))</f>
        <v/>
      </c>
    </row>
    <row r="34" ht="30" customHeight="1">
      <c r="A34" s="33" t="inlineStr">
        <is>
          <t>https://africanmarketingconfederation.org/test-payment-gate/</t>
        </is>
      </c>
      <c r="B34" s="24" t="n"/>
      <c r="C34" s="24" t="n"/>
      <c r="D34" s="24" t="n"/>
      <c r="E34" s="25" t="b">
        <v>0</v>
      </c>
      <c r="F34" s="24" t="n"/>
      <c r="G34">
        <f>IFERROR(HYPERLINK("#Main!A"&amp;MATCH(A34,Main!A:A,0),"Open"),HYPERLINK("#Main!A1","Open"))</f>
        <v/>
      </c>
    </row>
    <row r="35" ht="30" customHeight="1">
      <c r="A35" s="33" t="inlineStr">
        <is>
          <t>https://africanmarketingconfederation.org/amc-marketing-conference-2024/amc-preregister-2025/</t>
        </is>
      </c>
      <c r="B35" s="6" t="n"/>
      <c r="C35" s="6" t="n"/>
      <c r="D35" s="6" t="n"/>
      <c r="E35" s="25" t="b">
        <v>0</v>
      </c>
      <c r="F35" s="6" t="n"/>
      <c r="G35">
        <f>IFERROR(HYPERLINK("#Main!A"&amp;MATCH(A35,Main!A:A,0),"Open"),HYPERLINK("#Main!A1","Open"))</f>
        <v/>
      </c>
    </row>
    <row r="36" ht="30" customHeight="1">
      <c r="A36" s="33" t="inlineStr">
        <is>
          <t>https://africanmarketingconfederation.org/conference-faq-2025/</t>
        </is>
      </c>
      <c r="B36" s="24" t="n"/>
      <c r="C36" s="24" t="n"/>
      <c r="D36" s="24" t="n"/>
      <c r="E36" s="25" t="b">
        <v>0</v>
      </c>
      <c r="F36" s="24" t="n"/>
      <c r="G36">
        <f>IFERROR(HYPERLINK("#Main!A"&amp;MATCH(A36,Main!A:A,0),"Open"),HYPERLINK("#Main!A1","Open"))</f>
        <v/>
      </c>
    </row>
    <row r="37" ht="45" customHeight="1">
      <c r="A37" s="33" t="inlineStr">
        <is>
          <t>https://africanmarketingconfederation.org/amc-marketing-conference-2024/amc-conference-2025-ghana-sponsors/</t>
        </is>
      </c>
      <c r="B37" s="6" t="n"/>
      <c r="C37" s="6" t="n"/>
      <c r="D37" s="6" t="n"/>
      <c r="E37" s="25" t="b">
        <v>0</v>
      </c>
      <c r="F37" s="6" t="n"/>
      <c r="G37">
        <f>IFERROR(HYPERLINK("#Main!A"&amp;MATCH(A37,Main!A:A,0),"Open"),HYPERLINK("#Main!A1","Open"))</f>
        <v/>
      </c>
    </row>
    <row r="38" ht="30" customHeight="1">
      <c r="A38" s="33" t="inlineStr">
        <is>
          <t>https://africanmarketingconfederation.org/amc-forum-payments/</t>
        </is>
      </c>
      <c r="B38" s="24" t="n"/>
      <c r="C38" s="24" t="n"/>
      <c r="D38" s="24" t="n"/>
      <c r="E38" s="25" t="b">
        <v>0</v>
      </c>
      <c r="F38" s="24" t="n"/>
      <c r="G38">
        <f>IFERROR(HYPERLINK("#Main!A"&amp;MATCH(A38,Main!A:A,0),"Open"),HYPERLINK("#Main!A1","Open"))</f>
        <v/>
      </c>
    </row>
    <row r="39" ht="30" customHeight="1">
      <c r="A39" s="33" t="inlineStr">
        <is>
          <t>https://africanmarketingconfederation.org/amc-marketing-conference-2024/amc-launch-event-2025/</t>
        </is>
      </c>
      <c r="B39" s="6" t="n"/>
      <c r="C39" s="6" t="n"/>
      <c r="D39" s="6" t="n"/>
      <c r="E39" s="25" t="b">
        <v>0</v>
      </c>
      <c r="F39" s="6" t="n"/>
      <c r="G39">
        <f>IFERROR(HYPERLINK("#Main!A"&amp;MATCH(A39,Main!A:A,0),"Open"),HYPERLINK("#Main!A1","Open"))</f>
        <v/>
      </c>
    </row>
    <row r="40" ht="30" customHeight="1">
      <c r="A40" s="33" t="inlineStr">
        <is>
          <t>https://africanmarketingconfederation.org/checkout/</t>
        </is>
      </c>
      <c r="B40" s="24" t="n"/>
      <c r="C40" s="24" t="n"/>
      <c r="D40" s="24" t="n"/>
      <c r="E40" s="25" t="b">
        <v>0</v>
      </c>
      <c r="F40" s="24" t="n"/>
      <c r="G40">
        <f>IFERROR(HYPERLINK("#Main!A"&amp;MATCH(A40,Main!A:A,0),"Open"),HYPERLINK("#Main!A1","Open"))</f>
        <v/>
      </c>
    </row>
    <row r="41" ht="30" customHeight="1">
      <c r="A41" s="33" t="inlineStr">
        <is>
          <t>https://africanmarketingconfederation.org/amc-awards-2024/</t>
        </is>
      </c>
      <c r="B41" s="6" t="n"/>
      <c r="C41" s="6" t="n"/>
      <c r="D41" s="6" t="n"/>
      <c r="E41" s="25" t="b">
        <v>0</v>
      </c>
      <c r="F41" s="6" t="n"/>
      <c r="G41">
        <f>IFERROR(HYPERLINK("#Main!A"&amp;MATCH(A41,Main!A:A,0),"Open"),HYPERLINK("#Main!A1","Open"))</f>
        <v/>
      </c>
    </row>
    <row r="42" ht="30" customHeight="1">
      <c r="A42" s="33" t="inlineStr">
        <is>
          <t>https://africanmarketingconfederation.org/amc-conference-2023/</t>
        </is>
      </c>
      <c r="B42" s="24" t="n"/>
      <c r="C42" s="24" t="n"/>
      <c r="D42" s="24" t="n"/>
      <c r="E42" s="25" t="b">
        <v>0</v>
      </c>
      <c r="F42" s="24" t="n"/>
      <c r="G42">
        <f>IFERROR(HYPERLINK("#Main!A"&amp;MATCH(A42,Main!A:A,0),"Open"),HYPERLINK("#Main!A1","Open"))</f>
        <v/>
      </c>
    </row>
    <row r="43" ht="30" customHeight="1">
      <c r="A43" s="33" t="inlineStr">
        <is>
          <t>https://africanmarketingconfederation.org/amc-forum-mombasa/</t>
        </is>
      </c>
      <c r="B43" s="6" t="n"/>
      <c r="C43" s="6" t="n"/>
      <c r="D43" s="6" t="n"/>
      <c r="E43" s="25" t="b">
        <v>0</v>
      </c>
      <c r="F43" s="6" t="n"/>
      <c r="G43">
        <f>IFERROR(HYPERLINK("#Main!A"&amp;MATCH(A43,Main!A:A,0),"Open"),HYPERLINK("#Main!A1","Open"))</f>
        <v/>
      </c>
    </row>
    <row r="44" ht="45" customHeight="1">
      <c r="A44" s="33" t="inlineStr">
        <is>
          <t>https://africanmarketingconfederation.org/amc-marketing-conference-2024/amc-speakers-presentations-2024/</t>
        </is>
      </c>
      <c r="B44" s="24" t="n"/>
      <c r="C44" s="24" t="n"/>
      <c r="D44" s="24" t="n"/>
      <c r="E44" s="25" t="b">
        <v>0</v>
      </c>
      <c r="F44" s="24" t="n"/>
      <c r="G44">
        <f>IFERROR(HYPERLINK("#Main!A"&amp;MATCH(A44,Main!A:A,0),"Open"),HYPERLINK("#Main!A1","Open"))</f>
        <v/>
      </c>
    </row>
    <row r="45" ht="30" customHeight="1">
      <c r="A45" s="33" t="inlineStr">
        <is>
          <t>https://africanmarketingconfederation.org/amc-marketing-conference-2024/testimony-thank-you-page/</t>
        </is>
      </c>
      <c r="B45" s="6" t="n"/>
      <c r="C45" s="6" t="n"/>
      <c r="D45" s="6" t="n"/>
      <c r="E45" s="25" t="b">
        <v>0</v>
      </c>
      <c r="F45" s="6" t="n"/>
      <c r="G45">
        <f>IFERROR(HYPERLINK("#Main!A"&amp;MATCH(A45,Main!A:A,0),"Open"),HYPERLINK("#Main!A1","Open"))</f>
        <v/>
      </c>
    </row>
    <row r="46" ht="30" customHeight="1">
      <c r="A46" s="33" t="inlineStr">
        <is>
          <t>https://africanmarketingconfederation.org/amc-sign-up-now-form-2025/</t>
        </is>
      </c>
      <c r="B46" s="24" t="n"/>
      <c r="C46" s="24" t="n"/>
      <c r="D46" s="24" t="n"/>
      <c r="E46" s="25" t="b">
        <v>0</v>
      </c>
      <c r="F46" s="24" t="n"/>
      <c r="G46">
        <f>IFERROR(HYPERLINK("#Main!A"&amp;MATCH(A46,Main!A:A,0),"Open"),HYPERLINK("#Main!A1","Open"))</f>
        <v/>
      </c>
    </row>
    <row r="47" ht="30" customHeight="1">
      <c r="A47" s="33" t="inlineStr">
        <is>
          <t>https://africanmarketingconfederation.org/amc-marketing-conference-2024/</t>
        </is>
      </c>
      <c r="B47" s="6" t="n"/>
      <c r="C47" s="6" t="n"/>
      <c r="D47" s="6" t="n"/>
      <c r="E47" s="25" t="b">
        <v>0</v>
      </c>
      <c r="F47" s="6" t="n"/>
      <c r="G47">
        <f>IFERROR(HYPERLINK("#Main!A"&amp;MATCH(A47,Main!A:A,0),"Open"),HYPERLINK("#Main!A1","Open"))</f>
        <v/>
      </c>
    </row>
    <row r="48" ht="30" customHeight="1">
      <c r="A48" s="33" t="inlineStr">
        <is>
          <t>https://africanmarketingconfederation.org/amc-testimony-page-2024/</t>
        </is>
      </c>
      <c r="B48" s="24" t="n"/>
      <c r="C48" s="24" t="n"/>
      <c r="D48" s="24" t="n"/>
      <c r="E48" s="25" t="b">
        <v>0</v>
      </c>
      <c r="F48" s="24" t="n"/>
      <c r="G48">
        <f>IFERROR(HYPERLINK("#Main!A"&amp;MATCH(A48,Main!A:A,0),"Open"),HYPERLINK("#Main!A1","Open"))</f>
        <v/>
      </c>
    </row>
    <row r="49" ht="30" customHeight="1">
      <c r="A49" s="33" t="inlineStr">
        <is>
          <t>https://africanmarketingconfederation.org/thank-you-for-registering-2024-registrations/</t>
        </is>
      </c>
      <c r="B49" s="6" t="n"/>
      <c r="C49" s="6" t="n"/>
      <c r="D49" s="6" t="n"/>
      <c r="E49" s="25" t="b">
        <v>0</v>
      </c>
      <c r="F49" s="6" t="n"/>
      <c r="G49">
        <f>IFERROR(HYPERLINK("#Main!A"&amp;MATCH(A49,Main!A:A,0),"Open"),HYPERLINK("#Main!A1","Open"))</f>
        <v/>
      </c>
    </row>
    <row r="50" ht="30" customHeight="1">
      <c r="A50" s="33" t="inlineStr">
        <is>
          <t>https://africanmarketingconfederation.org/download-prospectus-2024/</t>
        </is>
      </c>
      <c r="B50" s="24" t="n"/>
      <c r="C50" s="24" t="n"/>
      <c r="D50" s="24" t="n"/>
      <c r="E50" s="25" t="b">
        <v>0</v>
      </c>
      <c r="F50" s="24" t="n"/>
      <c r="G50">
        <f>IFERROR(HYPERLINK("#Main!A"&amp;MATCH(A50,Main!A:A,0),"Open"),HYPERLINK("#Main!A1","Open"))</f>
        <v/>
      </c>
    </row>
    <row r="51" ht="30" customHeight="1">
      <c r="A51" s="33" t="inlineStr">
        <is>
          <t>https://africanmarketingconfederation.org/thank-you-for-registering-2024-registrations-kenya/</t>
        </is>
      </c>
      <c r="B51" s="6" t="n"/>
      <c r="C51" s="6" t="n"/>
      <c r="D51" s="6" t="n"/>
      <c r="E51" s="25" t="b">
        <v>0</v>
      </c>
      <c r="F51" s="6" t="n"/>
      <c r="G51">
        <f>IFERROR(HYPERLINK("#Main!A"&amp;MATCH(A51,Main!A:A,0),"Open"),HYPERLINK("#Main!A1","Open"))</f>
        <v/>
      </c>
    </row>
    <row r="52" ht="30" customHeight="1">
      <c r="A52" s="33" t="inlineStr">
        <is>
          <t>https://africanmarketingconfederation.org/subscribe/</t>
        </is>
      </c>
      <c r="B52" s="24" t="n"/>
      <c r="C52" s="24" t="n"/>
      <c r="D52" s="24" t="n"/>
      <c r="E52" s="25" t="b">
        <v>0</v>
      </c>
      <c r="F52" s="24" t="n"/>
      <c r="G52">
        <f>IFERROR(HYPERLINK("#Main!A"&amp;MATCH(A52,Main!A:A,0),"Open"),HYPERLINK("#Main!A1","Open"))</f>
        <v/>
      </c>
    </row>
    <row r="53" ht="30" customHeight="1">
      <c r="A53" s="33" t="inlineStr">
        <is>
          <t>https://africanmarketingconfederation.org/amc-marketing-conference-2024/speakers-2024/</t>
        </is>
      </c>
      <c r="B53" s="6" t="n"/>
      <c r="C53" s="6" t="n"/>
      <c r="D53" s="6" t="n"/>
      <c r="E53" s="25" t="b">
        <v>0</v>
      </c>
      <c r="F53" s="6" t="n"/>
      <c r="G53">
        <f>IFERROR(HYPERLINK("#Main!A"&amp;MATCH(A53,Main!A:A,0),"Open"),HYPERLINK("#Main!A1","Open"))</f>
        <v/>
      </c>
    </row>
    <row r="54" ht="30" customHeight="1">
      <c r="A54" s="33" t="inlineStr">
        <is>
          <t>https://africanmarketingconfederation.org/amc-conference-sponsors/</t>
        </is>
      </c>
      <c r="B54" s="24" t="n"/>
      <c r="C54" s="24" t="n"/>
      <c r="D54" s="24" t="n"/>
      <c r="E54" s="25" t="b">
        <v>0</v>
      </c>
      <c r="F54" s="24" t="n"/>
      <c r="G54">
        <f>IFERROR(HYPERLINK("#Main!A"&amp;MATCH(A54,Main!A:A,0),"Open"),HYPERLINK("#Main!A1","Open"))</f>
        <v/>
      </c>
    </row>
    <row r="55" ht="30" customHeight="1">
      <c r="A55" s="33" t="inlineStr">
        <is>
          <t>https://africanmarketingconfederation.org/elementor-20341/</t>
        </is>
      </c>
      <c r="B55" s="6" t="n"/>
      <c r="C55" s="6" t="n"/>
      <c r="D55" s="6" t="n"/>
      <c r="E55" s="25" t="b">
        <v>0</v>
      </c>
      <c r="F55" s="6" t="n"/>
      <c r="G55">
        <f>IFERROR(HYPERLINK("#Main!A"&amp;MATCH(A55,Main!A:A,0),"Open"),HYPERLINK("#Main!A1","Open"))</f>
        <v/>
      </c>
    </row>
    <row r="56" ht="30" customHeight="1">
      <c r="A56" s="33" t="inlineStr">
        <is>
          <t>https://africanmarketingconfederation.org/chartered-marketer-africa-final-submission-fee/</t>
        </is>
      </c>
      <c r="B56" s="24" t="n"/>
      <c r="C56" s="24" t="n"/>
      <c r="D56" s="24" t="n"/>
      <c r="E56" s="25" t="b">
        <v>0</v>
      </c>
      <c r="F56" s="24" t="n"/>
      <c r="G56">
        <f>IFERROR(HYPERLINK("#Main!A"&amp;MATCH(A56,Main!A:A,0),"Open"),HYPERLINK("#Main!A1","Open"))</f>
        <v/>
      </c>
    </row>
    <row r="57" ht="30" customHeight="1">
      <c r="A57" s="33" t="inlineStr">
        <is>
          <t>https://africanmarketingconfederation.org/chartered-marketer-africa-programme-fee/</t>
        </is>
      </c>
      <c r="B57" s="6" t="n"/>
      <c r="C57" s="6" t="n"/>
      <c r="D57" s="6" t="n"/>
      <c r="E57" s="25" t="b">
        <v>0</v>
      </c>
      <c r="F57" s="6" t="n"/>
      <c r="G57">
        <f>IFERROR(HYPERLINK("#Main!A"&amp;MATCH(A57,Main!A:A,0),"Open"),HYPERLINK("#Main!A1","Open"))</f>
        <v/>
      </c>
    </row>
    <row r="58" ht="30" customHeight="1">
      <c r="A58" s="33" t="inlineStr">
        <is>
          <t>https://africanmarketingconfederation.org/download-brochure/</t>
        </is>
      </c>
      <c r="B58" s="24" t="n"/>
      <c r="C58" s="24" t="n"/>
      <c r="D58" s="24" t="n"/>
      <c r="E58" s="25" t="b">
        <v>0</v>
      </c>
      <c r="F58" s="24" t="n"/>
      <c r="G58">
        <f>IFERROR(HYPERLINK("#Main!A"&amp;MATCH(A58,Main!A:A,0),"Open"),HYPERLINK("#Main!A1","Open"))</f>
        <v/>
      </c>
    </row>
    <row r="59" ht="30" customHeight="1">
      <c r="A59" s="33" t="inlineStr">
        <is>
          <t>https://africanmarketingconfederation.org/thank-you-for-the-nomination-2024/</t>
        </is>
      </c>
      <c r="B59" s="6" t="n"/>
      <c r="C59" s="6" t="n"/>
      <c r="D59" s="6" t="n"/>
      <c r="E59" s="25" t="b">
        <v>0</v>
      </c>
      <c r="F59" s="6" t="n"/>
      <c r="G59">
        <f>IFERROR(HYPERLINK("#Main!A"&amp;MATCH(A59,Main!A:A,0),"Open"),HYPERLINK("#Main!A1","Open"))</f>
        <v/>
      </c>
    </row>
    <row r="60" ht="30" customHeight="1">
      <c r="A60" s="33" t="inlineStr">
        <is>
          <t>https://africanmarketingconfederation.org/thank-you-for-the-submission-2024/</t>
        </is>
      </c>
      <c r="B60" s="24" t="n"/>
      <c r="C60" s="24" t="n"/>
      <c r="D60" s="24" t="n"/>
      <c r="E60" s="25" t="b">
        <v>0</v>
      </c>
      <c r="F60" s="24" t="n"/>
      <c r="G60">
        <f>IFERROR(HYPERLINK("#Main!A"&amp;MATCH(A60,Main!A:A,0),"Open"),HYPERLINK("#Main!A1","Open"))</f>
        <v/>
      </c>
    </row>
    <row r="61" ht="30" customHeight="1">
      <c r="A61" s="33" t="inlineStr">
        <is>
          <t>https://africanmarketingconfederation.org/amc-conference-2024-sponsors-packages/</t>
        </is>
      </c>
      <c r="B61" s="6" t="n"/>
      <c r="C61" s="6" t="n"/>
      <c r="D61" s="6" t="n"/>
      <c r="E61" s="25" t="b">
        <v>0</v>
      </c>
      <c r="F61" s="6" t="n"/>
      <c r="G61">
        <f>IFERROR(HYPERLINK("#Main!A"&amp;MATCH(A61,Main!A:A,0),"Open"),HYPERLINK("#Main!A1","Open"))</f>
        <v/>
      </c>
    </row>
    <row r="62" ht="30" customHeight="1">
      <c r="A62" s="33" t="inlineStr">
        <is>
          <t>https://africanmarketingconfederation.org/elementor-16548/</t>
        </is>
      </c>
      <c r="B62" s="24" t="n"/>
      <c r="C62" s="24" t="n"/>
      <c r="D62" s="24" t="n"/>
      <c r="E62" s="25" t="b">
        <v>0</v>
      </c>
      <c r="F62" s="24" t="n"/>
      <c r="G62">
        <f>IFERROR(HYPERLINK("#Main!A"&amp;MATCH(A62,Main!A:A,0),"Open"),HYPERLINK("#Main!A1","Open"))</f>
        <v/>
      </c>
    </row>
    <row r="63" ht="30" customHeight="1">
      <c r="A63" s="33" t="inlineStr">
        <is>
          <t>https://africanmarketingconfederation.org/amc-marketing-conference-2024/programme-2024/</t>
        </is>
      </c>
      <c r="B63" s="6" t="n"/>
      <c r="C63" s="6" t="n"/>
      <c r="D63" s="6" t="n"/>
      <c r="E63" s="25" t="b">
        <v>0</v>
      </c>
      <c r="F63" s="6" t="n"/>
      <c r="G63">
        <f>IFERROR(HYPERLINK("#Main!A"&amp;MATCH(A63,Main!A:A,0),"Open"),HYPERLINK("#Main!A1","Open"))</f>
        <v/>
      </c>
    </row>
    <row r="64" ht="30" customHeight="1">
      <c r="A64" s="33" t="inlineStr">
        <is>
          <t>https://africanmarketingconfederation.org/amc-conference-2023/programme/</t>
        </is>
      </c>
      <c r="B64" s="24" t="n"/>
      <c r="C64" s="24" t="n"/>
      <c r="D64" s="24" t="n"/>
      <c r="E64" s="25" t="b">
        <v>0</v>
      </c>
      <c r="F64" s="24" t="n"/>
      <c r="G64">
        <f>IFERROR(HYPERLINK("#Main!A"&amp;MATCH(A64,Main!A:A,0),"Open"),HYPERLINK("#Main!A1","Open"))</f>
        <v/>
      </c>
    </row>
    <row r="65" ht="30" customHeight="1">
      <c r="A65" s="33" t="inlineStr">
        <is>
          <t>https://africanmarketingconfederation.org/amc-conference-2023/amc-awards/</t>
        </is>
      </c>
      <c r="B65" s="6" t="n"/>
      <c r="C65" s="6" t="n"/>
      <c r="D65" s="6" t="n"/>
      <c r="E65" s="25" t="b">
        <v>0</v>
      </c>
      <c r="F65" s="6" t="n"/>
      <c r="G65">
        <f>IFERROR(HYPERLINK("#Main!A"&amp;MATCH(A65,Main!A:A,0),"Open"),HYPERLINK("#Main!A1","Open"))</f>
        <v/>
      </c>
    </row>
    <row r="66" ht="30" customHeight="1">
      <c r="A66" s="33" t="inlineStr">
        <is>
          <t>https://africanmarketingconfederation.org/amc-conference-2023/partners/</t>
        </is>
      </c>
      <c r="B66" s="24" t="n"/>
      <c r="C66" s="24" t="n"/>
      <c r="D66" s="24" t="n"/>
      <c r="E66" s="25" t="b">
        <v>0</v>
      </c>
      <c r="F66" s="24" t="n"/>
      <c r="G66">
        <f>IFERROR(HYPERLINK("#Main!A"&amp;MATCH(A66,Main!A:A,0),"Open"),HYPERLINK("#Main!A1","Open"))</f>
        <v/>
      </c>
    </row>
    <row r="67" ht="30" customHeight="1">
      <c r="A67" s="33" t="inlineStr">
        <is>
          <t>https://africanmarketingconfederation.org/amc-conference-2023/speakers/</t>
        </is>
      </c>
      <c r="B67" s="6" t="n"/>
      <c r="C67" s="6" t="n"/>
      <c r="D67" s="6" t="n"/>
      <c r="E67" s="25" t="b">
        <v>0</v>
      </c>
      <c r="F67" s="6" t="n"/>
      <c r="G67">
        <f>IFERROR(HYPERLINK("#Main!A"&amp;MATCH(A67,Main!A:A,0),"Open"),HYPERLINK("#Main!A1","Open"))</f>
        <v/>
      </c>
    </row>
    <row r="68" ht="30" customHeight="1">
      <c r="A68" s="33" t="inlineStr">
        <is>
          <t>https://africanmarketingconfederation.org/chartered-marketer-africa-thank-you/</t>
        </is>
      </c>
      <c r="B68" s="24" t="n"/>
      <c r="C68" s="24" t="n"/>
      <c r="D68" s="24" t="n"/>
      <c r="E68" s="25" t="b">
        <v>0</v>
      </c>
      <c r="F68" s="24" t="n"/>
      <c r="G68">
        <f>IFERROR(HYPERLINK("#Main!A"&amp;MATCH(A68,Main!A:A,0),"Open"),HYPERLINK("#Main!A1","Open"))</f>
        <v/>
      </c>
    </row>
    <row r="69" ht="30" customHeight="1">
      <c r="A69" s="33" t="inlineStr">
        <is>
          <t>https://africanmarketingconfederation.org/amc-conference-2023/amc-awards-book-now/</t>
        </is>
      </c>
      <c r="B69" s="6" t="n"/>
      <c r="C69" s="6" t="n"/>
      <c r="D69" s="6" t="n"/>
      <c r="E69" s="25" t="b">
        <v>0</v>
      </c>
      <c r="F69" s="6" t="n"/>
      <c r="G69">
        <f>IFERROR(HYPERLINK("#Main!A"&amp;MATCH(A69,Main!A:A,0),"Open"),HYPERLINK("#Main!A1","Open"))</f>
        <v/>
      </c>
    </row>
    <row r="70" ht="30" customHeight="1">
      <c r="A70" s="33" t="inlineStr">
        <is>
          <t>https://africanmarketingconfederation.org/amc-conference-2023/book-now/</t>
        </is>
      </c>
      <c r="B70" s="24" t="n"/>
      <c r="C70" s="24" t="n"/>
      <c r="D70" s="24" t="n"/>
      <c r="E70" s="25" t="b">
        <v>0</v>
      </c>
      <c r="F70" s="24" t="n"/>
      <c r="G70">
        <f>IFERROR(HYPERLINK("#Main!A"&amp;MATCH(A70,Main!A:A,0),"Open"),HYPERLINK("#Main!A1","Open"))</f>
        <v/>
      </c>
    </row>
    <row r="71" ht="30" customHeight="1">
      <c r="A71" s="33" t="inlineStr">
        <is>
          <t>https://africanmarketingconfederation.org/amc-conference-2023/download-prospectus/</t>
        </is>
      </c>
      <c r="B71" s="6" t="n"/>
      <c r="C71" s="6" t="n"/>
      <c r="D71" s="6" t="n"/>
      <c r="E71" s="25" t="b">
        <v>0</v>
      </c>
      <c r="F71" s="6" t="n"/>
      <c r="G71">
        <f>IFERROR(HYPERLINK("#Main!A"&amp;MATCH(A71,Main!A:A,0),"Open"),HYPERLINK("#Main!A1","Open"))</f>
        <v/>
      </c>
    </row>
    <row r="72" ht="30" customHeight="1">
      <c r="A72" s="33" t="inlineStr">
        <is>
          <t>https://africanmarketingconfederation.org/thank-you-for-subscribing/</t>
        </is>
      </c>
      <c r="B72" s="24" t="n"/>
      <c r="C72" s="24" t="n"/>
      <c r="D72" s="24" t="n"/>
      <c r="E72" s="25" t="b">
        <v>0</v>
      </c>
      <c r="F72" s="24" t="n"/>
      <c r="G72">
        <f>IFERROR(HYPERLINK("#Main!A"&amp;MATCH(A72,Main!A:A,0),"Open"),HYPERLINK("#Main!A1","Open"))</f>
        <v/>
      </c>
    </row>
    <row r="73" ht="30" customHeight="1">
      <c r="A73" s="33" t="inlineStr">
        <is>
          <t>https://africanmarketingconfederation.org/amc-conference-2023/book-now-thank-you/</t>
        </is>
      </c>
      <c r="B73" s="6" t="n"/>
      <c r="C73" s="6" t="n"/>
      <c r="D73" s="6" t="n"/>
      <c r="E73" s="25" t="b">
        <v>0</v>
      </c>
      <c r="F73" s="6" t="n"/>
      <c r="G73">
        <f>IFERROR(HYPERLINK("#Main!A"&amp;MATCH(A73,Main!A:A,0),"Open"),HYPERLINK("#Main!A1","Open"))</f>
        <v/>
      </c>
    </row>
    <row r="74" ht="30" customHeight="1">
      <c r="A74" s="33" t="inlineStr">
        <is>
          <t>https://africanmarketingconfederation.org/upcoming-events/</t>
        </is>
      </c>
      <c r="B74" s="24" t="n"/>
      <c r="C74" s="24" t="n"/>
      <c r="D74" s="24" t="n"/>
      <c r="E74" s="25" t="b">
        <v>0</v>
      </c>
      <c r="F74" s="24" t="n"/>
      <c r="G74">
        <f>IFERROR(HYPERLINK("#Main!A"&amp;MATCH(A74,Main!A:A,0),"Open"),HYPERLINK("#Main!A1","Open"))</f>
        <v/>
      </c>
    </row>
    <row r="75" ht="30" customHeight="1">
      <c r="A75" s="33" t="inlineStr">
        <is>
          <t>https://africanmarketingconfederation.org/amc-conference-thank-you/</t>
        </is>
      </c>
      <c r="B75" s="6" t="n"/>
      <c r="C75" s="6" t="n"/>
      <c r="D75" s="6" t="n"/>
      <c r="E75" s="25" t="b">
        <v>0</v>
      </c>
      <c r="F75" s="6" t="n"/>
      <c r="G75">
        <f>IFERROR(HYPERLINK("#Main!A"&amp;MATCH(A75,Main!A:A,0),"Open"),HYPERLINK("#Main!A1","Open"))</f>
        <v/>
      </c>
    </row>
    <row r="76" ht="30" customHeight="1">
      <c r="A76" s="33" t="inlineStr">
        <is>
          <t>https://africanmarketingconfederation.org/amc-masterclass/</t>
        </is>
      </c>
      <c r="B76" s="24" t="n"/>
      <c r="C76" s="24" t="n"/>
      <c r="D76" s="24" t="n"/>
      <c r="E76" s="25" t="b">
        <v>0</v>
      </c>
      <c r="F76" s="24" t="n"/>
      <c r="G76">
        <f>IFERROR(HYPERLINK("#Main!A"&amp;MATCH(A76,Main!A:A,0),"Open"),HYPERLINK("#Main!A1","Open"))</f>
        <v/>
      </c>
    </row>
    <row r="77" ht="30" customHeight="1">
      <c r="A77" s="33" t="inlineStr">
        <is>
          <t>https://africanmarketingconfederation.org/amc-relaunch-programme/</t>
        </is>
      </c>
      <c r="B77" s="6" t="n"/>
      <c r="C77" s="6" t="n"/>
      <c r="D77" s="6" t="n"/>
      <c r="E77" s="25" t="b">
        <v>0</v>
      </c>
      <c r="F77" s="6" t="n"/>
      <c r="G77">
        <f>IFERROR(HYPERLINK("#Main!A"&amp;MATCH(A77,Main!A:A,0),"Open"),HYPERLINK("#Main!A1","Open"))</f>
        <v/>
      </c>
    </row>
    <row r="78" ht="30" customHeight="1">
      <c r="A78" s="33" t="inlineStr">
        <is>
          <t>https://africanmarketingconfederation.org/amc-masterclass-thank-you/</t>
        </is>
      </c>
      <c r="B78" s="24" t="n"/>
      <c r="C78" s="24" t="n"/>
      <c r="D78" s="24" t="n"/>
      <c r="E78" s="25" t="b">
        <v>0</v>
      </c>
      <c r="F78" s="24" t="n"/>
      <c r="G78">
        <f>IFERROR(HYPERLINK("#Main!A"&amp;MATCH(A78,Main!A:A,0),"Open"),HYPERLINK("#Main!A1","Open"))</f>
        <v/>
      </c>
    </row>
    <row r="79" ht="30" customHeight="1">
      <c r="A79" s="33" t="inlineStr">
        <is>
          <t>https://africanmarketingconfederation.org/amc-masterclass-bookings/</t>
        </is>
      </c>
      <c r="B79" s="6" t="n"/>
      <c r="C79" s="6" t="n"/>
      <c r="D79" s="6" t="n"/>
      <c r="E79" s="25" t="b">
        <v>0</v>
      </c>
      <c r="F79" s="6" t="n"/>
      <c r="G79">
        <f>IFERROR(HYPERLINK("#Main!A"&amp;MATCH(A79,Main!A:A,0),"Open"),HYPERLINK("#Main!A1","Open"))</f>
        <v/>
      </c>
    </row>
    <row r="80" ht="30" customHeight="1">
      <c r="A80" s="33" t="inlineStr">
        <is>
          <t>https://africanmarketingconfederation.org/amc-conference-programme/</t>
        </is>
      </c>
      <c r="B80" s="24" t="n"/>
      <c r="C80" s="24" t="n"/>
      <c r="D80" s="24" t="n"/>
      <c r="E80" s="25" t="b">
        <v>0</v>
      </c>
      <c r="F80" s="24" t="n"/>
      <c r="G80">
        <f>IFERROR(HYPERLINK("#Main!A"&amp;MATCH(A80,Main!A:A,0),"Open"),HYPERLINK("#Main!A1","Open"))</f>
        <v/>
      </c>
    </row>
    <row r="81" ht="30" customHeight="1">
      <c r="A81" s="33" t="inlineStr">
        <is>
          <t>https://africanmarketingconfederation.org/test-homeslider/</t>
        </is>
      </c>
      <c r="B81" s="6" t="n"/>
      <c r="C81" s="6" t="n"/>
      <c r="D81" s="6" t="n"/>
      <c r="E81" s="25" t="b">
        <v>0</v>
      </c>
      <c r="F81" s="6" t="n"/>
      <c r="G81">
        <f>IFERROR(HYPERLINK("#Main!A"&amp;MATCH(A81,Main!A:A,0),"Open"),HYPERLINK("#Main!A1","Open"))</f>
        <v/>
      </c>
    </row>
    <row r="82" ht="30" customHeight="1">
      <c r="A82" s="33" t="inlineStr">
        <is>
          <t>https://africanmarketingconfederation.org/virtual-programme/</t>
        </is>
      </c>
      <c r="B82" s="24" t="n"/>
      <c r="C82" s="24" t="n"/>
      <c r="D82" s="24" t="n"/>
      <c r="E82" s="25" t="b">
        <v>0</v>
      </c>
      <c r="F82" s="24" t="n"/>
      <c r="G82">
        <f>IFERROR(HYPERLINK("#Main!A"&amp;MATCH(A82,Main!A:A,0),"Open"),HYPERLINK("#Main!A1","Open"))</f>
        <v/>
      </c>
    </row>
    <row r="83" ht="30" customHeight="1">
      <c r="A83" s="33" t="inlineStr">
        <is>
          <t>https://africanmarketingconfederation.org/general-enquiry-form-thank-you/</t>
        </is>
      </c>
      <c r="B83" s="6" t="n"/>
      <c r="C83" s="6" t="n"/>
      <c r="D83" s="6" t="n"/>
      <c r="E83" s="25" t="b">
        <v>0</v>
      </c>
      <c r="F83" s="6" t="n"/>
      <c r="G83">
        <f>IFERROR(HYPERLINK("#Main!A"&amp;MATCH(A83,Main!A:A,0),"Open"),HYPERLINK("#Main!A1","Open"))</f>
        <v/>
      </c>
    </row>
    <row r="84" ht="30" customHeight="1">
      <c r="A84" s="33" t="inlineStr">
        <is>
          <t>https://africanmarketingconfederation.org/amc-conference-2022-thank-you/</t>
        </is>
      </c>
      <c r="B84" s="24" t="n"/>
      <c r="C84" s="24" t="n"/>
      <c r="D84" s="24" t="n"/>
      <c r="E84" s="25" t="b">
        <v>0</v>
      </c>
      <c r="F84" s="24" t="n"/>
      <c r="G84">
        <f>IFERROR(HYPERLINK("#Main!A"&amp;MATCH(A84,Main!A:A,0),"Open"),HYPERLINK("#Main!A1","Open"))</f>
        <v/>
      </c>
    </row>
    <row r="85" ht="30" customHeight="1">
      <c r="A85" s="33" t="inlineStr">
        <is>
          <t>https://africanmarketingconfederation.org/privacy-policy/</t>
        </is>
      </c>
      <c r="B85" s="6" t="n"/>
      <c r="C85" s="6" t="n"/>
      <c r="D85" s="6" t="n"/>
      <c r="E85" s="25" t="b">
        <v>0</v>
      </c>
      <c r="F85" s="6" t="n"/>
      <c r="G85">
        <f>IFERROR(HYPERLINK("#Main!A"&amp;MATCH(A85,Main!A:A,0),"Open"),HYPERLINK("#Main!A1","Open"))</f>
        <v/>
      </c>
    </row>
    <row r="86" ht="30" customHeight="1">
      <c r="A86" s="33" t="inlineStr">
        <is>
          <t>https://africanmarketingconfederation.org/speakers/</t>
        </is>
      </c>
      <c r="B86" s="24" t="n"/>
      <c r="C86" s="24" t="n"/>
      <c r="D86" s="24" t="n"/>
      <c r="E86" s="25" t="b">
        <v>0</v>
      </c>
      <c r="F86" s="24" t="n"/>
      <c r="G86">
        <f>IFERROR(HYPERLINK("#Main!A"&amp;MATCH(A86,Main!A:A,0),"Open"),HYPERLINK("#Main!A1","Open"))</f>
        <v/>
      </c>
    </row>
  </sheetData>
  <autoFilter ref="A1:F86"/>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OG Title" prompt="OG Title. Review this metric to identify risk, then use linked tabs for details and remediation." type="custom">
      <formula1>TRUE</formula1>
    </dataValidation>
    <dataValidation sqref="C1" showDropDown="0" showInputMessage="1" showErrorMessage="0" allowBlank="1" promptTitle="OG Description" prompt="OG Description. Review this metric to identify risk, then use linked tabs for details and remediation." type="custom">
      <formula1>TRUE</formula1>
    </dataValidation>
    <dataValidation sqref="D1" showDropDown="0" showInputMessage="1" showErrorMessage="0" allowBlank="1" promptTitle="OG Image" prompt="OG Image. Review this metric to identify risk, then use linked tabs for details and remediation." type="custom">
      <formula1>TRUE</formula1>
    </dataValidation>
    <dataValidation sqref="E1" showDropDown="0" showInputMessage="1" showErrorMessage="0" allowBlank="1" promptTitle="Open Graph Complete" prompt="Open Graph Complete. Review this metric to identify risk, then use linked tabs for details and remediation." type="custom">
      <formula1>TRUE</formula1>
    </dataValidation>
    <dataValidation sqref="F1" showDropDown="0" showInputMessage="1" showErrorMessage="0" allowBlank="1" promptTitle="Twitter Card Type" prompt="Twitter Card Type.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3" t="inlineStr">
        <is>
          <t>URL</t>
        </is>
      </c>
      <c r="B1" s="3" t="inlineStr">
        <is>
          <t>Strict-Transport-Security</t>
        </is>
      </c>
      <c r="C1" s="3" t="inlineStr">
        <is>
          <t>Content-Security-Policy</t>
        </is>
      </c>
      <c r="D1" s="3" t="inlineStr">
        <is>
          <t>X-Content-Type-Options</t>
        </is>
      </c>
      <c r="E1" s="3" t="inlineStr">
        <is>
          <t>X-Frame-Options</t>
        </is>
      </c>
      <c r="F1" s="3" t="inlineStr">
        <is>
          <t>Referrer-Policy</t>
        </is>
      </c>
      <c r="G1" s="3" t="inlineStr">
        <is>
          <t>Permissions-Policy</t>
        </is>
      </c>
      <c r="H1" s="3" t="inlineStr">
        <is>
          <t>Robots.txt Accessible</t>
        </is>
      </c>
      <c r="I1" s="3" t="inlineStr">
        <is>
          <t>Sitemap in Robots.txt</t>
        </is>
      </c>
      <c r="J1" s="3" t="inlineStr">
        <is>
          <t>Robots.txt Crawl-Delay</t>
        </is>
      </c>
      <c r="K1" s="3" t="inlineStr">
        <is>
          <t>Robots.txt Disallow /</t>
        </is>
      </c>
      <c r="L1" t="inlineStr">
        <is>
          <t>Open in Main</t>
        </is>
      </c>
      <c r="M1" s="23" t="inlineStr">
        <is>
          <t>BACK TO DASHBOARD</t>
        </is>
      </c>
    </row>
    <row r="2">
      <c r="A2" s="33" t="inlineStr">
        <is>
          <t>https://africanmarketingconfederation.org/</t>
        </is>
      </c>
      <c r="B2" s="24" t="n"/>
      <c r="C2" s="24" t="n"/>
      <c r="D2" s="24" t="n"/>
      <c r="E2" s="24" t="n"/>
      <c r="F2" s="24" t="n"/>
      <c r="G2" s="24" t="n"/>
      <c r="H2" s="24" t="n"/>
      <c r="I2" s="24" t="n"/>
      <c r="J2" s="24" t="n"/>
      <c r="K2" s="24" t="n"/>
      <c r="L2">
        <f>IFERROR(HYPERLINK("#Main!A"&amp;MATCH(A2,Main!A:A,0),"Open"),HYPERLINK("#Main!A1","Open"))</f>
        <v/>
      </c>
    </row>
    <row r="3" ht="30" customHeight="1">
      <c r="A3" s="33" t="inlineStr">
        <is>
          <t>https://africanmarketingconfederation.org/publication-download-list/</t>
        </is>
      </c>
      <c r="B3" s="6" t="n"/>
      <c r="C3" s="6" t="n"/>
      <c r="D3" s="6" t="n"/>
      <c r="E3" s="6" t="n"/>
      <c r="F3" s="6" t="n"/>
      <c r="G3" s="6" t="n"/>
      <c r="H3" s="6" t="n"/>
      <c r="I3" s="6" t="n"/>
      <c r="J3" s="6" t="n"/>
      <c r="K3" s="6" t="n"/>
      <c r="L3">
        <f>IFERROR(HYPERLINK("#Main!A"&amp;MATCH(A3,Main!A:A,0),"Open"),HYPERLINK("#Main!A1","Open"))</f>
        <v/>
      </c>
    </row>
    <row r="4" ht="30" customHeight="1">
      <c r="A4" s="33" t="inlineStr">
        <is>
          <t>https://africanmarketingconfederation.org/launch-event-2026-amc-conference/</t>
        </is>
      </c>
      <c r="B4" s="24" t="n"/>
      <c r="C4" s="24" t="n"/>
      <c r="D4" s="24" t="n"/>
      <c r="E4" s="24" t="n"/>
      <c r="F4" s="24" t="n"/>
      <c r="G4" s="24" t="n"/>
      <c r="H4" s="24" t="n"/>
      <c r="I4" s="24" t="n"/>
      <c r="J4" s="24" t="n"/>
      <c r="K4" s="24" t="n"/>
      <c r="L4">
        <f>IFERROR(HYPERLINK("#Main!A"&amp;MATCH(A4,Main!A:A,0),"Open"),HYPERLINK("#Main!A1","Open"))</f>
        <v/>
      </c>
    </row>
    <row r="5" ht="30" customHeight="1">
      <c r="A5" s="33" t="inlineStr">
        <is>
          <t>https://africanmarketingconfederation.org/publications-2/</t>
        </is>
      </c>
      <c r="B5" s="6" t="n"/>
      <c r="C5" s="6" t="n"/>
      <c r="D5" s="6" t="n"/>
      <c r="E5" s="6" t="n"/>
      <c r="F5" s="6" t="n"/>
      <c r="G5" s="6" t="n"/>
      <c r="H5" s="6" t="n"/>
      <c r="I5" s="6" t="n"/>
      <c r="J5" s="6" t="n"/>
      <c r="K5" s="6" t="n"/>
      <c r="L5">
        <f>IFERROR(HYPERLINK("#Main!A"&amp;MATCH(A5,Main!A:A,0),"Open"),HYPERLINK("#Main!A1","Open"))</f>
        <v/>
      </c>
    </row>
    <row r="6" ht="30" customHeight="1">
      <c r="A6" s="33" t="inlineStr">
        <is>
          <t>https://africanmarketingconfederation.org/certified-professional-marketer-africa/</t>
        </is>
      </c>
      <c r="B6" s="24" t="n"/>
      <c r="C6" s="24" t="n"/>
      <c r="D6" s="24" t="n"/>
      <c r="E6" s="24" t="n"/>
      <c r="F6" s="24" t="n"/>
      <c r="G6" s="24" t="n"/>
      <c r="H6" s="24" t="n"/>
      <c r="I6" s="24" t="n"/>
      <c r="J6" s="24" t="n"/>
      <c r="K6" s="24" t="n"/>
      <c r="L6">
        <f>IFERROR(HYPERLINK("#Main!A"&amp;MATCH(A6,Main!A:A,0),"Open"),HYPERLINK("#Main!A1","Open"))</f>
        <v/>
      </c>
    </row>
    <row r="7" ht="30" customHeight="1">
      <c r="A7" s="33" t="inlineStr">
        <is>
          <t>https://africanmarketingconfederation.org/chartered-marketer-africa/</t>
        </is>
      </c>
      <c r="B7" s="6" t="n"/>
      <c r="C7" s="6" t="n"/>
      <c r="D7" s="6" t="n"/>
      <c r="E7" s="6" t="n"/>
      <c r="F7" s="6" t="n"/>
      <c r="G7" s="6" t="n"/>
      <c r="H7" s="6" t="n"/>
      <c r="I7" s="6" t="n"/>
      <c r="J7" s="6" t="n"/>
      <c r="K7" s="6" t="n"/>
      <c r="L7">
        <f>IFERROR(HYPERLINK("#Main!A"&amp;MATCH(A7,Main!A:A,0),"Open"),HYPERLINK("#Main!A1","Open"))</f>
        <v/>
      </c>
    </row>
    <row r="8" ht="30" customHeight="1">
      <c r="A8" s="33" t="inlineStr">
        <is>
          <t>https://africanmarketingconfederation.org/amc-conference-2026/</t>
        </is>
      </c>
      <c r="B8" s="24" t="n"/>
      <c r="C8" s="24" t="n"/>
      <c r="D8" s="24" t="n"/>
      <c r="E8" s="24" t="n"/>
      <c r="F8" s="24" t="n"/>
      <c r="G8" s="24" t="n"/>
      <c r="H8" s="24" t="n"/>
      <c r="I8" s="24" t="n"/>
      <c r="J8" s="24" t="n"/>
      <c r="K8" s="24" t="n"/>
      <c r="L8">
        <f>IFERROR(HYPERLINK("#Main!A"&amp;MATCH(A8,Main!A:A,0),"Open"),HYPERLINK("#Main!A1","Open"))</f>
        <v/>
      </c>
    </row>
    <row r="9" ht="30" customHeight="1">
      <c r="A9" s="33" t="inlineStr">
        <is>
          <t>https://africanmarketingconfederation.org/education/</t>
        </is>
      </c>
      <c r="B9" s="6" t="n"/>
      <c r="C9" s="6" t="n"/>
      <c r="D9" s="6" t="n"/>
      <c r="E9" s="6" t="n"/>
      <c r="F9" s="6" t="n"/>
      <c r="G9" s="6" t="n"/>
      <c r="H9" s="6" t="n"/>
      <c r="I9" s="6" t="n"/>
      <c r="J9" s="6" t="n"/>
      <c r="K9" s="6" t="n"/>
      <c r="L9">
        <f>IFERROR(HYPERLINK("#Main!A"&amp;MATCH(A9,Main!A:A,0),"Open"),HYPERLINK("#Main!A1","Open"))</f>
        <v/>
      </c>
    </row>
    <row r="10" ht="30" customHeight="1">
      <c r="A10" s="33" t="inlineStr">
        <is>
          <t>https://africanmarketingconfederation.org/awards-2026/</t>
        </is>
      </c>
      <c r="B10" s="24" t="n"/>
      <c r="C10" s="24" t="n"/>
      <c r="D10" s="24" t="n"/>
      <c r="E10" s="24" t="n"/>
      <c r="F10" s="24" t="n"/>
      <c r="G10" s="24" t="n"/>
      <c r="H10" s="24" t="n"/>
      <c r="I10" s="24" t="n"/>
      <c r="J10" s="24" t="n"/>
      <c r="K10" s="24" t="n"/>
      <c r="L10">
        <f>IFERROR(HYPERLINK("#Main!A"&amp;MATCH(A10,Main!A:A,0),"Open"),HYPERLINK("#Main!A1","Open"))</f>
        <v/>
      </c>
    </row>
    <row r="11" ht="30" customHeight="1">
      <c r="A11" s="33" t="inlineStr">
        <is>
          <t>https://africanmarketingconfederation.org/contact-us/</t>
        </is>
      </c>
      <c r="B11" s="6" t="n"/>
      <c r="C11" s="6" t="n"/>
      <c r="D11" s="6" t="n"/>
      <c r="E11" s="6" t="n"/>
      <c r="F11" s="6" t="n"/>
      <c r="G11" s="6" t="n"/>
      <c r="H11" s="6" t="n"/>
      <c r="I11" s="6" t="n"/>
      <c r="J11" s="6" t="n"/>
      <c r="K11" s="6" t="n"/>
      <c r="L11">
        <f>IFERROR(HYPERLINK("#Main!A"&amp;MATCH(A11,Main!A:A,0),"Open"),HYPERLINK("#Main!A1","Open"))</f>
        <v/>
      </c>
    </row>
    <row r="12" ht="30" customHeight="1">
      <c r="A12" s="33" t="inlineStr">
        <is>
          <t>https://africanmarketingconfederation.org/news-articles/</t>
        </is>
      </c>
      <c r="B12" s="24" t="n"/>
      <c r="C12" s="24" t="n"/>
      <c r="D12" s="24" t="n"/>
      <c r="E12" s="24" t="n"/>
      <c r="F12" s="24" t="n"/>
      <c r="G12" s="24" t="n"/>
      <c r="H12" s="24" t="n"/>
      <c r="I12" s="24" t="n"/>
      <c r="J12" s="24" t="n"/>
      <c r="K12" s="24" t="n"/>
      <c r="L12">
        <f>IFERROR(HYPERLINK("#Main!A"&amp;MATCH(A12,Main!A:A,0),"Open"),HYPERLINK("#Main!A1","Open"))</f>
        <v/>
      </c>
    </row>
    <row r="13" ht="30" customHeight="1">
      <c r="A13" s="33" t="inlineStr">
        <is>
          <t>https://africanmarketingconfederation.org/african-marketing-confederation-tourism-chapter/</t>
        </is>
      </c>
      <c r="B13" s="6" t="n"/>
      <c r="C13" s="6" t="n"/>
      <c r="D13" s="6" t="n"/>
      <c r="E13" s="6" t="n"/>
      <c r="F13" s="6" t="n"/>
      <c r="G13" s="6" t="n"/>
      <c r="H13" s="6" t="n"/>
      <c r="I13" s="6" t="n"/>
      <c r="J13" s="6" t="n"/>
      <c r="K13" s="6" t="n"/>
      <c r="L13">
        <f>IFERROR(HYPERLINK("#Main!A"&amp;MATCH(A13,Main!A:A,0),"Open"),HYPERLINK("#Main!A1","Open"))</f>
        <v/>
      </c>
    </row>
    <row r="14" ht="30" customHeight="1">
      <c r="A14" s="33" t="inlineStr">
        <is>
          <t>https://africanmarketingconfederation.org/sub-committees/</t>
        </is>
      </c>
      <c r="B14" s="24" t="n"/>
      <c r="C14" s="24" t="n"/>
      <c r="D14" s="24" t="n"/>
      <c r="E14" s="24" t="n"/>
      <c r="F14" s="24" t="n"/>
      <c r="G14" s="24" t="n"/>
      <c r="H14" s="24" t="n"/>
      <c r="I14" s="24" t="n"/>
      <c r="J14" s="24" t="n"/>
      <c r="K14" s="24" t="n"/>
      <c r="L14">
        <f>IFERROR(HYPERLINK("#Main!A"&amp;MATCH(A14,Main!A:A,0),"Open"),HYPERLINK("#Main!A1","Open"))</f>
        <v/>
      </c>
    </row>
    <row r="15" ht="30" customHeight="1">
      <c r="A15" s="33" t="inlineStr">
        <is>
          <t>https://africanmarketingconfederation.org/members/</t>
        </is>
      </c>
      <c r="B15" s="6" t="n"/>
      <c r="C15" s="6" t="n"/>
      <c r="D15" s="6" t="n"/>
      <c r="E15" s="6" t="n"/>
      <c r="F15" s="6" t="n"/>
      <c r="G15" s="6" t="n"/>
      <c r="H15" s="6" t="n"/>
      <c r="I15" s="6" t="n"/>
      <c r="J15" s="6" t="n"/>
      <c r="K15" s="6" t="n"/>
      <c r="L15">
        <f>IFERROR(HYPERLINK("#Main!A"&amp;MATCH(A15,Main!A:A,0),"Open"),HYPERLINK("#Main!A1","Open"))</f>
        <v/>
      </c>
    </row>
    <row r="16" ht="30" customHeight="1">
      <c r="A16" s="33" t="inlineStr">
        <is>
          <t>https://africanmarketingconfederation.org/about-us/</t>
        </is>
      </c>
      <c r="B16" s="24" t="n"/>
      <c r="C16" s="24" t="n"/>
      <c r="D16" s="24" t="n"/>
      <c r="E16" s="24" t="n"/>
      <c r="F16" s="24" t="n"/>
      <c r="G16" s="24" t="n"/>
      <c r="H16" s="24" t="n"/>
      <c r="I16" s="24" t="n"/>
      <c r="J16" s="24" t="n"/>
      <c r="K16" s="24" t="n"/>
      <c r="L16">
        <f>IFERROR(HYPERLINK("#Main!A"&amp;MATCH(A16,Main!A:A,0),"Open"),HYPERLINK("#Main!A1","Open"))</f>
        <v/>
      </c>
    </row>
    <row r="17" ht="30" customHeight="1">
      <c r="A17" s="33" t="inlineStr">
        <is>
          <t>https://africanmarketingconfederation.org/awards-2026-1/</t>
        </is>
      </c>
      <c r="B17" s="6" t="n"/>
      <c r="C17" s="6" t="n"/>
      <c r="D17" s="6" t="n"/>
      <c r="E17" s="6" t="n"/>
      <c r="F17" s="6" t="n"/>
      <c r="G17" s="6" t="n"/>
      <c r="H17" s="6" t="n"/>
      <c r="I17" s="6" t="n"/>
      <c r="J17" s="6" t="n"/>
      <c r="K17" s="6" t="n"/>
      <c r="L17">
        <f>IFERROR(HYPERLINK("#Main!A"&amp;MATCH(A17,Main!A:A,0),"Open"),HYPERLINK("#Main!A1","Open"))</f>
        <v/>
      </c>
    </row>
    <row r="18" ht="30" customHeight="1">
      <c r="A18" s="33" t="inlineStr">
        <is>
          <t>https://africanmarketingconfederation.org/awards-2026-test/</t>
        </is>
      </c>
      <c r="B18" s="24" t="n"/>
      <c r="C18" s="24" t="n"/>
      <c r="D18" s="24" t="n"/>
      <c r="E18" s="24" t="n"/>
      <c r="F18" s="24" t="n"/>
      <c r="G18" s="24" t="n"/>
      <c r="H18" s="24" t="n"/>
      <c r="I18" s="24" t="n"/>
      <c r="J18" s="24" t="n"/>
      <c r="K18" s="24" t="n"/>
      <c r="L18">
        <f>IFERROR(HYPERLINK("#Main!A"&amp;MATCH(A18,Main!A:A,0),"Open"),HYPERLINK("#Main!A1","Open"))</f>
        <v/>
      </c>
    </row>
    <row r="19" ht="30" customHeight="1">
      <c r="A19" s="33" t="inlineStr">
        <is>
          <t>https://africanmarketingconfederation.org/amc-conference-2026-awards-nominations-thank-you/</t>
        </is>
      </c>
      <c r="B19" s="6" t="n"/>
      <c r="C19" s="6" t="n"/>
      <c r="D19" s="6" t="n"/>
      <c r="E19" s="6" t="n"/>
      <c r="F19" s="6" t="n"/>
      <c r="G19" s="6" t="n"/>
      <c r="H19" s="6" t="n"/>
      <c r="I19" s="6" t="n"/>
      <c r="J19" s="6" t="n"/>
      <c r="K19" s="6" t="n"/>
      <c r="L19">
        <f>IFERROR(HYPERLINK("#Main!A"&amp;MATCH(A19,Main!A:A,0),"Open"),HYPERLINK("#Main!A1","Open"))</f>
        <v/>
      </c>
    </row>
    <row r="20" ht="30" customHeight="1">
      <c r="A20" s="33" t="inlineStr">
        <is>
          <t>https://africanmarketingconfederation.org/speakers-2025/</t>
        </is>
      </c>
      <c r="B20" s="24" t="n"/>
      <c r="C20" s="24" t="n"/>
      <c r="D20" s="24" t="n"/>
      <c r="E20" s="24" t="n"/>
      <c r="F20" s="24" t="n"/>
      <c r="G20" s="24" t="n"/>
      <c r="H20" s="24" t="n"/>
      <c r="I20" s="24" t="n"/>
      <c r="J20" s="24" t="n"/>
      <c r="K20" s="24" t="n"/>
      <c r="L20">
        <f>IFERROR(HYPERLINK("#Main!A"&amp;MATCH(A20,Main!A:A,0),"Open"),HYPERLINK("#Main!A1","Open"))</f>
        <v/>
      </c>
    </row>
    <row r="21" ht="30" customHeight="1">
      <c r="A21" s="33" t="inlineStr">
        <is>
          <t>https://africanmarketingconfederation.org/amc-conference-2026-zambia-thank-you/</t>
        </is>
      </c>
      <c r="B21" s="6" t="n"/>
      <c r="C21" s="6" t="n"/>
      <c r="D21" s="6" t="n"/>
      <c r="E21" s="6" t="n"/>
      <c r="F21" s="6" t="n"/>
      <c r="G21" s="6" t="n"/>
      <c r="H21" s="6" t="n"/>
      <c r="I21" s="6" t="n"/>
      <c r="J21" s="6" t="n"/>
      <c r="K21" s="6" t="n"/>
      <c r="L21">
        <f>IFERROR(HYPERLINK("#Main!A"&amp;MATCH(A21,Main!A:A,0),"Open"),HYPERLINK("#Main!A1","Open"))</f>
        <v/>
      </c>
    </row>
    <row r="22" ht="30" customHeight="1">
      <c r="A22" s="33" t="inlineStr">
        <is>
          <t>https://africanmarketingconfederation.org/amc-launch-event-zambia-thank-you-2026/</t>
        </is>
      </c>
      <c r="B22" s="24" t="n"/>
      <c r="C22" s="24" t="n"/>
      <c r="D22" s="24" t="n"/>
      <c r="E22" s="24" t="n"/>
      <c r="F22" s="24" t="n"/>
      <c r="G22" s="24" t="n"/>
      <c r="H22" s="24" t="n"/>
      <c r="I22" s="24" t="n"/>
      <c r="J22" s="24" t="n"/>
      <c r="K22" s="24" t="n"/>
      <c r="L22">
        <f>IFERROR(HYPERLINK("#Main!A"&amp;MATCH(A22,Main!A:A,0),"Open"),HYPERLINK("#Main!A1","Open"))</f>
        <v/>
      </c>
    </row>
    <row r="23" ht="30" customHeight="1">
      <c r="A23" s="33" t="inlineStr">
        <is>
          <t>https://africanmarketingconfederation.org/amc-marketing-conference-2024/awards-2025/</t>
        </is>
      </c>
      <c r="B23" s="6" t="n"/>
      <c r="C23" s="6" t="n"/>
      <c r="D23" s="6" t="n"/>
      <c r="E23" s="6" t="n"/>
      <c r="F23" s="6" t="n"/>
      <c r="G23" s="6" t="n"/>
      <c r="H23" s="6" t="n"/>
      <c r="I23" s="6" t="n"/>
      <c r="J23" s="6" t="n"/>
      <c r="K23" s="6" t="n"/>
      <c r="L23">
        <f>IFERROR(HYPERLINK("#Main!A"&amp;MATCH(A23,Main!A:A,0),"Open"),HYPERLINK("#Main!A1","Open"))</f>
        <v/>
      </c>
    </row>
    <row r="24" ht="30" customHeight="1">
      <c r="A24" s="33" t="inlineStr">
        <is>
          <t>https://africanmarketingconfederation.org/amc-conference-2025-highlights/</t>
        </is>
      </c>
      <c r="B24" s="24" t="n"/>
      <c r="C24" s="24" t="n"/>
      <c r="D24" s="24" t="n"/>
      <c r="E24" s="24" t="n"/>
      <c r="F24" s="24" t="n"/>
      <c r="G24" s="24" t="n"/>
      <c r="H24" s="24" t="n"/>
      <c r="I24" s="24" t="n"/>
      <c r="J24" s="24" t="n"/>
      <c r="K24" s="24" t="n"/>
      <c r="L24">
        <f>IFERROR(HYPERLINK("#Main!A"&amp;MATCH(A24,Main!A:A,0),"Open"),HYPERLINK("#Main!A1","Open"))</f>
        <v/>
      </c>
    </row>
    <row r="25" ht="30" customHeight="1">
      <c r="A25" s="33" t="inlineStr">
        <is>
          <t>https://africanmarketingconfederation.org/amc-conference-2022/</t>
        </is>
      </c>
      <c r="B25" s="6" t="n"/>
      <c r="C25" s="6" t="n"/>
      <c r="D25" s="6" t="n"/>
      <c r="E25" s="6" t="n"/>
      <c r="F25" s="6" t="n"/>
      <c r="G25" s="6" t="n"/>
      <c r="H25" s="6" t="n"/>
      <c r="I25" s="6" t="n"/>
      <c r="J25" s="6" t="n"/>
      <c r="K25" s="6" t="n"/>
      <c r="L25">
        <f>IFERROR(HYPERLINK("#Main!A"&amp;MATCH(A25,Main!A:A,0),"Open"),HYPERLINK("#Main!A1","Open"))</f>
        <v/>
      </c>
    </row>
    <row r="26" ht="30" customHeight="1">
      <c r="A26" s="33" t="inlineStr">
        <is>
          <t>https://africanmarketingconfederation.org/amc-conference-2023/gallery/</t>
        </is>
      </c>
      <c r="B26" s="24" t="n"/>
      <c r="C26" s="24" t="n"/>
      <c r="D26" s="24" t="n"/>
      <c r="E26" s="24" t="n"/>
      <c r="F26" s="24" t="n"/>
      <c r="G26" s="24" t="n"/>
      <c r="H26" s="24" t="n"/>
      <c r="I26" s="24" t="n"/>
      <c r="J26" s="24" t="n"/>
      <c r="K26" s="24" t="n"/>
      <c r="L26">
        <f>IFERROR(HYPERLINK("#Main!A"&amp;MATCH(A26,Main!A:A,0),"Open"),HYPERLINK("#Main!A1","Open"))</f>
        <v/>
      </c>
    </row>
    <row r="27" ht="30" customHeight="1">
      <c r="A27" s="33" t="inlineStr">
        <is>
          <t>https://africanmarketingconfederation.org/conference-registrations-2024/</t>
        </is>
      </c>
      <c r="B27" s="6" t="n"/>
      <c r="C27" s="6" t="n"/>
      <c r="D27" s="6" t="n"/>
      <c r="E27" s="6" t="n"/>
      <c r="F27" s="6" t="n"/>
      <c r="G27" s="6" t="n"/>
      <c r="H27" s="6" t="n"/>
      <c r="I27" s="6" t="n"/>
      <c r="J27" s="6" t="n"/>
      <c r="K27" s="6" t="n"/>
      <c r="L27">
        <f>IFERROR(HYPERLINK("#Main!A"&amp;MATCH(A27,Main!A:A,0),"Open"),HYPERLINK("#Main!A1","Open"))</f>
        <v/>
      </c>
    </row>
    <row r="28" ht="30" customHeight="1">
      <c r="A28" s="33" t="inlineStr">
        <is>
          <t>https://africanmarketingconfederation.org/elementor-31820/</t>
        </is>
      </c>
      <c r="B28" s="24" t="n"/>
      <c r="C28" s="24" t="n"/>
      <c r="D28" s="24" t="n"/>
      <c r="E28" s="24" t="n"/>
      <c r="F28" s="24" t="n"/>
      <c r="G28" s="24" t="n"/>
      <c r="H28" s="24" t="n"/>
      <c r="I28" s="24" t="n"/>
      <c r="J28" s="24" t="n"/>
      <c r="K28" s="24" t="n"/>
      <c r="L28">
        <f>IFERROR(HYPERLINK("#Main!A"&amp;MATCH(A28,Main!A:A,0),"Open"),HYPERLINK("#Main!A1","Open"))</f>
        <v/>
      </c>
    </row>
    <row r="29" ht="30" customHeight="1">
      <c r="A29" s="33" t="inlineStr">
        <is>
          <t>https://africanmarketingconfederation.org/amc-conference-2024-recap/</t>
        </is>
      </c>
      <c r="B29" s="6" t="n"/>
      <c r="C29" s="6" t="n"/>
      <c r="D29" s="6" t="n"/>
      <c r="E29" s="6" t="n"/>
      <c r="F29" s="6" t="n"/>
      <c r="G29" s="6" t="n"/>
      <c r="H29" s="6" t="n"/>
      <c r="I29" s="6" t="n"/>
      <c r="J29" s="6" t="n"/>
      <c r="K29" s="6" t="n"/>
      <c r="L29">
        <f>IFERROR(HYPERLINK("#Main!A"&amp;MATCH(A29,Main!A:A,0),"Open"),HYPERLINK("#Main!A1","Open"))</f>
        <v/>
      </c>
    </row>
    <row r="30" ht="30" customHeight="1">
      <c r="A30" s="33" t="inlineStr">
        <is>
          <t>https://africanmarketingconfederation.org/amc-marketing-conference-2024/amc-programme-2025/</t>
        </is>
      </c>
      <c r="B30" s="24" t="n"/>
      <c r="C30" s="24" t="n"/>
      <c r="D30" s="24" t="n"/>
      <c r="E30" s="24" t="n"/>
      <c r="F30" s="24" t="n"/>
      <c r="G30" s="24" t="n"/>
      <c r="H30" s="24" t="n"/>
      <c r="I30" s="24" t="n"/>
      <c r="J30" s="24" t="n"/>
      <c r="K30" s="24" t="n"/>
      <c r="L30">
        <f>IFERROR(HYPERLINK("#Main!A"&amp;MATCH(A30,Main!A:A,0),"Open"),HYPERLINK("#Main!A1","Open"))</f>
        <v/>
      </c>
    </row>
    <row r="31" ht="30" customHeight="1">
      <c r="A31" s="33" t="inlineStr">
        <is>
          <t>https://africanmarketingconfederation.org/amc-conference-2025/</t>
        </is>
      </c>
      <c r="B31" s="6" t="n"/>
      <c r="C31" s="6" t="n"/>
      <c r="D31" s="6" t="n"/>
      <c r="E31" s="6" t="n"/>
      <c r="F31" s="6" t="n"/>
      <c r="G31" s="6" t="n"/>
      <c r="H31" s="6" t="n"/>
      <c r="I31" s="6" t="n"/>
      <c r="J31" s="6" t="n"/>
      <c r="K31" s="6" t="n"/>
      <c r="L31">
        <f>IFERROR(HYPERLINK("#Main!A"&amp;MATCH(A31,Main!A:A,0),"Open"),HYPERLINK("#Main!A1","Open"))</f>
        <v/>
      </c>
    </row>
    <row r="32" ht="30" customHeight="1">
      <c r="A32" s="33" t="inlineStr">
        <is>
          <t>https://africanmarketingconfederation.org/amc-sponsors-2025/</t>
        </is>
      </c>
      <c r="B32" s="24" t="n"/>
      <c r="C32" s="24" t="n"/>
      <c r="D32" s="24" t="n"/>
      <c r="E32" s="24" t="n"/>
      <c r="F32" s="24" t="n"/>
      <c r="G32" s="24" t="n"/>
      <c r="H32" s="24" t="n"/>
      <c r="I32" s="24" t="n"/>
      <c r="J32" s="24" t="n"/>
      <c r="K32" s="24" t="n"/>
      <c r="L32">
        <f>IFERROR(HYPERLINK("#Main!A"&amp;MATCH(A32,Main!A:A,0),"Open"),HYPERLINK("#Main!A1","Open"))</f>
        <v/>
      </c>
    </row>
    <row r="33" ht="30" customHeight="1">
      <c r="A33" s="33" t="inlineStr">
        <is>
          <t>https://africanmarketingconfederation.org/amc-conference-2022-prospectus/</t>
        </is>
      </c>
      <c r="B33" s="6" t="n"/>
      <c r="C33" s="6" t="n"/>
      <c r="D33" s="6" t="n"/>
      <c r="E33" s="6" t="n"/>
      <c r="F33" s="6" t="n"/>
      <c r="G33" s="6" t="n"/>
      <c r="H33" s="6" t="n"/>
      <c r="I33" s="6" t="n"/>
      <c r="J33" s="6" t="n"/>
      <c r="K33" s="6" t="n"/>
      <c r="L33">
        <f>IFERROR(HYPERLINK("#Main!A"&amp;MATCH(A33,Main!A:A,0),"Open"),HYPERLINK("#Main!A1","Open"))</f>
        <v/>
      </c>
    </row>
    <row r="34" ht="30" customHeight="1">
      <c r="A34" s="33" t="inlineStr">
        <is>
          <t>https://africanmarketingconfederation.org/test-payment-gate/</t>
        </is>
      </c>
      <c r="B34" s="24" t="n"/>
      <c r="C34" s="24" t="n"/>
      <c r="D34" s="24" t="n"/>
      <c r="E34" s="24" t="n"/>
      <c r="F34" s="24" t="n"/>
      <c r="G34" s="24" t="n"/>
      <c r="H34" s="24" t="n"/>
      <c r="I34" s="24" t="n"/>
      <c r="J34" s="24" t="n"/>
      <c r="K34" s="24" t="n"/>
      <c r="L34">
        <f>IFERROR(HYPERLINK("#Main!A"&amp;MATCH(A34,Main!A:A,0),"Open"),HYPERLINK("#Main!A1","Open"))</f>
        <v/>
      </c>
    </row>
    <row r="35" ht="30" customHeight="1">
      <c r="A35" s="33" t="inlineStr">
        <is>
          <t>https://africanmarketingconfederation.org/amc-marketing-conference-2024/amc-preregister-2025/</t>
        </is>
      </c>
      <c r="B35" s="6" t="n"/>
      <c r="C35" s="6" t="n"/>
      <c r="D35" s="6" t="n"/>
      <c r="E35" s="6" t="n"/>
      <c r="F35" s="6" t="n"/>
      <c r="G35" s="6" t="n"/>
      <c r="H35" s="6" t="n"/>
      <c r="I35" s="6" t="n"/>
      <c r="J35" s="6" t="n"/>
      <c r="K35" s="6" t="n"/>
      <c r="L35">
        <f>IFERROR(HYPERLINK("#Main!A"&amp;MATCH(A35,Main!A:A,0),"Open"),HYPERLINK("#Main!A1","Open"))</f>
        <v/>
      </c>
    </row>
    <row r="36" ht="30" customHeight="1">
      <c r="A36" s="33" t="inlineStr">
        <is>
          <t>https://africanmarketingconfederation.org/conference-faq-2025/</t>
        </is>
      </c>
      <c r="B36" s="24" t="n"/>
      <c r="C36" s="24" t="n"/>
      <c r="D36" s="24" t="n"/>
      <c r="E36" s="24" t="n"/>
      <c r="F36" s="24" t="n"/>
      <c r="G36" s="24" t="n"/>
      <c r="H36" s="24" t="n"/>
      <c r="I36" s="24" t="n"/>
      <c r="J36" s="24" t="n"/>
      <c r="K36" s="24" t="n"/>
      <c r="L36">
        <f>IFERROR(HYPERLINK("#Main!A"&amp;MATCH(A36,Main!A:A,0),"Open"),HYPERLINK("#Main!A1","Open"))</f>
        <v/>
      </c>
    </row>
    <row r="37" ht="45" customHeight="1">
      <c r="A37" s="33" t="inlineStr">
        <is>
          <t>https://africanmarketingconfederation.org/amc-marketing-conference-2024/amc-conference-2025-ghana-sponsors/</t>
        </is>
      </c>
      <c r="B37" s="6" t="n"/>
      <c r="C37" s="6" t="n"/>
      <c r="D37" s="6" t="n"/>
      <c r="E37" s="6" t="n"/>
      <c r="F37" s="6" t="n"/>
      <c r="G37" s="6" t="n"/>
      <c r="H37" s="6" t="n"/>
      <c r="I37" s="6" t="n"/>
      <c r="J37" s="6" t="n"/>
      <c r="K37" s="6" t="n"/>
      <c r="L37">
        <f>IFERROR(HYPERLINK("#Main!A"&amp;MATCH(A37,Main!A:A,0),"Open"),HYPERLINK("#Main!A1","Open"))</f>
        <v/>
      </c>
    </row>
    <row r="38" ht="30" customHeight="1">
      <c r="A38" s="33" t="inlineStr">
        <is>
          <t>https://africanmarketingconfederation.org/amc-forum-payments/</t>
        </is>
      </c>
      <c r="B38" s="24" t="n"/>
      <c r="C38" s="24" t="n"/>
      <c r="D38" s="24" t="n"/>
      <c r="E38" s="24" t="n"/>
      <c r="F38" s="24" t="n"/>
      <c r="G38" s="24" t="n"/>
      <c r="H38" s="24" t="n"/>
      <c r="I38" s="24" t="n"/>
      <c r="J38" s="24" t="n"/>
      <c r="K38" s="24" t="n"/>
      <c r="L38">
        <f>IFERROR(HYPERLINK("#Main!A"&amp;MATCH(A38,Main!A:A,0),"Open"),HYPERLINK("#Main!A1","Open"))</f>
        <v/>
      </c>
    </row>
    <row r="39" ht="30" customHeight="1">
      <c r="A39" s="33" t="inlineStr">
        <is>
          <t>https://africanmarketingconfederation.org/amc-marketing-conference-2024/amc-launch-event-2025/</t>
        </is>
      </c>
      <c r="B39" s="6" t="n"/>
      <c r="C39" s="6" t="n"/>
      <c r="D39" s="6" t="n"/>
      <c r="E39" s="6" t="n"/>
      <c r="F39" s="6" t="n"/>
      <c r="G39" s="6" t="n"/>
      <c r="H39" s="6" t="n"/>
      <c r="I39" s="6" t="n"/>
      <c r="J39" s="6" t="n"/>
      <c r="K39" s="6" t="n"/>
      <c r="L39">
        <f>IFERROR(HYPERLINK("#Main!A"&amp;MATCH(A39,Main!A:A,0),"Open"),HYPERLINK("#Main!A1","Open"))</f>
        <v/>
      </c>
    </row>
    <row r="40" ht="30" customHeight="1">
      <c r="A40" s="33" t="inlineStr">
        <is>
          <t>https://africanmarketingconfederation.org/checkout/</t>
        </is>
      </c>
      <c r="B40" s="24" t="n"/>
      <c r="C40" s="24" t="n"/>
      <c r="D40" s="24" t="n"/>
      <c r="E40" s="24" t="n"/>
      <c r="F40" s="24" t="n"/>
      <c r="G40" s="24" t="n"/>
      <c r="H40" s="24" t="n"/>
      <c r="I40" s="24" t="n"/>
      <c r="J40" s="24" t="n"/>
      <c r="K40" s="24" t="n"/>
      <c r="L40">
        <f>IFERROR(HYPERLINK("#Main!A"&amp;MATCH(A40,Main!A:A,0),"Open"),HYPERLINK("#Main!A1","Open"))</f>
        <v/>
      </c>
    </row>
    <row r="41" ht="30" customHeight="1">
      <c r="A41" s="33" t="inlineStr">
        <is>
          <t>https://africanmarketingconfederation.org/amc-awards-2024/</t>
        </is>
      </c>
      <c r="B41" s="6" t="n"/>
      <c r="C41" s="6" t="n"/>
      <c r="D41" s="6" t="n"/>
      <c r="E41" s="6" t="n"/>
      <c r="F41" s="6" t="n"/>
      <c r="G41" s="6" t="n"/>
      <c r="H41" s="6" t="n"/>
      <c r="I41" s="6" t="n"/>
      <c r="J41" s="6" t="n"/>
      <c r="K41" s="6" t="n"/>
      <c r="L41">
        <f>IFERROR(HYPERLINK("#Main!A"&amp;MATCH(A41,Main!A:A,0),"Open"),HYPERLINK("#Main!A1","Open"))</f>
        <v/>
      </c>
    </row>
    <row r="42" ht="30" customHeight="1">
      <c r="A42" s="33" t="inlineStr">
        <is>
          <t>https://africanmarketingconfederation.org/amc-conference-2023/</t>
        </is>
      </c>
      <c r="B42" s="24" t="n"/>
      <c r="C42" s="24" t="n"/>
      <c r="D42" s="24" t="n"/>
      <c r="E42" s="24" t="n"/>
      <c r="F42" s="24" t="n"/>
      <c r="G42" s="24" t="n"/>
      <c r="H42" s="24" t="n"/>
      <c r="I42" s="24" t="n"/>
      <c r="J42" s="24" t="n"/>
      <c r="K42" s="24" t="n"/>
      <c r="L42">
        <f>IFERROR(HYPERLINK("#Main!A"&amp;MATCH(A42,Main!A:A,0),"Open"),HYPERLINK("#Main!A1","Open"))</f>
        <v/>
      </c>
    </row>
    <row r="43" ht="30" customHeight="1">
      <c r="A43" s="33" t="inlineStr">
        <is>
          <t>https://africanmarketingconfederation.org/amc-forum-mombasa/</t>
        </is>
      </c>
      <c r="B43" s="6" t="n"/>
      <c r="C43" s="6" t="n"/>
      <c r="D43" s="6" t="n"/>
      <c r="E43" s="6" t="n"/>
      <c r="F43" s="6" t="n"/>
      <c r="G43" s="6" t="n"/>
      <c r="H43" s="6" t="n"/>
      <c r="I43" s="6" t="n"/>
      <c r="J43" s="6" t="n"/>
      <c r="K43" s="6" t="n"/>
      <c r="L43">
        <f>IFERROR(HYPERLINK("#Main!A"&amp;MATCH(A43,Main!A:A,0),"Open"),HYPERLINK("#Main!A1","Open"))</f>
        <v/>
      </c>
    </row>
    <row r="44" ht="45" customHeight="1">
      <c r="A44" s="33" t="inlineStr">
        <is>
          <t>https://africanmarketingconfederation.org/amc-marketing-conference-2024/amc-speakers-presentations-2024/</t>
        </is>
      </c>
      <c r="B44" s="24" t="n"/>
      <c r="C44" s="24" t="n"/>
      <c r="D44" s="24" t="n"/>
      <c r="E44" s="24" t="n"/>
      <c r="F44" s="24" t="n"/>
      <c r="G44" s="24" t="n"/>
      <c r="H44" s="24" t="n"/>
      <c r="I44" s="24" t="n"/>
      <c r="J44" s="24" t="n"/>
      <c r="K44" s="24" t="n"/>
      <c r="L44">
        <f>IFERROR(HYPERLINK("#Main!A"&amp;MATCH(A44,Main!A:A,0),"Open"),HYPERLINK("#Main!A1","Open"))</f>
        <v/>
      </c>
    </row>
    <row r="45" ht="30" customHeight="1">
      <c r="A45" s="33" t="inlineStr">
        <is>
          <t>https://africanmarketingconfederation.org/amc-marketing-conference-2024/testimony-thank-you-page/</t>
        </is>
      </c>
      <c r="B45" s="6" t="n"/>
      <c r="C45" s="6" t="n"/>
      <c r="D45" s="6" t="n"/>
      <c r="E45" s="6" t="n"/>
      <c r="F45" s="6" t="n"/>
      <c r="G45" s="6" t="n"/>
      <c r="H45" s="6" t="n"/>
      <c r="I45" s="6" t="n"/>
      <c r="J45" s="6" t="n"/>
      <c r="K45" s="6" t="n"/>
      <c r="L45">
        <f>IFERROR(HYPERLINK("#Main!A"&amp;MATCH(A45,Main!A:A,0),"Open"),HYPERLINK("#Main!A1","Open"))</f>
        <v/>
      </c>
    </row>
    <row r="46" ht="30" customHeight="1">
      <c r="A46" s="33" t="inlineStr">
        <is>
          <t>https://africanmarketingconfederation.org/amc-sign-up-now-form-2025/</t>
        </is>
      </c>
      <c r="B46" s="24" t="n"/>
      <c r="C46" s="24" t="n"/>
      <c r="D46" s="24" t="n"/>
      <c r="E46" s="24" t="n"/>
      <c r="F46" s="24" t="n"/>
      <c r="G46" s="24" t="n"/>
      <c r="H46" s="24" t="n"/>
      <c r="I46" s="24" t="n"/>
      <c r="J46" s="24" t="n"/>
      <c r="K46" s="24" t="n"/>
      <c r="L46">
        <f>IFERROR(HYPERLINK("#Main!A"&amp;MATCH(A46,Main!A:A,0),"Open"),HYPERLINK("#Main!A1","Open"))</f>
        <v/>
      </c>
    </row>
    <row r="47" ht="30" customHeight="1">
      <c r="A47" s="33" t="inlineStr">
        <is>
          <t>https://africanmarketingconfederation.org/amc-marketing-conference-2024/</t>
        </is>
      </c>
      <c r="B47" s="6" t="n"/>
      <c r="C47" s="6" t="n"/>
      <c r="D47" s="6" t="n"/>
      <c r="E47" s="6" t="n"/>
      <c r="F47" s="6" t="n"/>
      <c r="G47" s="6" t="n"/>
      <c r="H47" s="6" t="n"/>
      <c r="I47" s="6" t="n"/>
      <c r="J47" s="6" t="n"/>
      <c r="K47" s="6" t="n"/>
      <c r="L47">
        <f>IFERROR(HYPERLINK("#Main!A"&amp;MATCH(A47,Main!A:A,0),"Open"),HYPERLINK("#Main!A1","Open"))</f>
        <v/>
      </c>
    </row>
    <row r="48" ht="30" customHeight="1">
      <c r="A48" s="33" t="inlineStr">
        <is>
          <t>https://africanmarketingconfederation.org/amc-testimony-page-2024/</t>
        </is>
      </c>
      <c r="B48" s="24" t="n"/>
      <c r="C48" s="24" t="n"/>
      <c r="D48" s="24" t="n"/>
      <c r="E48" s="24" t="n"/>
      <c r="F48" s="24" t="n"/>
      <c r="G48" s="24" t="n"/>
      <c r="H48" s="24" t="n"/>
      <c r="I48" s="24" t="n"/>
      <c r="J48" s="24" t="n"/>
      <c r="K48" s="24" t="n"/>
      <c r="L48">
        <f>IFERROR(HYPERLINK("#Main!A"&amp;MATCH(A48,Main!A:A,0),"Open"),HYPERLINK("#Main!A1","Open"))</f>
        <v/>
      </c>
    </row>
    <row r="49" ht="30" customHeight="1">
      <c r="A49" s="33" t="inlineStr">
        <is>
          <t>https://africanmarketingconfederation.org/thank-you-for-registering-2024-registrations/</t>
        </is>
      </c>
      <c r="B49" s="6" t="n"/>
      <c r="C49" s="6" t="n"/>
      <c r="D49" s="6" t="n"/>
      <c r="E49" s="6" t="n"/>
      <c r="F49" s="6" t="n"/>
      <c r="G49" s="6" t="n"/>
      <c r="H49" s="6" t="n"/>
      <c r="I49" s="6" t="n"/>
      <c r="J49" s="6" t="n"/>
      <c r="K49" s="6" t="n"/>
      <c r="L49">
        <f>IFERROR(HYPERLINK("#Main!A"&amp;MATCH(A49,Main!A:A,0),"Open"),HYPERLINK("#Main!A1","Open"))</f>
        <v/>
      </c>
    </row>
    <row r="50" ht="30" customHeight="1">
      <c r="A50" s="33" t="inlineStr">
        <is>
          <t>https://africanmarketingconfederation.org/download-prospectus-2024/</t>
        </is>
      </c>
      <c r="B50" s="24" t="n"/>
      <c r="C50" s="24" t="n"/>
      <c r="D50" s="24" t="n"/>
      <c r="E50" s="24" t="n"/>
      <c r="F50" s="24" t="n"/>
      <c r="G50" s="24" t="n"/>
      <c r="H50" s="24" t="n"/>
      <c r="I50" s="24" t="n"/>
      <c r="J50" s="24" t="n"/>
      <c r="K50" s="24" t="n"/>
      <c r="L50">
        <f>IFERROR(HYPERLINK("#Main!A"&amp;MATCH(A50,Main!A:A,0),"Open"),HYPERLINK("#Main!A1","Open"))</f>
        <v/>
      </c>
    </row>
    <row r="51" ht="30" customHeight="1">
      <c r="A51" s="33" t="inlineStr">
        <is>
          <t>https://africanmarketingconfederation.org/thank-you-for-registering-2024-registrations-kenya/</t>
        </is>
      </c>
      <c r="B51" s="6" t="n"/>
      <c r="C51" s="6" t="n"/>
      <c r="D51" s="6" t="n"/>
      <c r="E51" s="6" t="n"/>
      <c r="F51" s="6" t="n"/>
      <c r="G51" s="6" t="n"/>
      <c r="H51" s="6" t="n"/>
      <c r="I51" s="6" t="n"/>
      <c r="J51" s="6" t="n"/>
      <c r="K51" s="6" t="n"/>
      <c r="L51">
        <f>IFERROR(HYPERLINK("#Main!A"&amp;MATCH(A51,Main!A:A,0),"Open"),HYPERLINK("#Main!A1","Open"))</f>
        <v/>
      </c>
    </row>
    <row r="52" ht="30" customHeight="1">
      <c r="A52" s="33" t="inlineStr">
        <is>
          <t>https://africanmarketingconfederation.org/subscribe/</t>
        </is>
      </c>
      <c r="B52" s="24" t="n"/>
      <c r="C52" s="24" t="n"/>
      <c r="D52" s="24" t="n"/>
      <c r="E52" s="24" t="n"/>
      <c r="F52" s="24" t="n"/>
      <c r="G52" s="24" t="n"/>
      <c r="H52" s="24" t="n"/>
      <c r="I52" s="24" t="n"/>
      <c r="J52" s="24" t="n"/>
      <c r="K52" s="24" t="n"/>
      <c r="L52">
        <f>IFERROR(HYPERLINK("#Main!A"&amp;MATCH(A52,Main!A:A,0),"Open"),HYPERLINK("#Main!A1","Open"))</f>
        <v/>
      </c>
    </row>
    <row r="53" ht="30" customHeight="1">
      <c r="A53" s="33" t="inlineStr">
        <is>
          <t>https://africanmarketingconfederation.org/amc-marketing-conference-2024/speakers-2024/</t>
        </is>
      </c>
      <c r="B53" s="6" t="n"/>
      <c r="C53" s="6" t="n"/>
      <c r="D53" s="6" t="n"/>
      <c r="E53" s="6" t="n"/>
      <c r="F53" s="6" t="n"/>
      <c r="G53" s="6" t="n"/>
      <c r="H53" s="6" t="n"/>
      <c r="I53" s="6" t="n"/>
      <c r="J53" s="6" t="n"/>
      <c r="K53" s="6" t="n"/>
      <c r="L53">
        <f>IFERROR(HYPERLINK("#Main!A"&amp;MATCH(A53,Main!A:A,0),"Open"),HYPERLINK("#Main!A1","Open"))</f>
        <v/>
      </c>
    </row>
    <row r="54" ht="30" customHeight="1">
      <c r="A54" s="33" t="inlineStr">
        <is>
          <t>https://africanmarketingconfederation.org/amc-conference-sponsors/</t>
        </is>
      </c>
      <c r="B54" s="24" t="n"/>
      <c r="C54" s="24" t="n"/>
      <c r="D54" s="24" t="n"/>
      <c r="E54" s="24" t="n"/>
      <c r="F54" s="24" t="n"/>
      <c r="G54" s="24" t="n"/>
      <c r="H54" s="24" t="n"/>
      <c r="I54" s="24" t="n"/>
      <c r="J54" s="24" t="n"/>
      <c r="K54" s="24" t="n"/>
      <c r="L54">
        <f>IFERROR(HYPERLINK("#Main!A"&amp;MATCH(A54,Main!A:A,0),"Open"),HYPERLINK("#Main!A1","Open"))</f>
        <v/>
      </c>
    </row>
    <row r="55" ht="30" customHeight="1">
      <c r="A55" s="33" t="inlineStr">
        <is>
          <t>https://africanmarketingconfederation.org/elementor-20341/</t>
        </is>
      </c>
      <c r="B55" s="6" t="n"/>
      <c r="C55" s="6" t="n"/>
      <c r="D55" s="6" t="n"/>
      <c r="E55" s="6" t="n"/>
      <c r="F55" s="6" t="n"/>
      <c r="G55" s="6" t="n"/>
      <c r="H55" s="6" t="n"/>
      <c r="I55" s="6" t="n"/>
      <c r="J55" s="6" t="n"/>
      <c r="K55" s="6" t="n"/>
      <c r="L55">
        <f>IFERROR(HYPERLINK("#Main!A"&amp;MATCH(A55,Main!A:A,0),"Open"),HYPERLINK("#Main!A1","Open"))</f>
        <v/>
      </c>
    </row>
    <row r="56" ht="30" customHeight="1">
      <c r="A56" s="33" t="inlineStr">
        <is>
          <t>https://africanmarketingconfederation.org/chartered-marketer-africa-final-submission-fee/</t>
        </is>
      </c>
      <c r="B56" s="24" t="n"/>
      <c r="C56" s="24" t="n"/>
      <c r="D56" s="24" t="n"/>
      <c r="E56" s="24" t="n"/>
      <c r="F56" s="24" t="n"/>
      <c r="G56" s="24" t="n"/>
      <c r="H56" s="24" t="n"/>
      <c r="I56" s="24" t="n"/>
      <c r="J56" s="24" t="n"/>
      <c r="K56" s="24" t="n"/>
      <c r="L56">
        <f>IFERROR(HYPERLINK("#Main!A"&amp;MATCH(A56,Main!A:A,0),"Open"),HYPERLINK("#Main!A1","Open"))</f>
        <v/>
      </c>
    </row>
    <row r="57" ht="30" customHeight="1">
      <c r="A57" s="33" t="inlineStr">
        <is>
          <t>https://africanmarketingconfederation.org/chartered-marketer-africa-programme-fee/</t>
        </is>
      </c>
      <c r="B57" s="6" t="n"/>
      <c r="C57" s="6" t="n"/>
      <c r="D57" s="6" t="n"/>
      <c r="E57" s="6" t="n"/>
      <c r="F57" s="6" t="n"/>
      <c r="G57" s="6" t="n"/>
      <c r="H57" s="6" t="n"/>
      <c r="I57" s="6" t="n"/>
      <c r="J57" s="6" t="n"/>
      <c r="K57" s="6" t="n"/>
      <c r="L57">
        <f>IFERROR(HYPERLINK("#Main!A"&amp;MATCH(A57,Main!A:A,0),"Open"),HYPERLINK("#Main!A1","Open"))</f>
        <v/>
      </c>
    </row>
    <row r="58" ht="30" customHeight="1">
      <c r="A58" s="33" t="inlineStr">
        <is>
          <t>https://africanmarketingconfederation.org/download-brochure/</t>
        </is>
      </c>
      <c r="B58" s="24" t="n"/>
      <c r="C58" s="24" t="n"/>
      <c r="D58" s="24" t="n"/>
      <c r="E58" s="24" t="n"/>
      <c r="F58" s="24" t="n"/>
      <c r="G58" s="24" t="n"/>
      <c r="H58" s="24" t="n"/>
      <c r="I58" s="24" t="n"/>
      <c r="J58" s="24" t="n"/>
      <c r="K58" s="24" t="n"/>
      <c r="L58">
        <f>IFERROR(HYPERLINK("#Main!A"&amp;MATCH(A58,Main!A:A,0),"Open"),HYPERLINK("#Main!A1","Open"))</f>
        <v/>
      </c>
    </row>
    <row r="59" ht="30" customHeight="1">
      <c r="A59" s="33" t="inlineStr">
        <is>
          <t>https://africanmarketingconfederation.org/thank-you-for-the-nomination-2024/</t>
        </is>
      </c>
      <c r="B59" s="6" t="n"/>
      <c r="C59" s="6" t="n"/>
      <c r="D59" s="6" t="n"/>
      <c r="E59" s="6" t="n"/>
      <c r="F59" s="6" t="n"/>
      <c r="G59" s="6" t="n"/>
      <c r="H59" s="6" t="n"/>
      <c r="I59" s="6" t="n"/>
      <c r="J59" s="6" t="n"/>
      <c r="K59" s="6" t="n"/>
      <c r="L59">
        <f>IFERROR(HYPERLINK("#Main!A"&amp;MATCH(A59,Main!A:A,0),"Open"),HYPERLINK("#Main!A1","Open"))</f>
        <v/>
      </c>
    </row>
    <row r="60" ht="30" customHeight="1">
      <c r="A60" s="33" t="inlineStr">
        <is>
          <t>https://africanmarketingconfederation.org/thank-you-for-the-submission-2024/</t>
        </is>
      </c>
      <c r="B60" s="24" t="n"/>
      <c r="C60" s="24" t="n"/>
      <c r="D60" s="24" t="n"/>
      <c r="E60" s="24" t="n"/>
      <c r="F60" s="24" t="n"/>
      <c r="G60" s="24" t="n"/>
      <c r="H60" s="24" t="n"/>
      <c r="I60" s="24" t="n"/>
      <c r="J60" s="24" t="n"/>
      <c r="K60" s="24" t="n"/>
      <c r="L60">
        <f>IFERROR(HYPERLINK("#Main!A"&amp;MATCH(A60,Main!A:A,0),"Open"),HYPERLINK("#Main!A1","Open"))</f>
        <v/>
      </c>
    </row>
    <row r="61" ht="30" customHeight="1">
      <c r="A61" s="33" t="inlineStr">
        <is>
          <t>https://africanmarketingconfederation.org/amc-conference-2024-sponsors-packages/</t>
        </is>
      </c>
      <c r="B61" s="6" t="n"/>
      <c r="C61" s="6" t="n"/>
      <c r="D61" s="6" t="n"/>
      <c r="E61" s="6" t="n"/>
      <c r="F61" s="6" t="n"/>
      <c r="G61" s="6" t="n"/>
      <c r="H61" s="6" t="n"/>
      <c r="I61" s="6" t="n"/>
      <c r="J61" s="6" t="n"/>
      <c r="K61" s="6" t="n"/>
      <c r="L61">
        <f>IFERROR(HYPERLINK("#Main!A"&amp;MATCH(A61,Main!A:A,0),"Open"),HYPERLINK("#Main!A1","Open"))</f>
        <v/>
      </c>
    </row>
    <row r="62" ht="30" customHeight="1">
      <c r="A62" s="33" t="inlineStr">
        <is>
          <t>https://africanmarketingconfederation.org/elementor-16548/</t>
        </is>
      </c>
      <c r="B62" s="24" t="n"/>
      <c r="C62" s="24" t="n"/>
      <c r="D62" s="24" t="n"/>
      <c r="E62" s="24" t="n"/>
      <c r="F62" s="24" t="n"/>
      <c r="G62" s="24" t="n"/>
      <c r="H62" s="24" t="n"/>
      <c r="I62" s="24" t="n"/>
      <c r="J62" s="24" t="n"/>
      <c r="K62" s="24" t="n"/>
      <c r="L62">
        <f>IFERROR(HYPERLINK("#Main!A"&amp;MATCH(A62,Main!A:A,0),"Open"),HYPERLINK("#Main!A1","Open"))</f>
        <v/>
      </c>
    </row>
    <row r="63" ht="30" customHeight="1">
      <c r="A63" s="33" t="inlineStr">
        <is>
          <t>https://africanmarketingconfederation.org/amc-marketing-conference-2024/programme-2024/</t>
        </is>
      </c>
      <c r="B63" s="6" t="n"/>
      <c r="C63" s="6" t="n"/>
      <c r="D63" s="6" t="n"/>
      <c r="E63" s="6" t="n"/>
      <c r="F63" s="6" t="n"/>
      <c r="G63" s="6" t="n"/>
      <c r="H63" s="6" t="n"/>
      <c r="I63" s="6" t="n"/>
      <c r="J63" s="6" t="n"/>
      <c r="K63" s="6" t="n"/>
      <c r="L63">
        <f>IFERROR(HYPERLINK("#Main!A"&amp;MATCH(A63,Main!A:A,0),"Open"),HYPERLINK("#Main!A1","Open"))</f>
        <v/>
      </c>
    </row>
    <row r="64" ht="30" customHeight="1">
      <c r="A64" s="33" t="inlineStr">
        <is>
          <t>https://africanmarketingconfederation.org/amc-conference-2023/programme/</t>
        </is>
      </c>
      <c r="B64" s="24" t="n"/>
      <c r="C64" s="24" t="n"/>
      <c r="D64" s="24" t="n"/>
      <c r="E64" s="24" t="n"/>
      <c r="F64" s="24" t="n"/>
      <c r="G64" s="24" t="n"/>
      <c r="H64" s="24" t="n"/>
      <c r="I64" s="24" t="n"/>
      <c r="J64" s="24" t="n"/>
      <c r="K64" s="24" t="n"/>
      <c r="L64">
        <f>IFERROR(HYPERLINK("#Main!A"&amp;MATCH(A64,Main!A:A,0),"Open"),HYPERLINK("#Main!A1","Open"))</f>
        <v/>
      </c>
    </row>
    <row r="65" ht="30" customHeight="1">
      <c r="A65" s="33" t="inlineStr">
        <is>
          <t>https://africanmarketingconfederation.org/amc-conference-2023/amc-awards/</t>
        </is>
      </c>
      <c r="B65" s="6" t="n"/>
      <c r="C65" s="6" t="n"/>
      <c r="D65" s="6" t="n"/>
      <c r="E65" s="6" t="n"/>
      <c r="F65" s="6" t="n"/>
      <c r="G65" s="6" t="n"/>
      <c r="H65" s="6" t="n"/>
      <c r="I65" s="6" t="n"/>
      <c r="J65" s="6" t="n"/>
      <c r="K65" s="6" t="n"/>
      <c r="L65">
        <f>IFERROR(HYPERLINK("#Main!A"&amp;MATCH(A65,Main!A:A,0),"Open"),HYPERLINK("#Main!A1","Open"))</f>
        <v/>
      </c>
    </row>
    <row r="66" ht="30" customHeight="1">
      <c r="A66" s="33" t="inlineStr">
        <is>
          <t>https://africanmarketingconfederation.org/amc-conference-2023/partners/</t>
        </is>
      </c>
      <c r="B66" s="24" t="n"/>
      <c r="C66" s="24" t="n"/>
      <c r="D66" s="24" t="n"/>
      <c r="E66" s="24" t="n"/>
      <c r="F66" s="24" t="n"/>
      <c r="G66" s="24" t="n"/>
      <c r="H66" s="24" t="n"/>
      <c r="I66" s="24" t="n"/>
      <c r="J66" s="24" t="n"/>
      <c r="K66" s="24" t="n"/>
      <c r="L66">
        <f>IFERROR(HYPERLINK("#Main!A"&amp;MATCH(A66,Main!A:A,0),"Open"),HYPERLINK("#Main!A1","Open"))</f>
        <v/>
      </c>
    </row>
    <row r="67" ht="30" customHeight="1">
      <c r="A67" s="33" t="inlineStr">
        <is>
          <t>https://africanmarketingconfederation.org/amc-conference-2023/speakers/</t>
        </is>
      </c>
      <c r="B67" s="6" t="n"/>
      <c r="C67" s="6" t="n"/>
      <c r="D67" s="6" t="n"/>
      <c r="E67" s="6" t="n"/>
      <c r="F67" s="6" t="n"/>
      <c r="G67" s="6" t="n"/>
      <c r="H67" s="6" t="n"/>
      <c r="I67" s="6" t="n"/>
      <c r="J67" s="6" t="n"/>
      <c r="K67" s="6" t="n"/>
      <c r="L67">
        <f>IFERROR(HYPERLINK("#Main!A"&amp;MATCH(A67,Main!A:A,0),"Open"),HYPERLINK("#Main!A1","Open"))</f>
        <v/>
      </c>
    </row>
    <row r="68" ht="30" customHeight="1">
      <c r="A68" s="33" t="inlineStr">
        <is>
          <t>https://africanmarketingconfederation.org/chartered-marketer-africa-thank-you/</t>
        </is>
      </c>
      <c r="B68" s="24" t="n"/>
      <c r="C68" s="24" t="n"/>
      <c r="D68" s="24" t="n"/>
      <c r="E68" s="24" t="n"/>
      <c r="F68" s="24" t="n"/>
      <c r="G68" s="24" t="n"/>
      <c r="H68" s="24" t="n"/>
      <c r="I68" s="24" t="n"/>
      <c r="J68" s="24" t="n"/>
      <c r="K68" s="24" t="n"/>
      <c r="L68">
        <f>IFERROR(HYPERLINK("#Main!A"&amp;MATCH(A68,Main!A:A,0),"Open"),HYPERLINK("#Main!A1","Open"))</f>
        <v/>
      </c>
    </row>
    <row r="69" ht="30" customHeight="1">
      <c r="A69" s="33" t="inlineStr">
        <is>
          <t>https://africanmarketingconfederation.org/amc-conference-2023/amc-awards-book-now/</t>
        </is>
      </c>
      <c r="B69" s="6" t="n"/>
      <c r="C69" s="6" t="n"/>
      <c r="D69" s="6" t="n"/>
      <c r="E69" s="6" t="n"/>
      <c r="F69" s="6" t="n"/>
      <c r="G69" s="6" t="n"/>
      <c r="H69" s="6" t="n"/>
      <c r="I69" s="6" t="n"/>
      <c r="J69" s="6" t="n"/>
      <c r="K69" s="6" t="n"/>
      <c r="L69">
        <f>IFERROR(HYPERLINK("#Main!A"&amp;MATCH(A69,Main!A:A,0),"Open"),HYPERLINK("#Main!A1","Open"))</f>
        <v/>
      </c>
    </row>
    <row r="70" ht="30" customHeight="1">
      <c r="A70" s="33" t="inlineStr">
        <is>
          <t>https://africanmarketingconfederation.org/amc-conference-2023/book-now/</t>
        </is>
      </c>
      <c r="B70" s="24" t="n"/>
      <c r="C70" s="24" t="n"/>
      <c r="D70" s="24" t="n"/>
      <c r="E70" s="24" t="n"/>
      <c r="F70" s="24" t="n"/>
      <c r="G70" s="24" t="n"/>
      <c r="H70" s="24" t="n"/>
      <c r="I70" s="24" t="n"/>
      <c r="J70" s="24" t="n"/>
      <c r="K70" s="24" t="n"/>
      <c r="L70">
        <f>IFERROR(HYPERLINK("#Main!A"&amp;MATCH(A70,Main!A:A,0),"Open"),HYPERLINK("#Main!A1","Open"))</f>
        <v/>
      </c>
    </row>
    <row r="71" ht="30" customHeight="1">
      <c r="A71" s="33" t="inlineStr">
        <is>
          <t>https://africanmarketingconfederation.org/amc-conference-2023/download-prospectus/</t>
        </is>
      </c>
      <c r="B71" s="6" t="n"/>
      <c r="C71" s="6" t="n"/>
      <c r="D71" s="6" t="n"/>
      <c r="E71" s="6" t="n"/>
      <c r="F71" s="6" t="n"/>
      <c r="G71" s="6" t="n"/>
      <c r="H71" s="6" t="n"/>
      <c r="I71" s="6" t="n"/>
      <c r="J71" s="6" t="n"/>
      <c r="K71" s="6" t="n"/>
      <c r="L71">
        <f>IFERROR(HYPERLINK("#Main!A"&amp;MATCH(A71,Main!A:A,0),"Open"),HYPERLINK("#Main!A1","Open"))</f>
        <v/>
      </c>
    </row>
    <row r="72" ht="30" customHeight="1">
      <c r="A72" s="33" t="inlineStr">
        <is>
          <t>https://africanmarketingconfederation.org/thank-you-for-subscribing/</t>
        </is>
      </c>
      <c r="B72" s="24" t="n"/>
      <c r="C72" s="24" t="n"/>
      <c r="D72" s="24" t="n"/>
      <c r="E72" s="24" t="n"/>
      <c r="F72" s="24" t="n"/>
      <c r="G72" s="24" t="n"/>
      <c r="H72" s="24" t="n"/>
      <c r="I72" s="24" t="n"/>
      <c r="J72" s="24" t="n"/>
      <c r="K72" s="24" t="n"/>
      <c r="L72">
        <f>IFERROR(HYPERLINK("#Main!A"&amp;MATCH(A72,Main!A:A,0),"Open"),HYPERLINK("#Main!A1","Open"))</f>
        <v/>
      </c>
    </row>
    <row r="73" ht="30" customHeight="1">
      <c r="A73" s="33" t="inlineStr">
        <is>
          <t>https://africanmarketingconfederation.org/amc-conference-2023/book-now-thank-you/</t>
        </is>
      </c>
      <c r="B73" s="6" t="n"/>
      <c r="C73" s="6" t="n"/>
      <c r="D73" s="6" t="n"/>
      <c r="E73" s="6" t="n"/>
      <c r="F73" s="6" t="n"/>
      <c r="G73" s="6" t="n"/>
      <c r="H73" s="6" t="n"/>
      <c r="I73" s="6" t="n"/>
      <c r="J73" s="6" t="n"/>
      <c r="K73" s="6" t="n"/>
      <c r="L73">
        <f>IFERROR(HYPERLINK("#Main!A"&amp;MATCH(A73,Main!A:A,0),"Open"),HYPERLINK("#Main!A1","Open"))</f>
        <v/>
      </c>
    </row>
    <row r="74" ht="30" customHeight="1">
      <c r="A74" s="33" t="inlineStr">
        <is>
          <t>https://africanmarketingconfederation.org/upcoming-events/</t>
        </is>
      </c>
      <c r="B74" s="24" t="n"/>
      <c r="C74" s="24" t="n"/>
      <c r="D74" s="24" t="n"/>
      <c r="E74" s="24" t="n"/>
      <c r="F74" s="24" t="n"/>
      <c r="G74" s="24" t="n"/>
      <c r="H74" s="24" t="n"/>
      <c r="I74" s="24" t="n"/>
      <c r="J74" s="24" t="n"/>
      <c r="K74" s="24" t="n"/>
      <c r="L74">
        <f>IFERROR(HYPERLINK("#Main!A"&amp;MATCH(A74,Main!A:A,0),"Open"),HYPERLINK("#Main!A1","Open"))</f>
        <v/>
      </c>
    </row>
    <row r="75" ht="30" customHeight="1">
      <c r="A75" s="33" t="inlineStr">
        <is>
          <t>https://africanmarketingconfederation.org/amc-conference-thank-you/</t>
        </is>
      </c>
      <c r="B75" s="6" t="n"/>
      <c r="C75" s="6" t="n"/>
      <c r="D75" s="6" t="n"/>
      <c r="E75" s="6" t="n"/>
      <c r="F75" s="6" t="n"/>
      <c r="G75" s="6" t="n"/>
      <c r="H75" s="6" t="n"/>
      <c r="I75" s="6" t="n"/>
      <c r="J75" s="6" t="n"/>
      <c r="K75" s="6" t="n"/>
      <c r="L75">
        <f>IFERROR(HYPERLINK("#Main!A"&amp;MATCH(A75,Main!A:A,0),"Open"),HYPERLINK("#Main!A1","Open"))</f>
        <v/>
      </c>
    </row>
    <row r="76" ht="30" customHeight="1">
      <c r="A76" s="33" t="inlineStr">
        <is>
          <t>https://africanmarketingconfederation.org/amc-masterclass/</t>
        </is>
      </c>
      <c r="B76" s="24" t="n"/>
      <c r="C76" s="24" t="n"/>
      <c r="D76" s="24" t="n"/>
      <c r="E76" s="24" t="n"/>
      <c r="F76" s="24" t="n"/>
      <c r="G76" s="24" t="n"/>
      <c r="H76" s="24" t="n"/>
      <c r="I76" s="24" t="n"/>
      <c r="J76" s="24" t="n"/>
      <c r="K76" s="24" t="n"/>
      <c r="L76">
        <f>IFERROR(HYPERLINK("#Main!A"&amp;MATCH(A76,Main!A:A,0),"Open"),HYPERLINK("#Main!A1","Open"))</f>
        <v/>
      </c>
    </row>
    <row r="77" ht="30" customHeight="1">
      <c r="A77" s="33" t="inlineStr">
        <is>
          <t>https://africanmarketingconfederation.org/amc-relaunch-programme/</t>
        </is>
      </c>
      <c r="B77" s="6" t="n"/>
      <c r="C77" s="6" t="n"/>
      <c r="D77" s="6" t="n"/>
      <c r="E77" s="6" t="n"/>
      <c r="F77" s="6" t="n"/>
      <c r="G77" s="6" t="n"/>
      <c r="H77" s="6" t="n"/>
      <c r="I77" s="6" t="n"/>
      <c r="J77" s="6" t="n"/>
      <c r="K77" s="6" t="n"/>
      <c r="L77">
        <f>IFERROR(HYPERLINK("#Main!A"&amp;MATCH(A77,Main!A:A,0),"Open"),HYPERLINK("#Main!A1","Open"))</f>
        <v/>
      </c>
    </row>
    <row r="78" ht="30" customHeight="1">
      <c r="A78" s="33" t="inlineStr">
        <is>
          <t>https://africanmarketingconfederation.org/amc-masterclass-thank-you/</t>
        </is>
      </c>
      <c r="B78" s="24" t="n"/>
      <c r="C78" s="24" t="n"/>
      <c r="D78" s="24" t="n"/>
      <c r="E78" s="24" t="n"/>
      <c r="F78" s="24" t="n"/>
      <c r="G78" s="24" t="n"/>
      <c r="H78" s="24" t="n"/>
      <c r="I78" s="24" t="n"/>
      <c r="J78" s="24" t="n"/>
      <c r="K78" s="24" t="n"/>
      <c r="L78">
        <f>IFERROR(HYPERLINK("#Main!A"&amp;MATCH(A78,Main!A:A,0),"Open"),HYPERLINK("#Main!A1","Open"))</f>
        <v/>
      </c>
    </row>
    <row r="79" ht="30" customHeight="1">
      <c r="A79" s="33" t="inlineStr">
        <is>
          <t>https://africanmarketingconfederation.org/amc-masterclass-bookings/</t>
        </is>
      </c>
      <c r="B79" s="6" t="n"/>
      <c r="C79" s="6" t="n"/>
      <c r="D79" s="6" t="n"/>
      <c r="E79" s="6" t="n"/>
      <c r="F79" s="6" t="n"/>
      <c r="G79" s="6" t="n"/>
      <c r="H79" s="6" t="n"/>
      <c r="I79" s="6" t="n"/>
      <c r="J79" s="6" t="n"/>
      <c r="K79" s="6" t="n"/>
      <c r="L79">
        <f>IFERROR(HYPERLINK("#Main!A"&amp;MATCH(A79,Main!A:A,0),"Open"),HYPERLINK("#Main!A1","Open"))</f>
        <v/>
      </c>
    </row>
    <row r="80" ht="30" customHeight="1">
      <c r="A80" s="33" t="inlineStr">
        <is>
          <t>https://africanmarketingconfederation.org/amc-conference-programme/</t>
        </is>
      </c>
      <c r="B80" s="24" t="n"/>
      <c r="C80" s="24" t="n"/>
      <c r="D80" s="24" t="n"/>
      <c r="E80" s="24" t="n"/>
      <c r="F80" s="24" t="n"/>
      <c r="G80" s="24" t="n"/>
      <c r="H80" s="24" t="n"/>
      <c r="I80" s="24" t="n"/>
      <c r="J80" s="24" t="n"/>
      <c r="K80" s="24" t="n"/>
      <c r="L80">
        <f>IFERROR(HYPERLINK("#Main!A"&amp;MATCH(A80,Main!A:A,0),"Open"),HYPERLINK("#Main!A1","Open"))</f>
        <v/>
      </c>
    </row>
    <row r="81" ht="30" customHeight="1">
      <c r="A81" s="33" t="inlineStr">
        <is>
          <t>https://africanmarketingconfederation.org/test-homeslider/</t>
        </is>
      </c>
      <c r="B81" s="6" t="n"/>
      <c r="C81" s="6" t="n"/>
      <c r="D81" s="6" t="n"/>
      <c r="E81" s="6" t="n"/>
      <c r="F81" s="6" t="n"/>
      <c r="G81" s="6" t="n"/>
      <c r="H81" s="6" t="n"/>
      <c r="I81" s="6" t="n"/>
      <c r="J81" s="6" t="n"/>
      <c r="K81" s="6" t="n"/>
      <c r="L81">
        <f>IFERROR(HYPERLINK("#Main!A"&amp;MATCH(A81,Main!A:A,0),"Open"),HYPERLINK("#Main!A1","Open"))</f>
        <v/>
      </c>
    </row>
    <row r="82" ht="30" customHeight="1">
      <c r="A82" s="33" t="inlineStr">
        <is>
          <t>https://africanmarketingconfederation.org/virtual-programme/</t>
        </is>
      </c>
      <c r="B82" s="24" t="n"/>
      <c r="C82" s="24" t="n"/>
      <c r="D82" s="24" t="n"/>
      <c r="E82" s="24" t="n"/>
      <c r="F82" s="24" t="n"/>
      <c r="G82" s="24" t="n"/>
      <c r="H82" s="24" t="n"/>
      <c r="I82" s="24" t="n"/>
      <c r="J82" s="24" t="n"/>
      <c r="K82" s="24" t="n"/>
      <c r="L82">
        <f>IFERROR(HYPERLINK("#Main!A"&amp;MATCH(A82,Main!A:A,0),"Open"),HYPERLINK("#Main!A1","Open"))</f>
        <v/>
      </c>
    </row>
    <row r="83" ht="30" customHeight="1">
      <c r="A83" s="33" t="inlineStr">
        <is>
          <t>https://africanmarketingconfederation.org/general-enquiry-form-thank-you/</t>
        </is>
      </c>
      <c r="B83" s="6" t="n"/>
      <c r="C83" s="6" t="n"/>
      <c r="D83" s="6" t="n"/>
      <c r="E83" s="6" t="n"/>
      <c r="F83" s="6" t="n"/>
      <c r="G83" s="6" t="n"/>
      <c r="H83" s="6" t="n"/>
      <c r="I83" s="6" t="n"/>
      <c r="J83" s="6" t="n"/>
      <c r="K83" s="6" t="n"/>
      <c r="L83">
        <f>IFERROR(HYPERLINK("#Main!A"&amp;MATCH(A83,Main!A:A,0),"Open"),HYPERLINK("#Main!A1","Open"))</f>
        <v/>
      </c>
    </row>
    <row r="84" ht="30" customHeight="1">
      <c r="A84" s="33" t="inlineStr">
        <is>
          <t>https://africanmarketingconfederation.org/amc-conference-2022-thank-you/</t>
        </is>
      </c>
      <c r="B84" s="24" t="n"/>
      <c r="C84" s="24" t="n"/>
      <c r="D84" s="24" t="n"/>
      <c r="E84" s="24" t="n"/>
      <c r="F84" s="24" t="n"/>
      <c r="G84" s="24" t="n"/>
      <c r="H84" s="24" t="n"/>
      <c r="I84" s="24" t="n"/>
      <c r="J84" s="24" t="n"/>
      <c r="K84" s="24" t="n"/>
      <c r="L84">
        <f>IFERROR(HYPERLINK("#Main!A"&amp;MATCH(A84,Main!A:A,0),"Open"),HYPERLINK("#Main!A1","Open"))</f>
        <v/>
      </c>
    </row>
    <row r="85" ht="30" customHeight="1">
      <c r="A85" s="33" t="inlineStr">
        <is>
          <t>https://africanmarketingconfederation.org/privacy-policy/</t>
        </is>
      </c>
      <c r="B85" s="6" t="n"/>
      <c r="C85" s="6" t="n"/>
      <c r="D85" s="6" t="n"/>
      <c r="E85" s="6" t="n"/>
      <c r="F85" s="6" t="n"/>
      <c r="G85" s="6" t="n"/>
      <c r="H85" s="6" t="n"/>
      <c r="I85" s="6" t="n"/>
      <c r="J85" s="6" t="n"/>
      <c r="K85" s="6" t="n"/>
      <c r="L85">
        <f>IFERROR(HYPERLINK("#Main!A"&amp;MATCH(A85,Main!A:A,0),"Open"),HYPERLINK("#Main!A1","Open"))</f>
        <v/>
      </c>
    </row>
    <row r="86" ht="30" customHeight="1">
      <c r="A86" s="33" t="inlineStr">
        <is>
          <t>https://africanmarketingconfederation.org/speakers/</t>
        </is>
      </c>
      <c r="B86" s="24" t="n"/>
      <c r="C86" s="24" t="n"/>
      <c r="D86" s="24" t="n"/>
      <c r="E86" s="24" t="n"/>
      <c r="F86" s="24" t="n"/>
      <c r="G86" s="24" t="n"/>
      <c r="H86" s="24" t="n"/>
      <c r="I86" s="24" t="n"/>
      <c r="J86" s="24" t="n"/>
      <c r="K86" s="24" t="n"/>
      <c r="L86">
        <f>IFERROR(HYPERLINK("#Main!A"&amp;MATCH(A86,Main!A:A,0),"Open"),HYPERLINK("#Main!A1","Open"))</f>
        <v/>
      </c>
    </row>
  </sheetData>
  <autoFilter ref="A1:K86"/>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3" customWidth="1" min="2" max="2"/>
    <col width="34" customWidth="1" min="3" max="3"/>
    <col width="60" customWidth="1" min="4" max="4"/>
    <col width="60" customWidth="1" min="5" max="5"/>
  </cols>
  <sheetData>
    <row r="1">
      <c r="A1" s="1" t="inlineStr">
        <is>
          <t>URL</t>
        </is>
      </c>
      <c r="B1" s="1" t="inlineStr">
        <is>
          <t>Title Duplicate Count</t>
        </is>
      </c>
      <c r="C1" s="1" t="inlineStr">
        <is>
          <t>Meta Description Duplicate Count</t>
        </is>
      </c>
      <c r="D1" s="1" t="inlineStr">
        <is>
          <t>Title Duplicate URLs</t>
        </is>
      </c>
      <c r="E1" s="1" t="inlineStr">
        <is>
          <t>Meta Duplicate URLs</t>
        </is>
      </c>
      <c r="F1" t="inlineStr">
        <is>
          <t>Open in Main</t>
        </is>
      </c>
      <c r="G1" s="23" t="inlineStr">
        <is>
          <t>BACK TO DASHBOARD</t>
        </is>
      </c>
    </row>
    <row r="2">
      <c r="A2" s="33" t="inlineStr">
        <is>
          <t>https://africanmarketingconfederation.org/</t>
        </is>
      </c>
      <c r="B2" s="24" t="n">
        <v>1</v>
      </c>
      <c r="C2" s="24" t="n">
        <v>1</v>
      </c>
      <c r="D2" s="27" t="inlineStr"/>
      <c r="E2" s="27" t="inlineStr"/>
      <c r="F2">
        <f>IFERROR(HYPERLINK("#Main!A"&amp;MATCH(A2,Main!A:A,0),"Open"),HYPERLINK("#Main!A1","Open"))</f>
        <v/>
      </c>
    </row>
    <row r="3" ht="30" customHeight="1">
      <c r="A3" s="33" t="inlineStr">
        <is>
          <t>https://africanmarketingconfederation.org/publication-download-list/</t>
        </is>
      </c>
      <c r="B3" s="6" t="n">
        <v>1</v>
      </c>
      <c r="C3" s="6" t="n">
        <v>1</v>
      </c>
      <c r="D3" s="30" t="inlineStr"/>
      <c r="E3" s="30" t="inlineStr"/>
      <c r="F3">
        <f>IFERROR(HYPERLINK("#Main!A"&amp;MATCH(A3,Main!A:A,0),"Open"),HYPERLINK("#Main!A1","Open"))</f>
        <v/>
      </c>
    </row>
    <row r="4" ht="30" customHeight="1">
      <c r="A4" s="33" t="inlineStr">
        <is>
          <t>https://africanmarketingconfederation.org/launch-event-2026-amc-conference/</t>
        </is>
      </c>
      <c r="B4" s="24" t="n">
        <v>1</v>
      </c>
      <c r="C4" s="24" t="n">
        <v>1</v>
      </c>
      <c r="D4" s="27" t="inlineStr"/>
      <c r="E4" s="27" t="inlineStr"/>
      <c r="F4">
        <f>IFERROR(HYPERLINK("#Main!A"&amp;MATCH(A4,Main!A:A,0),"Open"),HYPERLINK("#Main!A1","Open"))</f>
        <v/>
      </c>
    </row>
    <row r="5" ht="30" customHeight="1">
      <c r="A5" s="33" t="inlineStr">
        <is>
          <t>https://africanmarketingconfederation.org/publications-2/</t>
        </is>
      </c>
      <c r="B5" s="6" t="n">
        <v>1</v>
      </c>
      <c r="C5" s="6" t="n">
        <v>1</v>
      </c>
      <c r="D5" s="30" t="inlineStr"/>
      <c r="E5" s="30" t="inlineStr"/>
      <c r="F5">
        <f>IFERROR(HYPERLINK("#Main!A"&amp;MATCH(A5,Main!A:A,0),"Open"),HYPERLINK("#Main!A1","Open"))</f>
        <v/>
      </c>
    </row>
    <row r="6" ht="30" customHeight="1">
      <c r="A6" s="33" t="inlineStr">
        <is>
          <t>https://africanmarketingconfederation.org/certified-professional-marketer-africa/</t>
        </is>
      </c>
      <c r="B6" s="24" t="n">
        <v>1</v>
      </c>
      <c r="C6" s="24" t="n">
        <v>1</v>
      </c>
      <c r="D6" s="27" t="inlineStr"/>
      <c r="E6" s="27" t="inlineStr"/>
      <c r="F6">
        <f>IFERROR(HYPERLINK("#Main!A"&amp;MATCH(A6,Main!A:A,0),"Open"),HYPERLINK("#Main!A1","Open"))</f>
        <v/>
      </c>
    </row>
    <row r="7" ht="30" customHeight="1">
      <c r="A7" s="33" t="inlineStr">
        <is>
          <t>https://africanmarketingconfederation.org/chartered-marketer-africa/</t>
        </is>
      </c>
      <c r="B7" s="6" t="n">
        <v>1</v>
      </c>
      <c r="C7" s="6" t="n">
        <v>1</v>
      </c>
      <c r="D7" s="30" t="inlineStr"/>
      <c r="E7" s="30" t="inlineStr"/>
      <c r="F7">
        <f>IFERROR(HYPERLINK("#Main!A"&amp;MATCH(A7,Main!A:A,0),"Open"),HYPERLINK("#Main!A1","Open"))</f>
        <v/>
      </c>
    </row>
    <row r="8" ht="30" customHeight="1">
      <c r="A8" s="33" t="inlineStr">
        <is>
          <t>https://africanmarketingconfederation.org/amc-conference-2026/</t>
        </is>
      </c>
      <c r="B8" s="24" t="n">
        <v>1</v>
      </c>
      <c r="C8" s="24" t="n">
        <v>1</v>
      </c>
      <c r="D8" s="27" t="inlineStr"/>
      <c r="E8" s="27" t="inlineStr"/>
      <c r="F8">
        <f>IFERROR(HYPERLINK("#Main!A"&amp;MATCH(A8,Main!A:A,0),"Open"),HYPERLINK("#Main!A1","Open"))</f>
        <v/>
      </c>
    </row>
    <row r="9" ht="30" customHeight="1">
      <c r="A9" s="33" t="inlineStr">
        <is>
          <t>https://africanmarketingconfederation.org/education/</t>
        </is>
      </c>
      <c r="B9" s="6" t="n">
        <v>1</v>
      </c>
      <c r="C9" s="6" t="n">
        <v>1</v>
      </c>
      <c r="D9" s="30" t="inlineStr"/>
      <c r="E9" s="30" t="inlineStr"/>
      <c r="F9">
        <f>IFERROR(HYPERLINK("#Main!A"&amp;MATCH(A9,Main!A:A,0),"Open"),HYPERLINK("#Main!A1","Open"))</f>
        <v/>
      </c>
    </row>
    <row r="10" ht="30" customHeight="1">
      <c r="A10" s="33" t="inlineStr">
        <is>
          <t>https://africanmarketingconfederation.org/awards-2026/</t>
        </is>
      </c>
      <c r="B10" s="24" t="n">
        <v>1</v>
      </c>
      <c r="C10" s="24" t="n">
        <v>2</v>
      </c>
      <c r="D10" s="27" t="inlineStr"/>
      <c r="E10" s="27" t="inlineStr">
        <is>
          <t>https://africanmarketingconfederation.org/awards-2026/ | https://africanmarketingconfederation.org/awards-2026-1/</t>
        </is>
      </c>
      <c r="F10">
        <f>IFERROR(HYPERLINK("#Main!A"&amp;MATCH(A10,Main!A:A,0),"Open"),HYPERLINK("#Main!A1","Open"))</f>
        <v/>
      </c>
    </row>
    <row r="11" ht="30" customHeight="1">
      <c r="A11" s="33" t="inlineStr">
        <is>
          <t>https://africanmarketingconfederation.org/contact-us/</t>
        </is>
      </c>
      <c r="B11" s="6" t="n">
        <v>1</v>
      </c>
      <c r="C11" s="6" t="n">
        <v>1</v>
      </c>
      <c r="D11" s="30" t="inlineStr"/>
      <c r="E11" s="30" t="inlineStr"/>
      <c r="F11">
        <f>IFERROR(HYPERLINK("#Main!A"&amp;MATCH(A11,Main!A:A,0),"Open"),HYPERLINK("#Main!A1","Open"))</f>
        <v/>
      </c>
    </row>
    <row r="12" ht="30" customHeight="1">
      <c r="A12" s="33" t="inlineStr">
        <is>
          <t>https://africanmarketingconfederation.org/news-articles/</t>
        </is>
      </c>
      <c r="B12" s="24" t="n">
        <v>1</v>
      </c>
      <c r="C12" s="24" t="n">
        <v>1</v>
      </c>
      <c r="D12" s="27" t="inlineStr"/>
      <c r="E12" s="27" t="inlineStr"/>
      <c r="F12">
        <f>IFERROR(HYPERLINK("#Main!A"&amp;MATCH(A12,Main!A:A,0),"Open"),HYPERLINK("#Main!A1","Open"))</f>
        <v/>
      </c>
    </row>
    <row r="13" ht="30" customHeight="1">
      <c r="A13" s="33" t="inlineStr">
        <is>
          <t>https://africanmarketingconfederation.org/african-marketing-confederation-tourism-chapter/</t>
        </is>
      </c>
      <c r="B13" s="6" t="n">
        <v>1</v>
      </c>
      <c r="C13" s="6" t="n">
        <v>1</v>
      </c>
      <c r="D13" s="30" t="inlineStr"/>
      <c r="E13" s="30" t="inlineStr"/>
      <c r="F13">
        <f>IFERROR(HYPERLINK("#Main!A"&amp;MATCH(A13,Main!A:A,0),"Open"),HYPERLINK("#Main!A1","Open"))</f>
        <v/>
      </c>
    </row>
    <row r="14" ht="30" customHeight="1">
      <c r="A14" s="33" t="inlineStr">
        <is>
          <t>https://africanmarketingconfederation.org/sub-committees/</t>
        </is>
      </c>
      <c r="B14" s="24" t="n">
        <v>1</v>
      </c>
      <c r="C14" s="24" t="n">
        <v>1</v>
      </c>
      <c r="D14" s="27" t="inlineStr"/>
      <c r="E14" s="27" t="inlineStr"/>
      <c r="F14">
        <f>IFERROR(HYPERLINK("#Main!A"&amp;MATCH(A14,Main!A:A,0),"Open"),HYPERLINK("#Main!A1","Open"))</f>
        <v/>
      </c>
    </row>
    <row r="15" ht="30" customHeight="1">
      <c r="A15" s="33" t="inlineStr">
        <is>
          <t>https://africanmarketingconfederation.org/members/</t>
        </is>
      </c>
      <c r="B15" s="6" t="n">
        <v>1</v>
      </c>
      <c r="C15" s="6" t="n">
        <v>1</v>
      </c>
      <c r="D15" s="30" t="inlineStr"/>
      <c r="E15" s="30" t="inlineStr"/>
      <c r="F15">
        <f>IFERROR(HYPERLINK("#Main!A"&amp;MATCH(A15,Main!A:A,0),"Open"),HYPERLINK("#Main!A1","Open"))</f>
        <v/>
      </c>
    </row>
    <row r="16" ht="30" customHeight="1">
      <c r="A16" s="33" t="inlineStr">
        <is>
          <t>https://africanmarketingconfederation.org/about-us/</t>
        </is>
      </c>
      <c r="B16" s="24" t="n">
        <v>1</v>
      </c>
      <c r="C16" s="24" t="n">
        <v>1</v>
      </c>
      <c r="D16" s="27" t="inlineStr"/>
      <c r="E16" s="27" t="inlineStr"/>
      <c r="F16">
        <f>IFERROR(HYPERLINK("#Main!A"&amp;MATCH(A16,Main!A:A,0),"Open"),HYPERLINK("#Main!A1","Open"))</f>
        <v/>
      </c>
    </row>
    <row r="17" ht="30" customHeight="1">
      <c r="A17" s="33" t="inlineStr">
        <is>
          <t>https://africanmarketingconfederation.org/awards-2026-1/</t>
        </is>
      </c>
      <c r="B17" s="6" t="n">
        <v>1</v>
      </c>
      <c r="C17" s="6" t="n">
        <v>2</v>
      </c>
      <c r="D17" s="30" t="inlineStr"/>
      <c r="E17" s="30" t="inlineStr">
        <is>
          <t>https://africanmarketingconfederation.org/awards-2026/ | https://africanmarketingconfederation.org/awards-2026-1/</t>
        </is>
      </c>
      <c r="F17">
        <f>IFERROR(HYPERLINK("#Main!A"&amp;MATCH(A17,Main!A:A,0),"Open"),HYPERLINK("#Main!A1","Open"))</f>
        <v/>
      </c>
    </row>
    <row r="18" ht="30" customHeight="1">
      <c r="A18" s="33" t="inlineStr">
        <is>
          <t>https://africanmarketingconfederation.org/awards-2026-test/</t>
        </is>
      </c>
      <c r="B18" s="24" t="n">
        <v>1</v>
      </c>
      <c r="C18" s="24" t="n">
        <v>1</v>
      </c>
      <c r="D18" s="27" t="inlineStr"/>
      <c r="E18" s="27" t="inlineStr"/>
      <c r="F18">
        <f>IFERROR(HYPERLINK("#Main!A"&amp;MATCH(A18,Main!A:A,0),"Open"),HYPERLINK("#Main!A1","Open"))</f>
        <v/>
      </c>
    </row>
    <row r="19" ht="30" customHeight="1">
      <c r="A19" s="33" t="inlineStr">
        <is>
          <t>https://africanmarketingconfederation.org/amc-conference-2026-awards-nominations-thank-you/</t>
        </is>
      </c>
      <c r="B19" s="6" t="n">
        <v>1</v>
      </c>
      <c r="C19" s="6" t="n">
        <v>1</v>
      </c>
      <c r="D19" s="30" t="inlineStr"/>
      <c r="E19" s="30" t="inlineStr"/>
      <c r="F19">
        <f>IFERROR(HYPERLINK("#Main!A"&amp;MATCH(A19,Main!A:A,0),"Open"),HYPERLINK("#Main!A1","Open"))</f>
        <v/>
      </c>
    </row>
    <row r="20" ht="30" customHeight="1">
      <c r="A20" s="33" t="inlineStr">
        <is>
          <t>https://africanmarketingconfederation.org/speakers-2025/</t>
        </is>
      </c>
      <c r="B20" s="24" t="n">
        <v>1</v>
      </c>
      <c r="C20" s="24" t="n">
        <v>1</v>
      </c>
      <c r="D20" s="27" t="inlineStr"/>
      <c r="E20" s="27" t="inlineStr"/>
      <c r="F20">
        <f>IFERROR(HYPERLINK("#Main!A"&amp;MATCH(A20,Main!A:A,0),"Open"),HYPERLINK("#Main!A1","Open"))</f>
        <v/>
      </c>
    </row>
    <row r="21" ht="30" customHeight="1">
      <c r="A21" s="33" t="inlineStr">
        <is>
          <t>https://africanmarketingconfederation.org/amc-conference-2026-zambia-thank-you/</t>
        </is>
      </c>
      <c r="B21" s="6" t="n">
        <v>1</v>
      </c>
      <c r="C21" s="6" t="n">
        <v>1</v>
      </c>
      <c r="D21" s="30" t="inlineStr"/>
      <c r="E21" s="30" t="inlineStr"/>
      <c r="F21">
        <f>IFERROR(HYPERLINK("#Main!A"&amp;MATCH(A21,Main!A:A,0),"Open"),HYPERLINK("#Main!A1","Open"))</f>
        <v/>
      </c>
    </row>
    <row r="22" ht="30" customHeight="1">
      <c r="A22" s="33" t="inlineStr">
        <is>
          <t>https://africanmarketingconfederation.org/amc-launch-event-zambia-thank-you-2026/</t>
        </is>
      </c>
      <c r="B22" s="24" t="n">
        <v>1</v>
      </c>
      <c r="C22" s="24" t="n">
        <v>1</v>
      </c>
      <c r="D22" s="27" t="inlineStr"/>
      <c r="E22" s="27" t="inlineStr"/>
      <c r="F22">
        <f>IFERROR(HYPERLINK("#Main!A"&amp;MATCH(A22,Main!A:A,0),"Open"),HYPERLINK("#Main!A1","Open"))</f>
        <v/>
      </c>
    </row>
    <row r="23" ht="30" customHeight="1">
      <c r="A23" s="33" t="inlineStr">
        <is>
          <t>https://africanmarketingconfederation.org/amc-marketing-conference-2024/awards-2025/</t>
        </is>
      </c>
      <c r="B23" s="6" t="n">
        <v>1</v>
      </c>
      <c r="C23" s="6" t="n">
        <v>1</v>
      </c>
      <c r="D23" s="30" t="inlineStr"/>
      <c r="E23" s="30" t="inlineStr"/>
      <c r="F23">
        <f>IFERROR(HYPERLINK("#Main!A"&amp;MATCH(A23,Main!A:A,0),"Open"),HYPERLINK("#Main!A1","Open"))</f>
        <v/>
      </c>
    </row>
    <row r="24" ht="30" customHeight="1">
      <c r="A24" s="33" t="inlineStr">
        <is>
          <t>https://africanmarketingconfederation.org/amc-conference-2025-highlights/</t>
        </is>
      </c>
      <c r="B24" s="24" t="n">
        <v>1</v>
      </c>
      <c r="C24" s="24" t="n">
        <v>1</v>
      </c>
      <c r="D24" s="27" t="inlineStr"/>
      <c r="E24" s="27" t="inlineStr"/>
      <c r="F24">
        <f>IFERROR(HYPERLINK("#Main!A"&amp;MATCH(A24,Main!A:A,0),"Open"),HYPERLINK("#Main!A1","Open"))</f>
        <v/>
      </c>
    </row>
    <row r="25" ht="30" customHeight="1">
      <c r="A25" s="33" t="inlineStr">
        <is>
          <t>https://africanmarketingconfederation.org/amc-conference-2022/</t>
        </is>
      </c>
      <c r="B25" s="6" t="n">
        <v>1</v>
      </c>
      <c r="C25" s="6" t="n">
        <v>1</v>
      </c>
      <c r="D25" s="30" t="inlineStr"/>
      <c r="E25" s="30" t="inlineStr"/>
      <c r="F25">
        <f>IFERROR(HYPERLINK("#Main!A"&amp;MATCH(A25,Main!A:A,0),"Open"),HYPERLINK("#Main!A1","Open"))</f>
        <v/>
      </c>
    </row>
    <row r="26" ht="30" customHeight="1">
      <c r="A26" s="33" t="inlineStr">
        <is>
          <t>https://africanmarketingconfederation.org/amc-conference-2023/gallery/</t>
        </is>
      </c>
      <c r="B26" s="24" t="n">
        <v>1</v>
      </c>
      <c r="C26" s="24" t="n">
        <v>1</v>
      </c>
      <c r="D26" s="27" t="inlineStr"/>
      <c r="E26" s="27" t="inlineStr"/>
      <c r="F26">
        <f>IFERROR(HYPERLINK("#Main!A"&amp;MATCH(A26,Main!A:A,0),"Open"),HYPERLINK("#Main!A1","Open"))</f>
        <v/>
      </c>
    </row>
    <row r="27" ht="30" customHeight="1">
      <c r="A27" s="33" t="inlineStr">
        <is>
          <t>https://africanmarketingconfederation.org/conference-registrations-2024/</t>
        </is>
      </c>
      <c r="B27" s="6" t="n">
        <v>1</v>
      </c>
      <c r="C27" s="6" t="n">
        <v>1</v>
      </c>
      <c r="D27" s="30" t="inlineStr"/>
      <c r="E27" s="30" t="inlineStr"/>
      <c r="F27">
        <f>IFERROR(HYPERLINK("#Main!A"&amp;MATCH(A27,Main!A:A,0),"Open"),HYPERLINK("#Main!A1","Open"))</f>
        <v/>
      </c>
    </row>
    <row r="28" ht="30" customHeight="1">
      <c r="A28" s="33" t="inlineStr">
        <is>
          <t>https://africanmarketingconfederation.org/elementor-31820/</t>
        </is>
      </c>
      <c r="B28" s="24" t="n">
        <v>1</v>
      </c>
      <c r="C28" s="24" t="n">
        <v>1</v>
      </c>
      <c r="D28" s="27" t="inlineStr"/>
      <c r="E28" s="27" t="inlineStr"/>
      <c r="F28">
        <f>IFERROR(HYPERLINK("#Main!A"&amp;MATCH(A28,Main!A:A,0),"Open"),HYPERLINK("#Main!A1","Open"))</f>
        <v/>
      </c>
    </row>
    <row r="29" ht="30" customHeight="1">
      <c r="A29" s="33" t="inlineStr">
        <is>
          <t>https://africanmarketingconfederation.org/amc-conference-2024-recap/</t>
        </is>
      </c>
      <c r="B29" s="6" t="n">
        <v>1</v>
      </c>
      <c r="C29" s="6" t="n">
        <v>1</v>
      </c>
      <c r="D29" s="30" t="inlineStr"/>
      <c r="E29" s="30" t="inlineStr"/>
      <c r="F29">
        <f>IFERROR(HYPERLINK("#Main!A"&amp;MATCH(A29,Main!A:A,0),"Open"),HYPERLINK("#Main!A1","Open"))</f>
        <v/>
      </c>
    </row>
    <row r="30" ht="30" customHeight="1">
      <c r="A30" s="33" t="inlineStr">
        <is>
          <t>https://africanmarketingconfederation.org/amc-marketing-conference-2024/amc-programme-2025/</t>
        </is>
      </c>
      <c r="B30" s="24" t="n">
        <v>1</v>
      </c>
      <c r="C30" s="24" t="n">
        <v>1</v>
      </c>
      <c r="D30" s="27" t="inlineStr"/>
      <c r="E30" s="27" t="inlineStr"/>
      <c r="F30">
        <f>IFERROR(HYPERLINK("#Main!A"&amp;MATCH(A30,Main!A:A,0),"Open"),HYPERLINK("#Main!A1","Open"))</f>
        <v/>
      </c>
    </row>
    <row r="31" ht="30" customHeight="1">
      <c r="A31" s="33" t="inlineStr">
        <is>
          <t>https://africanmarketingconfederation.org/amc-conference-2025/</t>
        </is>
      </c>
      <c r="B31" s="6" t="n">
        <v>1</v>
      </c>
      <c r="C31" s="6" t="n">
        <v>1</v>
      </c>
      <c r="D31" s="30" t="inlineStr"/>
      <c r="E31" s="30" t="inlineStr"/>
      <c r="F31">
        <f>IFERROR(HYPERLINK("#Main!A"&amp;MATCH(A31,Main!A:A,0),"Open"),HYPERLINK("#Main!A1","Open"))</f>
        <v/>
      </c>
    </row>
    <row r="32" ht="30" customHeight="1">
      <c r="A32" s="33" t="inlineStr">
        <is>
          <t>https://africanmarketingconfederation.org/amc-sponsors-2025/</t>
        </is>
      </c>
      <c r="B32" s="24" t="n">
        <v>1</v>
      </c>
      <c r="C32" s="24" t="n">
        <v>1</v>
      </c>
      <c r="D32" s="27" t="inlineStr"/>
      <c r="E32" s="27" t="inlineStr"/>
      <c r="F32">
        <f>IFERROR(HYPERLINK("#Main!A"&amp;MATCH(A32,Main!A:A,0),"Open"),HYPERLINK("#Main!A1","Open"))</f>
        <v/>
      </c>
    </row>
    <row r="33" ht="30" customHeight="1">
      <c r="A33" s="33" t="inlineStr">
        <is>
          <t>https://africanmarketingconfederation.org/amc-conference-2022-prospectus/</t>
        </is>
      </c>
      <c r="B33" s="6" t="n">
        <v>1</v>
      </c>
      <c r="C33" s="6" t="n">
        <v>1</v>
      </c>
      <c r="D33" s="30" t="inlineStr"/>
      <c r="E33" s="30" t="inlineStr"/>
      <c r="F33">
        <f>IFERROR(HYPERLINK("#Main!A"&amp;MATCH(A33,Main!A:A,0),"Open"),HYPERLINK("#Main!A1","Open"))</f>
        <v/>
      </c>
    </row>
    <row r="34" ht="30" customHeight="1">
      <c r="A34" s="33" t="inlineStr">
        <is>
          <t>https://africanmarketingconfederation.org/test-payment-gate/</t>
        </is>
      </c>
      <c r="B34" s="24" t="n">
        <v>1</v>
      </c>
      <c r="C34" s="24" t="n">
        <v>1</v>
      </c>
      <c r="D34" s="27" t="inlineStr"/>
      <c r="E34" s="27" t="inlineStr"/>
      <c r="F34">
        <f>IFERROR(HYPERLINK("#Main!A"&amp;MATCH(A34,Main!A:A,0),"Open"),HYPERLINK("#Main!A1","Open"))</f>
        <v/>
      </c>
    </row>
    <row r="35" ht="30" customHeight="1">
      <c r="A35" s="33" t="inlineStr">
        <is>
          <t>https://africanmarketingconfederation.org/amc-marketing-conference-2024/amc-preregister-2025/</t>
        </is>
      </c>
      <c r="B35" s="6" t="n">
        <v>1</v>
      </c>
      <c r="C35" s="6" t="n">
        <v>1</v>
      </c>
      <c r="D35" s="30" t="inlineStr"/>
      <c r="E35" s="30" t="inlineStr"/>
      <c r="F35">
        <f>IFERROR(HYPERLINK("#Main!A"&amp;MATCH(A35,Main!A:A,0),"Open"),HYPERLINK("#Main!A1","Open"))</f>
        <v/>
      </c>
    </row>
    <row r="36" ht="30" customHeight="1">
      <c r="A36" s="33" t="inlineStr">
        <is>
          <t>https://africanmarketingconfederation.org/conference-faq-2025/</t>
        </is>
      </c>
      <c r="B36" s="24" t="n">
        <v>1</v>
      </c>
      <c r="C36" s="24" t="n">
        <v>1</v>
      </c>
      <c r="D36" s="27" t="inlineStr"/>
      <c r="E36" s="27" t="inlineStr"/>
      <c r="F36">
        <f>IFERROR(HYPERLINK("#Main!A"&amp;MATCH(A36,Main!A:A,0),"Open"),HYPERLINK("#Main!A1","Open"))</f>
        <v/>
      </c>
    </row>
    <row r="37" ht="45" customHeight="1">
      <c r="A37" s="33" t="inlineStr">
        <is>
          <t>https://africanmarketingconfederation.org/amc-marketing-conference-2024/amc-conference-2025-ghana-sponsors/</t>
        </is>
      </c>
      <c r="B37" s="6" t="n">
        <v>1</v>
      </c>
      <c r="C37" s="6" t="n">
        <v>1</v>
      </c>
      <c r="D37" s="30" t="inlineStr"/>
      <c r="E37" s="30" t="inlineStr"/>
      <c r="F37">
        <f>IFERROR(HYPERLINK("#Main!A"&amp;MATCH(A37,Main!A:A,0),"Open"),HYPERLINK("#Main!A1","Open"))</f>
        <v/>
      </c>
    </row>
    <row r="38" ht="30" customHeight="1">
      <c r="A38" s="33" t="inlineStr">
        <is>
          <t>https://africanmarketingconfederation.org/amc-forum-payments/</t>
        </is>
      </c>
      <c r="B38" s="24" t="n">
        <v>1</v>
      </c>
      <c r="C38" s="24" t="n">
        <v>1</v>
      </c>
      <c r="D38" s="27" t="inlineStr"/>
      <c r="E38" s="27" t="inlineStr"/>
      <c r="F38">
        <f>IFERROR(HYPERLINK("#Main!A"&amp;MATCH(A38,Main!A:A,0),"Open"),HYPERLINK("#Main!A1","Open"))</f>
        <v/>
      </c>
    </row>
    <row r="39" ht="30" customHeight="1">
      <c r="A39" s="33" t="inlineStr">
        <is>
          <t>https://africanmarketingconfederation.org/amc-marketing-conference-2024/amc-launch-event-2025/</t>
        </is>
      </c>
      <c r="B39" s="6" t="n">
        <v>1</v>
      </c>
      <c r="C39" s="6" t="n">
        <v>1</v>
      </c>
      <c r="D39" s="30" t="inlineStr"/>
      <c r="E39" s="30" t="inlineStr"/>
      <c r="F39">
        <f>IFERROR(HYPERLINK("#Main!A"&amp;MATCH(A39,Main!A:A,0),"Open"),HYPERLINK("#Main!A1","Open"))</f>
        <v/>
      </c>
    </row>
    <row r="40" ht="30" customHeight="1">
      <c r="A40" s="33" t="inlineStr">
        <is>
          <t>https://africanmarketingconfederation.org/checkout/</t>
        </is>
      </c>
      <c r="B40" s="24" t="n">
        <v>1</v>
      </c>
      <c r="C40" s="24" t="n">
        <v>1</v>
      </c>
      <c r="D40" s="27" t="inlineStr"/>
      <c r="E40" s="27" t="inlineStr"/>
      <c r="F40">
        <f>IFERROR(HYPERLINK("#Main!A"&amp;MATCH(A40,Main!A:A,0),"Open"),HYPERLINK("#Main!A1","Open"))</f>
        <v/>
      </c>
    </row>
    <row r="41" ht="30" customHeight="1">
      <c r="A41" s="33" t="inlineStr">
        <is>
          <t>https://africanmarketingconfederation.org/amc-awards-2024/</t>
        </is>
      </c>
      <c r="B41" s="6" t="n">
        <v>1</v>
      </c>
      <c r="C41" s="6" t="n">
        <v>1</v>
      </c>
      <c r="D41" s="30" t="inlineStr"/>
      <c r="E41" s="30" t="inlineStr"/>
      <c r="F41">
        <f>IFERROR(HYPERLINK("#Main!A"&amp;MATCH(A41,Main!A:A,0),"Open"),HYPERLINK("#Main!A1","Open"))</f>
        <v/>
      </c>
    </row>
    <row r="42" ht="30" customHeight="1">
      <c r="A42" s="33" t="inlineStr">
        <is>
          <t>https://africanmarketingconfederation.org/amc-conference-2023/</t>
        </is>
      </c>
      <c r="B42" s="24" t="n">
        <v>1</v>
      </c>
      <c r="C42" s="24" t="n">
        <v>1</v>
      </c>
      <c r="D42" s="27" t="inlineStr"/>
      <c r="E42" s="27" t="inlineStr"/>
      <c r="F42">
        <f>IFERROR(HYPERLINK("#Main!A"&amp;MATCH(A42,Main!A:A,0),"Open"),HYPERLINK("#Main!A1","Open"))</f>
        <v/>
      </c>
    </row>
    <row r="43" ht="30" customHeight="1">
      <c r="A43" s="33" t="inlineStr">
        <is>
          <t>https://africanmarketingconfederation.org/amc-forum-mombasa/</t>
        </is>
      </c>
      <c r="B43" s="6" t="n">
        <v>2</v>
      </c>
      <c r="C43" s="6" t="n">
        <v>2</v>
      </c>
      <c r="D43" s="30" t="inlineStr">
        <is>
          <t>https://africanmarketingconfederation.org/amc-forum-mombasa/ | https://africanmarketingconfederation.org/amc-marketing-conference-2024/</t>
        </is>
      </c>
      <c r="E43" s="30" t="inlineStr">
        <is>
          <t>https://africanmarketingconfederation.org/amc-forum-mombasa/ | https://africanmarketingconfederation.org/amc-marketing-conference-2024/</t>
        </is>
      </c>
      <c r="F43">
        <f>IFERROR(HYPERLINK("#Main!A"&amp;MATCH(A43,Main!A:A,0),"Open"),HYPERLINK("#Main!A1","Open"))</f>
        <v/>
      </c>
    </row>
    <row r="44" ht="45" customHeight="1">
      <c r="A44" s="33" t="inlineStr">
        <is>
          <t>https://africanmarketingconfederation.org/amc-marketing-conference-2024/amc-speakers-presentations-2024/</t>
        </is>
      </c>
      <c r="B44" s="24" t="n">
        <v>1</v>
      </c>
      <c r="C44" s="24" t="n">
        <v>1</v>
      </c>
      <c r="D44" s="27" t="inlineStr"/>
      <c r="E44" s="27" t="inlineStr"/>
      <c r="F44">
        <f>IFERROR(HYPERLINK("#Main!A"&amp;MATCH(A44,Main!A:A,0),"Open"),HYPERLINK("#Main!A1","Open"))</f>
        <v/>
      </c>
    </row>
    <row r="45" ht="30" customHeight="1">
      <c r="A45" s="33" t="inlineStr">
        <is>
          <t>https://africanmarketingconfederation.org/amc-marketing-conference-2024/testimony-thank-you-page/</t>
        </is>
      </c>
      <c r="B45" s="6" t="n">
        <v>1</v>
      </c>
      <c r="C45" s="6" t="n">
        <v>1</v>
      </c>
      <c r="D45" s="30" t="inlineStr"/>
      <c r="E45" s="30" t="inlineStr"/>
      <c r="F45">
        <f>IFERROR(HYPERLINK("#Main!A"&amp;MATCH(A45,Main!A:A,0),"Open"),HYPERLINK("#Main!A1","Open"))</f>
        <v/>
      </c>
    </row>
    <row r="46" ht="30" customHeight="1">
      <c r="A46" s="33" t="inlineStr">
        <is>
          <t>https://africanmarketingconfederation.org/amc-sign-up-now-form-2025/</t>
        </is>
      </c>
      <c r="B46" s="24" t="n">
        <v>1</v>
      </c>
      <c r="C46" s="24" t="n">
        <v>1</v>
      </c>
      <c r="D46" s="27" t="inlineStr"/>
      <c r="E46" s="27" t="inlineStr"/>
      <c r="F46">
        <f>IFERROR(HYPERLINK("#Main!A"&amp;MATCH(A46,Main!A:A,0),"Open"),HYPERLINK("#Main!A1","Open"))</f>
        <v/>
      </c>
    </row>
    <row r="47" ht="30" customHeight="1">
      <c r="A47" s="33" t="inlineStr">
        <is>
          <t>https://africanmarketingconfederation.org/amc-marketing-conference-2024/</t>
        </is>
      </c>
      <c r="B47" s="6" t="n">
        <v>2</v>
      </c>
      <c r="C47" s="6" t="n">
        <v>2</v>
      </c>
      <c r="D47" s="30" t="inlineStr">
        <is>
          <t>https://africanmarketingconfederation.org/amc-forum-mombasa/ | https://africanmarketingconfederation.org/amc-marketing-conference-2024/</t>
        </is>
      </c>
      <c r="E47" s="30" t="inlineStr">
        <is>
          <t>https://africanmarketingconfederation.org/amc-forum-mombasa/ | https://africanmarketingconfederation.org/amc-marketing-conference-2024/</t>
        </is>
      </c>
      <c r="F47">
        <f>IFERROR(HYPERLINK("#Main!A"&amp;MATCH(A47,Main!A:A,0),"Open"),HYPERLINK("#Main!A1","Open"))</f>
        <v/>
      </c>
    </row>
    <row r="48" ht="30" customHeight="1">
      <c r="A48" s="33" t="inlineStr">
        <is>
          <t>https://africanmarketingconfederation.org/amc-testimony-page-2024/</t>
        </is>
      </c>
      <c r="B48" s="24" t="n">
        <v>1</v>
      </c>
      <c r="C48" s="24" t="n">
        <v>1</v>
      </c>
      <c r="D48" s="27" t="inlineStr"/>
      <c r="E48" s="27" t="inlineStr"/>
      <c r="F48">
        <f>IFERROR(HYPERLINK("#Main!A"&amp;MATCH(A48,Main!A:A,0),"Open"),HYPERLINK("#Main!A1","Open"))</f>
        <v/>
      </c>
    </row>
    <row r="49" ht="30" customHeight="1">
      <c r="A49" s="33" t="inlineStr">
        <is>
          <t>https://africanmarketingconfederation.org/thank-you-for-registering-2024-registrations/</t>
        </is>
      </c>
      <c r="B49" s="6" t="n">
        <v>1</v>
      </c>
      <c r="C49" s="6" t="n">
        <v>1</v>
      </c>
      <c r="D49" s="30" t="inlineStr"/>
      <c r="E49" s="30" t="inlineStr"/>
      <c r="F49">
        <f>IFERROR(HYPERLINK("#Main!A"&amp;MATCH(A49,Main!A:A,0),"Open"),HYPERLINK("#Main!A1","Open"))</f>
        <v/>
      </c>
    </row>
    <row r="50" ht="30" customHeight="1">
      <c r="A50" s="33" t="inlineStr">
        <is>
          <t>https://africanmarketingconfederation.org/download-prospectus-2024/</t>
        </is>
      </c>
      <c r="B50" s="24" t="n">
        <v>1</v>
      </c>
      <c r="C50" s="24" t="n">
        <v>1</v>
      </c>
      <c r="D50" s="27" t="inlineStr"/>
      <c r="E50" s="27" t="inlineStr"/>
      <c r="F50">
        <f>IFERROR(HYPERLINK("#Main!A"&amp;MATCH(A50,Main!A:A,0),"Open"),HYPERLINK("#Main!A1","Open"))</f>
        <v/>
      </c>
    </row>
    <row r="51" ht="30" customHeight="1">
      <c r="A51" s="33" t="inlineStr">
        <is>
          <t>https://africanmarketingconfederation.org/thank-you-for-registering-2024-registrations-kenya/</t>
        </is>
      </c>
      <c r="B51" s="6" t="n">
        <v>1</v>
      </c>
      <c r="C51" s="6" t="n">
        <v>1</v>
      </c>
      <c r="D51" s="30" t="inlineStr"/>
      <c r="E51" s="30" t="inlineStr"/>
      <c r="F51">
        <f>IFERROR(HYPERLINK("#Main!A"&amp;MATCH(A51,Main!A:A,0),"Open"),HYPERLINK("#Main!A1","Open"))</f>
        <v/>
      </c>
    </row>
    <row r="52" ht="30" customHeight="1">
      <c r="A52" s="33" t="inlineStr">
        <is>
          <t>https://africanmarketingconfederation.org/subscribe/</t>
        </is>
      </c>
      <c r="B52" s="24" t="n">
        <v>1</v>
      </c>
      <c r="C52" s="24" t="n">
        <v>1</v>
      </c>
      <c r="D52" s="27" t="inlineStr"/>
      <c r="E52" s="27" t="inlineStr"/>
      <c r="F52">
        <f>IFERROR(HYPERLINK("#Main!A"&amp;MATCH(A52,Main!A:A,0),"Open"),HYPERLINK("#Main!A1","Open"))</f>
        <v/>
      </c>
    </row>
    <row r="53" ht="30" customHeight="1">
      <c r="A53" s="33" t="inlineStr">
        <is>
          <t>https://africanmarketingconfederation.org/amc-marketing-conference-2024/speakers-2024/</t>
        </is>
      </c>
      <c r="B53" s="6" t="n">
        <v>0</v>
      </c>
      <c r="C53" s="6" t="n">
        <v>0</v>
      </c>
      <c r="D53" s="30" t="inlineStr"/>
      <c r="E53" s="30" t="inlineStr"/>
      <c r="F53">
        <f>IFERROR(HYPERLINK("#Main!A"&amp;MATCH(A53,Main!A:A,0),"Open"),HYPERLINK("#Main!A1","Open"))</f>
        <v/>
      </c>
    </row>
    <row r="54" ht="30" customHeight="1">
      <c r="A54" s="33" t="inlineStr">
        <is>
          <t>https://africanmarketingconfederation.org/amc-conference-sponsors/</t>
        </is>
      </c>
      <c r="B54" s="24" t="n">
        <v>0</v>
      </c>
      <c r="C54" s="24" t="n">
        <v>0</v>
      </c>
      <c r="D54" s="27" t="inlineStr"/>
      <c r="E54" s="27" t="inlineStr"/>
      <c r="F54">
        <f>IFERROR(HYPERLINK("#Main!A"&amp;MATCH(A54,Main!A:A,0),"Open"),HYPERLINK("#Main!A1","Open"))</f>
        <v/>
      </c>
    </row>
    <row r="55" ht="30" customHeight="1">
      <c r="A55" s="33" t="inlineStr">
        <is>
          <t>https://africanmarketingconfederation.org/elementor-20341/</t>
        </is>
      </c>
      <c r="B55" s="6" t="n">
        <v>1</v>
      </c>
      <c r="C55" s="6" t="n">
        <v>0</v>
      </c>
      <c r="D55" s="30" t="inlineStr"/>
      <c r="E55" s="30" t="inlineStr"/>
      <c r="F55">
        <f>IFERROR(HYPERLINK("#Main!A"&amp;MATCH(A55,Main!A:A,0),"Open"),HYPERLINK("#Main!A1","Open"))</f>
        <v/>
      </c>
    </row>
    <row r="56" ht="30" customHeight="1">
      <c r="A56" s="33" t="inlineStr">
        <is>
          <t>https://africanmarketingconfederation.org/chartered-marketer-africa-final-submission-fee/</t>
        </is>
      </c>
      <c r="B56" s="24" t="n">
        <v>1</v>
      </c>
      <c r="C56" s="24" t="n">
        <v>1</v>
      </c>
      <c r="D56" s="27" t="inlineStr"/>
      <c r="E56" s="27" t="inlineStr"/>
      <c r="F56">
        <f>IFERROR(HYPERLINK("#Main!A"&amp;MATCH(A56,Main!A:A,0),"Open"),HYPERLINK("#Main!A1","Open"))</f>
        <v/>
      </c>
    </row>
    <row r="57" ht="30" customHeight="1">
      <c r="A57" s="33" t="inlineStr">
        <is>
          <t>https://africanmarketingconfederation.org/chartered-marketer-africa-programme-fee/</t>
        </is>
      </c>
      <c r="B57" s="6" t="n">
        <v>1</v>
      </c>
      <c r="C57" s="6" t="n">
        <v>1</v>
      </c>
      <c r="D57" s="30" t="inlineStr"/>
      <c r="E57" s="30" t="inlineStr"/>
      <c r="F57">
        <f>IFERROR(HYPERLINK("#Main!A"&amp;MATCH(A57,Main!A:A,0),"Open"),HYPERLINK("#Main!A1","Open"))</f>
        <v/>
      </c>
    </row>
    <row r="58" ht="30" customHeight="1">
      <c r="A58" s="33" t="inlineStr">
        <is>
          <t>https://africanmarketingconfederation.org/download-brochure/</t>
        </is>
      </c>
      <c r="B58" s="24" t="n">
        <v>1</v>
      </c>
      <c r="C58" s="24" t="n">
        <v>1</v>
      </c>
      <c r="D58" s="27" t="inlineStr"/>
      <c r="E58" s="27" t="inlineStr"/>
      <c r="F58">
        <f>IFERROR(HYPERLINK("#Main!A"&amp;MATCH(A58,Main!A:A,0),"Open"),HYPERLINK("#Main!A1","Open"))</f>
        <v/>
      </c>
    </row>
    <row r="59" ht="30" customHeight="1">
      <c r="A59" s="33" t="inlineStr">
        <is>
          <t>https://africanmarketingconfederation.org/thank-you-for-the-nomination-2024/</t>
        </is>
      </c>
      <c r="B59" s="6" t="n">
        <v>1</v>
      </c>
      <c r="C59" s="6" t="n">
        <v>1</v>
      </c>
      <c r="D59" s="30" t="inlineStr"/>
      <c r="E59" s="30" t="inlineStr"/>
      <c r="F59">
        <f>IFERROR(HYPERLINK("#Main!A"&amp;MATCH(A59,Main!A:A,0),"Open"),HYPERLINK("#Main!A1","Open"))</f>
        <v/>
      </c>
    </row>
    <row r="60" ht="30" customHeight="1">
      <c r="A60" s="33" t="inlineStr">
        <is>
          <t>https://africanmarketingconfederation.org/thank-you-for-the-submission-2024/</t>
        </is>
      </c>
      <c r="B60" s="24" t="n">
        <v>1</v>
      </c>
      <c r="C60" s="24" t="n">
        <v>1</v>
      </c>
      <c r="D60" s="27" t="inlineStr"/>
      <c r="E60" s="27" t="inlineStr"/>
      <c r="F60">
        <f>IFERROR(HYPERLINK("#Main!A"&amp;MATCH(A60,Main!A:A,0),"Open"),HYPERLINK("#Main!A1","Open"))</f>
        <v/>
      </c>
    </row>
    <row r="61" ht="30" customHeight="1">
      <c r="A61" s="33" t="inlineStr">
        <is>
          <t>https://africanmarketingconfederation.org/amc-conference-2024-sponsors-packages/</t>
        </is>
      </c>
      <c r="B61" s="6" t="n">
        <v>1</v>
      </c>
      <c r="C61" s="6" t="n">
        <v>1</v>
      </c>
      <c r="D61" s="30" t="inlineStr"/>
      <c r="E61" s="30" t="inlineStr"/>
      <c r="F61">
        <f>IFERROR(HYPERLINK("#Main!A"&amp;MATCH(A61,Main!A:A,0),"Open"),HYPERLINK("#Main!A1","Open"))</f>
        <v/>
      </c>
    </row>
    <row r="62" ht="30" customHeight="1">
      <c r="A62" s="33" t="inlineStr">
        <is>
          <t>https://africanmarketingconfederation.org/elementor-16548/</t>
        </is>
      </c>
      <c r="B62" s="24" t="n">
        <v>1</v>
      </c>
      <c r="C62" s="24" t="n">
        <v>1</v>
      </c>
      <c r="D62" s="27" t="inlineStr"/>
      <c r="E62" s="27" t="inlineStr"/>
      <c r="F62">
        <f>IFERROR(HYPERLINK("#Main!A"&amp;MATCH(A62,Main!A:A,0),"Open"),HYPERLINK("#Main!A1","Open"))</f>
        <v/>
      </c>
    </row>
    <row r="63" ht="30" customHeight="1">
      <c r="A63" s="33" t="inlineStr">
        <is>
          <t>https://africanmarketingconfederation.org/amc-marketing-conference-2024/programme-2024/</t>
        </is>
      </c>
      <c r="B63" s="6" t="n">
        <v>1</v>
      </c>
      <c r="C63" s="6" t="n">
        <v>1</v>
      </c>
      <c r="D63" s="30" t="inlineStr"/>
      <c r="E63" s="30" t="inlineStr"/>
      <c r="F63">
        <f>IFERROR(HYPERLINK("#Main!A"&amp;MATCH(A63,Main!A:A,0),"Open"),HYPERLINK("#Main!A1","Open"))</f>
        <v/>
      </c>
    </row>
    <row r="64" ht="30" customHeight="1">
      <c r="A64" s="33" t="inlineStr">
        <is>
          <t>https://africanmarketingconfederation.org/amc-conference-2023/programme/</t>
        </is>
      </c>
      <c r="B64" s="24" t="n">
        <v>1</v>
      </c>
      <c r="C64" s="24" t="n">
        <v>1</v>
      </c>
      <c r="D64" s="27" t="inlineStr"/>
      <c r="E64" s="27" t="inlineStr"/>
      <c r="F64">
        <f>IFERROR(HYPERLINK("#Main!A"&amp;MATCH(A64,Main!A:A,0),"Open"),HYPERLINK("#Main!A1","Open"))</f>
        <v/>
      </c>
    </row>
    <row r="65" ht="30" customHeight="1">
      <c r="A65" s="33" t="inlineStr">
        <is>
          <t>https://africanmarketingconfederation.org/amc-conference-2023/amc-awards/</t>
        </is>
      </c>
      <c r="B65" s="6" t="n">
        <v>1</v>
      </c>
      <c r="C65" s="6" t="n">
        <v>1</v>
      </c>
      <c r="D65" s="30" t="inlineStr"/>
      <c r="E65" s="30" t="inlineStr"/>
      <c r="F65">
        <f>IFERROR(HYPERLINK("#Main!A"&amp;MATCH(A65,Main!A:A,0),"Open"),HYPERLINK("#Main!A1","Open"))</f>
        <v/>
      </c>
    </row>
    <row r="66" ht="30" customHeight="1">
      <c r="A66" s="33" t="inlineStr">
        <is>
          <t>https://africanmarketingconfederation.org/amc-conference-2023/partners/</t>
        </is>
      </c>
      <c r="B66" s="24" t="n">
        <v>1</v>
      </c>
      <c r="C66" s="24" t="n">
        <v>1</v>
      </c>
      <c r="D66" s="27" t="inlineStr"/>
      <c r="E66" s="27" t="inlineStr"/>
      <c r="F66">
        <f>IFERROR(HYPERLINK("#Main!A"&amp;MATCH(A66,Main!A:A,0),"Open"),HYPERLINK("#Main!A1","Open"))</f>
        <v/>
      </c>
    </row>
    <row r="67" ht="30" customHeight="1">
      <c r="A67" s="33" t="inlineStr">
        <is>
          <t>https://africanmarketingconfederation.org/amc-conference-2023/speakers/</t>
        </is>
      </c>
      <c r="B67" s="6" t="n">
        <v>2</v>
      </c>
      <c r="C67" s="6" t="n">
        <v>1</v>
      </c>
      <c r="D67" s="30" t="inlineStr">
        <is>
          <t>https://africanmarketingconfederation.org/amc-conference-2023/speakers/ | https://africanmarketingconfederation.org/speakers/</t>
        </is>
      </c>
      <c r="E67" s="30" t="inlineStr"/>
      <c r="F67">
        <f>IFERROR(HYPERLINK("#Main!A"&amp;MATCH(A67,Main!A:A,0),"Open"),HYPERLINK("#Main!A1","Open"))</f>
        <v/>
      </c>
    </row>
    <row r="68" ht="30" customHeight="1">
      <c r="A68" s="33" t="inlineStr">
        <is>
          <t>https://africanmarketingconfederation.org/chartered-marketer-africa-thank-you/</t>
        </is>
      </c>
      <c r="B68" s="24" t="n">
        <v>1</v>
      </c>
      <c r="C68" s="24" t="n">
        <v>1</v>
      </c>
      <c r="D68" s="27" t="inlineStr"/>
      <c r="E68" s="27" t="inlineStr"/>
      <c r="F68">
        <f>IFERROR(HYPERLINK("#Main!A"&amp;MATCH(A68,Main!A:A,0),"Open"),HYPERLINK("#Main!A1","Open"))</f>
        <v/>
      </c>
    </row>
    <row r="69" ht="30" customHeight="1">
      <c r="A69" s="33" t="inlineStr">
        <is>
          <t>https://africanmarketingconfederation.org/amc-conference-2023/amc-awards-book-now/</t>
        </is>
      </c>
      <c r="B69" s="6" t="n">
        <v>1</v>
      </c>
      <c r="C69" s="6" t="n">
        <v>0</v>
      </c>
      <c r="D69" s="30" t="inlineStr"/>
      <c r="E69" s="30" t="inlineStr"/>
      <c r="F69">
        <f>IFERROR(HYPERLINK("#Main!A"&amp;MATCH(A69,Main!A:A,0),"Open"),HYPERLINK("#Main!A1","Open"))</f>
        <v/>
      </c>
    </row>
    <row r="70" ht="30" customHeight="1">
      <c r="A70" s="33" t="inlineStr">
        <is>
          <t>https://africanmarketingconfederation.org/amc-conference-2023/book-now/</t>
        </is>
      </c>
      <c r="B70" s="24" t="n">
        <v>1</v>
      </c>
      <c r="C70" s="24" t="n">
        <v>1</v>
      </c>
      <c r="D70" s="27" t="inlineStr"/>
      <c r="E70" s="27" t="inlineStr"/>
      <c r="F70">
        <f>IFERROR(HYPERLINK("#Main!A"&amp;MATCH(A70,Main!A:A,0),"Open"),HYPERLINK("#Main!A1","Open"))</f>
        <v/>
      </c>
    </row>
    <row r="71" ht="30" customHeight="1">
      <c r="A71" s="33" t="inlineStr">
        <is>
          <t>https://africanmarketingconfederation.org/amc-conference-2023/download-prospectus/</t>
        </is>
      </c>
      <c r="B71" s="6" t="n">
        <v>1</v>
      </c>
      <c r="C71" s="6" t="n">
        <v>1</v>
      </c>
      <c r="D71" s="30" t="inlineStr"/>
      <c r="E71" s="30" t="inlineStr"/>
      <c r="F71">
        <f>IFERROR(HYPERLINK("#Main!A"&amp;MATCH(A71,Main!A:A,0),"Open"),HYPERLINK("#Main!A1","Open"))</f>
        <v/>
      </c>
    </row>
    <row r="72" ht="30" customHeight="1">
      <c r="A72" s="33" t="inlineStr">
        <is>
          <t>https://africanmarketingconfederation.org/thank-you-for-subscribing/</t>
        </is>
      </c>
      <c r="B72" s="24" t="n">
        <v>1</v>
      </c>
      <c r="C72" s="24" t="n">
        <v>1</v>
      </c>
      <c r="D72" s="27" t="inlineStr"/>
      <c r="E72" s="27" t="inlineStr"/>
      <c r="F72">
        <f>IFERROR(HYPERLINK("#Main!A"&amp;MATCH(A72,Main!A:A,0),"Open"),HYPERLINK("#Main!A1","Open"))</f>
        <v/>
      </c>
    </row>
    <row r="73" ht="30" customHeight="1">
      <c r="A73" s="33" t="inlineStr">
        <is>
          <t>https://africanmarketingconfederation.org/amc-conference-2023/book-now-thank-you/</t>
        </is>
      </c>
      <c r="B73" s="6" t="n">
        <v>1</v>
      </c>
      <c r="C73" s="6" t="n">
        <v>1</v>
      </c>
      <c r="D73" s="30" t="inlineStr"/>
      <c r="E73" s="30" t="inlineStr"/>
      <c r="F73">
        <f>IFERROR(HYPERLINK("#Main!A"&amp;MATCH(A73,Main!A:A,0),"Open"),HYPERLINK("#Main!A1","Open"))</f>
        <v/>
      </c>
    </row>
    <row r="74" ht="30" customHeight="1">
      <c r="A74" s="33" t="inlineStr">
        <is>
          <t>https://africanmarketingconfederation.org/upcoming-events/</t>
        </is>
      </c>
      <c r="B74" s="24" t="n">
        <v>1</v>
      </c>
      <c r="C74" s="24" t="n">
        <v>1</v>
      </c>
      <c r="D74" s="27" t="inlineStr"/>
      <c r="E74" s="27" t="inlineStr"/>
      <c r="F74">
        <f>IFERROR(HYPERLINK("#Main!A"&amp;MATCH(A74,Main!A:A,0),"Open"),HYPERLINK("#Main!A1","Open"))</f>
        <v/>
      </c>
    </row>
    <row r="75" ht="30" customHeight="1">
      <c r="A75" s="33" t="inlineStr">
        <is>
          <t>https://africanmarketingconfederation.org/amc-conference-thank-you/</t>
        </is>
      </c>
      <c r="B75" s="6" t="n">
        <v>1</v>
      </c>
      <c r="C75" s="6" t="n">
        <v>1</v>
      </c>
      <c r="D75" s="30" t="inlineStr"/>
      <c r="E75" s="30" t="inlineStr"/>
      <c r="F75">
        <f>IFERROR(HYPERLINK("#Main!A"&amp;MATCH(A75,Main!A:A,0),"Open"),HYPERLINK("#Main!A1","Open"))</f>
        <v/>
      </c>
    </row>
    <row r="76" ht="30" customHeight="1">
      <c r="A76" s="33" t="inlineStr">
        <is>
          <t>https://africanmarketingconfederation.org/amc-masterclass/</t>
        </is>
      </c>
      <c r="B76" s="24" t="n">
        <v>1</v>
      </c>
      <c r="C76" s="24" t="n">
        <v>1</v>
      </c>
      <c r="D76" s="27" t="inlineStr"/>
      <c r="E76" s="27" t="inlineStr"/>
      <c r="F76">
        <f>IFERROR(HYPERLINK("#Main!A"&amp;MATCH(A76,Main!A:A,0),"Open"),HYPERLINK("#Main!A1","Open"))</f>
        <v/>
      </c>
    </row>
    <row r="77" ht="30" customHeight="1">
      <c r="A77" s="33" t="inlineStr">
        <is>
          <t>https://africanmarketingconfederation.org/amc-relaunch-programme/</t>
        </is>
      </c>
      <c r="B77" s="6" t="n">
        <v>1</v>
      </c>
      <c r="C77" s="6" t="n">
        <v>1</v>
      </c>
      <c r="D77" s="30" t="inlineStr"/>
      <c r="E77" s="30" t="inlineStr"/>
      <c r="F77">
        <f>IFERROR(HYPERLINK("#Main!A"&amp;MATCH(A77,Main!A:A,0),"Open"),HYPERLINK("#Main!A1","Open"))</f>
        <v/>
      </c>
    </row>
    <row r="78" ht="30" customHeight="1">
      <c r="A78" s="33" t="inlineStr">
        <is>
          <t>https://africanmarketingconfederation.org/amc-masterclass-thank-you/</t>
        </is>
      </c>
      <c r="B78" s="24" t="n">
        <v>1</v>
      </c>
      <c r="C78" s="24" t="n">
        <v>1</v>
      </c>
      <c r="D78" s="27" t="inlineStr"/>
      <c r="E78" s="27" t="inlineStr"/>
      <c r="F78">
        <f>IFERROR(HYPERLINK("#Main!A"&amp;MATCH(A78,Main!A:A,0),"Open"),HYPERLINK("#Main!A1","Open"))</f>
        <v/>
      </c>
    </row>
    <row r="79" ht="30" customHeight="1">
      <c r="A79" s="33" t="inlineStr">
        <is>
          <t>https://africanmarketingconfederation.org/amc-masterclass-bookings/</t>
        </is>
      </c>
      <c r="B79" s="6" t="n">
        <v>1</v>
      </c>
      <c r="C79" s="6" t="n">
        <v>0</v>
      </c>
      <c r="D79" s="30" t="inlineStr"/>
      <c r="E79" s="30" t="inlineStr"/>
      <c r="F79">
        <f>IFERROR(HYPERLINK("#Main!A"&amp;MATCH(A79,Main!A:A,0),"Open"),HYPERLINK("#Main!A1","Open"))</f>
        <v/>
      </c>
    </row>
    <row r="80" ht="30" customHeight="1">
      <c r="A80" s="33" t="inlineStr">
        <is>
          <t>https://africanmarketingconfederation.org/amc-conference-programme/</t>
        </is>
      </c>
      <c r="B80" s="24" t="n">
        <v>1</v>
      </c>
      <c r="C80" s="24" t="n">
        <v>1</v>
      </c>
      <c r="D80" s="27" t="inlineStr"/>
      <c r="E80" s="27" t="inlineStr"/>
      <c r="F80">
        <f>IFERROR(HYPERLINK("#Main!A"&amp;MATCH(A80,Main!A:A,0),"Open"),HYPERLINK("#Main!A1","Open"))</f>
        <v/>
      </c>
    </row>
    <row r="81" ht="30" customHeight="1">
      <c r="A81" s="33" t="inlineStr">
        <is>
          <t>https://africanmarketingconfederation.org/test-homeslider/</t>
        </is>
      </c>
      <c r="B81" s="6" t="n">
        <v>1</v>
      </c>
      <c r="C81" s="6" t="n">
        <v>1</v>
      </c>
      <c r="D81" s="30" t="inlineStr"/>
      <c r="E81" s="30" t="inlineStr"/>
      <c r="F81">
        <f>IFERROR(HYPERLINK("#Main!A"&amp;MATCH(A81,Main!A:A,0),"Open"),HYPERLINK("#Main!A1","Open"))</f>
        <v/>
      </c>
    </row>
    <row r="82" ht="30" customHeight="1">
      <c r="A82" s="33" t="inlineStr">
        <is>
          <t>https://africanmarketingconfederation.org/virtual-programme/</t>
        </is>
      </c>
      <c r="B82" s="24" t="n">
        <v>1</v>
      </c>
      <c r="C82" s="24" t="n">
        <v>1</v>
      </c>
      <c r="D82" s="27" t="inlineStr"/>
      <c r="E82" s="27" t="inlineStr"/>
      <c r="F82">
        <f>IFERROR(HYPERLINK("#Main!A"&amp;MATCH(A82,Main!A:A,0),"Open"),HYPERLINK("#Main!A1","Open"))</f>
        <v/>
      </c>
    </row>
    <row r="83" ht="30" customHeight="1">
      <c r="A83" s="33" t="inlineStr">
        <is>
          <t>https://africanmarketingconfederation.org/general-enquiry-form-thank-you/</t>
        </is>
      </c>
      <c r="B83" s="6" t="n">
        <v>1</v>
      </c>
      <c r="C83" s="6" t="n">
        <v>1</v>
      </c>
      <c r="D83" s="30" t="inlineStr"/>
      <c r="E83" s="30" t="inlineStr"/>
      <c r="F83">
        <f>IFERROR(HYPERLINK("#Main!A"&amp;MATCH(A83,Main!A:A,0),"Open"),HYPERLINK("#Main!A1","Open"))</f>
        <v/>
      </c>
    </row>
    <row r="84" ht="30" customHeight="1">
      <c r="A84" s="33" t="inlineStr">
        <is>
          <t>https://africanmarketingconfederation.org/amc-conference-2022-thank-you/</t>
        </is>
      </c>
      <c r="B84" s="24" t="n">
        <v>1</v>
      </c>
      <c r="C84" s="24" t="n">
        <v>1</v>
      </c>
      <c r="D84" s="27" t="inlineStr"/>
      <c r="E84" s="27" t="inlineStr"/>
      <c r="F84">
        <f>IFERROR(HYPERLINK("#Main!A"&amp;MATCH(A84,Main!A:A,0),"Open"),HYPERLINK("#Main!A1","Open"))</f>
        <v/>
      </c>
    </row>
    <row r="85" ht="30" customHeight="1">
      <c r="A85" s="33" t="inlineStr">
        <is>
          <t>https://africanmarketingconfederation.org/privacy-policy/</t>
        </is>
      </c>
      <c r="B85" s="6" t="n">
        <v>1</v>
      </c>
      <c r="C85" s="6" t="n">
        <v>1</v>
      </c>
      <c r="D85" s="30" t="inlineStr"/>
      <c r="E85" s="30" t="inlineStr"/>
      <c r="F85">
        <f>IFERROR(HYPERLINK("#Main!A"&amp;MATCH(A85,Main!A:A,0),"Open"),HYPERLINK("#Main!A1","Open"))</f>
        <v/>
      </c>
    </row>
    <row r="86" ht="30" customHeight="1">
      <c r="A86" s="33" t="inlineStr">
        <is>
          <t>https://africanmarketingconfederation.org/speakers/</t>
        </is>
      </c>
      <c r="B86" s="24" t="n">
        <v>2</v>
      </c>
      <c r="C86" s="24" t="n">
        <v>1</v>
      </c>
      <c r="D86" s="27" t="inlineStr">
        <is>
          <t>https://africanmarketingconfederation.org/amc-conference-2023/speakers/ | https://africanmarketingconfederation.org/speakers/</t>
        </is>
      </c>
      <c r="E86" s="27" t="inlineStr"/>
      <c r="F86">
        <f>IFERROR(HYPERLINK("#Main!A"&amp;MATCH(A86,Main!A:A,0),"Open"),HYPERLINK("#Main!A1","Open"))</f>
        <v/>
      </c>
    </row>
  </sheetData>
  <autoFilter ref="A1:E86"/>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2" customWidth="1" min="1" max="1"/>
    <col width="60" customWidth="1" min="2" max="2"/>
    <col width="11" customWidth="1" min="3" max="3"/>
    <col width="26" customWidth="1" min="4" max="4"/>
    <col width="17" customWidth="1" min="5" max="5"/>
    <col width="17" customWidth="1" min="6" max="6"/>
    <col width="26" customWidth="1" min="7" max="7"/>
    <col width="60" customWidth="1" min="8" max="8"/>
    <col width="60" customWidth="1" min="9" max="9"/>
  </cols>
  <sheetData>
    <row r="1">
      <c r="A1" s="1" t="inlineStr">
        <is>
          <t>Path Segment</t>
        </is>
      </c>
      <c r="B1" s="1" t="inlineStr">
        <is>
          <t>Title Pattern</t>
        </is>
      </c>
      <c r="C1" s="1" t="inlineStr">
        <is>
          <t>URL Count</t>
        </is>
      </c>
      <c r="D1" s="1" t="inlineStr">
        <is>
          <t>Cluster Health Score Avg</t>
        </is>
      </c>
      <c r="E1" s="1" t="inlineStr">
        <is>
          <t>% with Critical</t>
        </is>
      </c>
      <c r="F1" s="1" t="inlineStr">
        <is>
          <t>% with Warnings</t>
        </is>
      </c>
      <c r="G1" s="1" t="inlineStr">
        <is>
          <t>Dominant Issue Type</t>
        </is>
      </c>
      <c r="H1" s="1" t="inlineStr">
        <is>
          <t>Suggested Template Fix</t>
        </is>
      </c>
      <c r="I1" s="1" t="inlineStr">
        <is>
          <t>URLs</t>
        </is>
      </c>
      <c r="J1" s="23" t="inlineStr">
        <is>
          <t>BACK TO DASHBOARD</t>
        </is>
      </c>
    </row>
    <row r="2">
      <c r="A2" s="24" t="inlineStr">
        <is>
          <t>amc-forum-mombasa</t>
        </is>
      </c>
      <c r="B2" s="24" t="inlineStr">
        <is>
          <t>amc forum mombasa – african marketing confederation</t>
        </is>
      </c>
      <c r="C2" s="27" t="n">
        <v>2</v>
      </c>
      <c r="D2" s="24" t="n">
        <v>69</v>
      </c>
      <c r="E2" s="32" t="n">
        <v>0</v>
      </c>
      <c r="F2" s="4" t="n">
        <v>100</v>
      </c>
      <c r="G2" s="24" t="inlineStr">
        <is>
          <t>Low AEO Readiness Score</t>
        </is>
      </c>
      <c r="H2" s="24" t="inlineStr">
        <is>
          <t>Add short direct answer blocks, question-led headings, and answer-ready formatting.</t>
        </is>
      </c>
      <c r="I2" s="27" t="inlineStr">
        <is>
          <t>https://africanmarketingconfederation.org/amc-forum-mombasa/ | https://africanmarketingconfederation.org/amc-marketing-conference-2024/</t>
        </is>
      </c>
    </row>
    <row r="3">
      <c r="A3" s="6" t="inlineStr">
        <is>
          <t>(home)</t>
        </is>
      </c>
      <c r="B3" s="6" t="inlineStr">
        <is>
          <t>african marketing confederation - uniting marketers for excellence</t>
        </is>
      </c>
      <c r="C3" s="30" t="n">
        <v>1</v>
      </c>
      <c r="D3" s="6" t="n">
        <v>59</v>
      </c>
      <c r="E3" s="32" t="n">
        <v>0</v>
      </c>
      <c r="F3" s="4" t="n">
        <v>100</v>
      </c>
      <c r="G3" s="6" t="inlineStr">
        <is>
          <t>Multiple H1</t>
        </is>
      </c>
      <c r="H3" s="6" t="inlineStr">
        <is>
          <t>Apply fix based on issue type and re-run audit.</t>
        </is>
      </c>
      <c r="I3" s="30" t="inlineStr">
        <is>
          <t>https://africanmarketingconfederation.org/</t>
        </is>
      </c>
    </row>
    <row r="4">
      <c r="A4" s="24" t="inlineStr">
        <is>
          <t>publication-download-list</t>
        </is>
      </c>
      <c r="B4" s="24" t="inlineStr">
        <is>
          <t>publication download list – african marketing confederation</t>
        </is>
      </c>
      <c r="C4" s="27" t="n">
        <v>1</v>
      </c>
      <c r="D4" s="24" t="n">
        <v>49</v>
      </c>
      <c r="E4" s="32" t="n">
        <v>0</v>
      </c>
      <c r="F4" s="4" t="n">
        <v>100</v>
      </c>
      <c r="G4" s="24" t="inlineStr">
        <is>
          <t>Missing H1</t>
        </is>
      </c>
      <c r="H4" s="24" t="inlineStr">
        <is>
          <t>Apply fix based on issue type and re-run audit.</t>
        </is>
      </c>
      <c r="I4" s="27" t="inlineStr">
        <is>
          <t>https://africanmarketingconfederation.org/publication-download-list/</t>
        </is>
      </c>
    </row>
    <row r="5">
      <c r="A5" s="6" t="inlineStr">
        <is>
          <t>launch-event-2026-amc-conference</t>
        </is>
      </c>
      <c r="B5" s="6" t="inlineStr">
        <is>
          <t>launch event {n} amc conference – african marketing confederation</t>
        </is>
      </c>
      <c r="C5" s="30" t="n">
        <v>1</v>
      </c>
      <c r="D5" s="6" t="n">
        <v>59</v>
      </c>
      <c r="E5" s="32" t="n">
        <v>0</v>
      </c>
      <c r="F5" s="4" t="n">
        <v>100</v>
      </c>
      <c r="G5" s="6" t="inlineStr">
        <is>
          <t>Thin Content</t>
        </is>
      </c>
      <c r="H5" s="6" t="inlineStr">
        <is>
          <t>Expand page with helpful, unique, intent-matching content.</t>
        </is>
      </c>
      <c r="I5" s="30" t="inlineStr">
        <is>
          <t>https://africanmarketingconfederation.org/launch-event-2026-amc-conference/</t>
        </is>
      </c>
    </row>
    <row r="6">
      <c r="A6" s="24" t="inlineStr">
        <is>
          <t>publications-2</t>
        </is>
      </c>
      <c r="B6" s="24" t="inlineStr">
        <is>
          <t>publications – african marketing confederation</t>
        </is>
      </c>
      <c r="C6" s="27" t="n">
        <v>1</v>
      </c>
      <c r="D6" s="24" t="n">
        <v>59</v>
      </c>
      <c r="E6" s="32" t="n">
        <v>0</v>
      </c>
      <c r="F6" s="4" t="n">
        <v>100</v>
      </c>
      <c r="G6" s="24" t="inlineStr">
        <is>
          <t>Thin Content</t>
        </is>
      </c>
      <c r="H6" s="24" t="inlineStr">
        <is>
          <t>Expand page with helpful, unique, intent-matching content.</t>
        </is>
      </c>
      <c r="I6" s="27" t="inlineStr">
        <is>
          <t>https://africanmarketingconfederation.org/publications-2/</t>
        </is>
      </c>
    </row>
    <row r="7">
      <c r="A7" s="6" t="inlineStr">
        <is>
          <t>certified-professional-marketer-africa</t>
        </is>
      </c>
      <c r="B7" s="6" t="inlineStr">
        <is>
          <t>certified professional marketer (africa) – african marketing confederation</t>
        </is>
      </c>
      <c r="C7" s="30" t="n">
        <v>1</v>
      </c>
      <c r="D7" s="6" t="n">
        <v>59</v>
      </c>
      <c r="E7" s="32" t="n">
        <v>0</v>
      </c>
      <c r="F7" s="4" t="n">
        <v>100</v>
      </c>
      <c r="G7" s="6" t="inlineStr">
        <is>
          <t>Missing H1</t>
        </is>
      </c>
      <c r="H7" s="6" t="inlineStr">
        <is>
          <t>Apply fix based on issue type and re-run audit.</t>
        </is>
      </c>
      <c r="I7" s="30" t="inlineStr">
        <is>
          <t>https://africanmarketingconfederation.org/certified-professional-marketer-africa/</t>
        </is>
      </c>
    </row>
    <row r="8">
      <c r="A8" s="24" t="inlineStr">
        <is>
          <t>chartered-marketer-africa</t>
        </is>
      </c>
      <c r="B8" s="24" t="inlineStr">
        <is>
          <t>the chartered marketer africa – african marketing confederation</t>
        </is>
      </c>
      <c r="C8" s="27" t="n">
        <v>1</v>
      </c>
      <c r="D8" s="24" t="n">
        <v>69</v>
      </c>
      <c r="E8" s="32" t="n">
        <v>0</v>
      </c>
      <c r="F8" s="4" t="n">
        <v>100</v>
      </c>
      <c r="G8" s="24" t="inlineStr">
        <is>
          <t>Low AEO Readiness Score</t>
        </is>
      </c>
      <c r="H8" s="24" t="inlineStr">
        <is>
          <t>Add short direct answer blocks, question-led headings, and answer-ready formatting.</t>
        </is>
      </c>
      <c r="I8" s="27" t="inlineStr">
        <is>
          <t>https://africanmarketingconfederation.org/chartered-marketer-africa/</t>
        </is>
      </c>
    </row>
    <row r="9">
      <c r="A9" s="6" t="inlineStr">
        <is>
          <t>amc-conference-2026</t>
        </is>
      </c>
      <c r="B9" s="6" t="inlineStr">
        <is>
          <t>amc conference {n} – african marketing confederation</t>
        </is>
      </c>
      <c r="C9" s="30" t="n">
        <v>1</v>
      </c>
      <c r="D9" s="6" t="n">
        <v>66</v>
      </c>
      <c r="E9" s="32" t="n">
        <v>0</v>
      </c>
      <c r="F9" s="4" t="n">
        <v>100</v>
      </c>
      <c r="G9" s="6" t="inlineStr">
        <is>
          <t>Low AEO Readiness Score</t>
        </is>
      </c>
      <c r="H9" s="6" t="inlineStr">
        <is>
          <t>Add short direct answer blocks, question-led headings, and answer-ready formatting.</t>
        </is>
      </c>
      <c r="I9" s="30" t="inlineStr">
        <is>
          <t>https://africanmarketingconfederation.org/amc-conference-2026/</t>
        </is>
      </c>
    </row>
    <row r="10">
      <c r="A10" s="24" t="inlineStr">
        <is>
          <t>education</t>
        </is>
      </c>
      <c r="B10" s="24" t="inlineStr">
        <is>
          <t>education – african marketing confederation</t>
        </is>
      </c>
      <c r="C10" s="27" t="n">
        <v>1</v>
      </c>
      <c r="D10" s="24" t="n">
        <v>59</v>
      </c>
      <c r="E10" s="32" t="n">
        <v>0</v>
      </c>
      <c r="F10" s="4" t="n">
        <v>100</v>
      </c>
      <c r="G10" s="24" t="inlineStr">
        <is>
          <t>Missing H1</t>
        </is>
      </c>
      <c r="H10" s="24" t="inlineStr">
        <is>
          <t>Apply fix based on issue type and re-run audit.</t>
        </is>
      </c>
      <c r="I10" s="27" t="inlineStr">
        <is>
          <t>https://africanmarketingconfederation.org/education/</t>
        </is>
      </c>
    </row>
    <row r="11">
      <c r="A11" s="6" t="inlineStr">
        <is>
          <t>awards-2026</t>
        </is>
      </c>
      <c r="B11" s="6" t="inlineStr">
        <is>
          <t>{n} amc awards – african marketing confederation</t>
        </is>
      </c>
      <c r="C11" s="30" t="n">
        <v>1</v>
      </c>
      <c r="D11" s="6" t="n">
        <v>59</v>
      </c>
      <c r="E11" s="32" t="n">
        <v>0</v>
      </c>
      <c r="F11" s="4" t="n">
        <v>100</v>
      </c>
      <c r="G11" s="6" t="inlineStr">
        <is>
          <t>Multiple H1</t>
        </is>
      </c>
      <c r="H11" s="6" t="inlineStr">
        <is>
          <t>Apply fix based on issue type and re-run audit.</t>
        </is>
      </c>
      <c r="I11" s="30" t="inlineStr">
        <is>
          <t>https://africanmarketingconfederation.org/awards-2026/</t>
        </is>
      </c>
    </row>
    <row r="12">
      <c r="A12" s="24" t="inlineStr">
        <is>
          <t>contact-us</t>
        </is>
      </c>
      <c r="B12" s="24" t="inlineStr">
        <is>
          <t>contact us – african marketing confederation</t>
        </is>
      </c>
      <c r="C12" s="27" t="n">
        <v>1</v>
      </c>
      <c r="D12" s="24" t="n">
        <v>59</v>
      </c>
      <c r="E12" s="32" t="n">
        <v>0</v>
      </c>
      <c r="F12" s="4" t="n">
        <v>100</v>
      </c>
      <c r="G12" s="24" t="inlineStr">
        <is>
          <t>Multiple H1</t>
        </is>
      </c>
      <c r="H12" s="24" t="inlineStr">
        <is>
          <t>Apply fix based on issue type and re-run audit.</t>
        </is>
      </c>
      <c r="I12" s="27" t="inlineStr">
        <is>
          <t>https://africanmarketingconfederation.org/contact-us/</t>
        </is>
      </c>
    </row>
    <row r="13">
      <c r="A13" s="6" t="inlineStr">
        <is>
          <t>news-articles</t>
        </is>
      </c>
      <c r="B13" s="6" t="inlineStr">
        <is>
          <t>news articles – african marketing confederation</t>
        </is>
      </c>
      <c r="C13" s="30" t="n">
        <v>1</v>
      </c>
      <c r="D13" s="6" t="n">
        <v>69</v>
      </c>
      <c r="E13" s="32" t="n">
        <v>0</v>
      </c>
      <c r="F13" s="4" t="n">
        <v>100</v>
      </c>
      <c r="G13" s="6" t="inlineStr">
        <is>
          <t>Low AEO Readiness Score</t>
        </is>
      </c>
      <c r="H13" s="6" t="inlineStr">
        <is>
          <t>Add short direct answer blocks, question-led headings, and answer-ready formatting.</t>
        </is>
      </c>
      <c r="I13" s="30" t="inlineStr">
        <is>
          <t>https://africanmarketingconfederation.org/news-articles/</t>
        </is>
      </c>
    </row>
    <row r="14">
      <c r="A14" s="24" t="inlineStr">
        <is>
          <t>african-marketing-confederation-tourism-chapter</t>
        </is>
      </c>
      <c r="B14" s="24" t="inlineStr">
        <is>
          <t>african marketing confederation tourism chapter – african marketing confederatio</t>
        </is>
      </c>
      <c r="C14" s="27" t="n">
        <v>1</v>
      </c>
      <c r="D14" s="24" t="n">
        <v>59</v>
      </c>
      <c r="E14" s="32" t="n">
        <v>0</v>
      </c>
      <c r="F14" s="4" t="n">
        <v>100</v>
      </c>
      <c r="G14" s="24" t="inlineStr">
        <is>
          <t>Multiple H1</t>
        </is>
      </c>
      <c r="H14" s="24" t="inlineStr">
        <is>
          <t>Apply fix based on issue type and re-run audit.</t>
        </is>
      </c>
      <c r="I14" s="27" t="inlineStr">
        <is>
          <t>https://africanmarketingconfederation.org/african-marketing-confederation-tourism-chapter/</t>
        </is>
      </c>
    </row>
    <row r="15">
      <c r="A15" s="6" t="inlineStr">
        <is>
          <t>sub-committees</t>
        </is>
      </c>
      <c r="B15" s="6" t="inlineStr">
        <is>
          <t>sub committees – african marketing confederation</t>
        </is>
      </c>
      <c r="C15" s="30" t="n">
        <v>1</v>
      </c>
      <c r="D15" s="6" t="n">
        <v>69</v>
      </c>
      <c r="E15" s="32" t="n">
        <v>0</v>
      </c>
      <c r="F15" s="4" t="n">
        <v>100</v>
      </c>
      <c r="G15" s="6" t="inlineStr">
        <is>
          <t>Low AEO Readiness Score</t>
        </is>
      </c>
      <c r="H15" s="6" t="inlineStr">
        <is>
          <t>Add short direct answer blocks, question-led headings, and answer-ready formatting.</t>
        </is>
      </c>
      <c r="I15" s="30" t="inlineStr">
        <is>
          <t>https://africanmarketingconfederation.org/sub-committees/</t>
        </is>
      </c>
    </row>
    <row r="16">
      <c r="A16" s="24" t="inlineStr">
        <is>
          <t>members</t>
        </is>
      </c>
      <c r="B16" s="24" t="inlineStr">
        <is>
          <t>members – african marketing confederation</t>
        </is>
      </c>
      <c r="C16" s="27" t="n">
        <v>1</v>
      </c>
      <c r="D16" s="24" t="n">
        <v>69</v>
      </c>
      <c r="E16" s="32" t="n">
        <v>0</v>
      </c>
      <c r="F16" s="4" t="n">
        <v>100</v>
      </c>
      <c r="G16" s="24" t="inlineStr">
        <is>
          <t>Low AEO Readiness Score</t>
        </is>
      </c>
      <c r="H16" s="24" t="inlineStr">
        <is>
          <t>Add short direct answer blocks, question-led headings, and answer-ready formatting.</t>
        </is>
      </c>
      <c r="I16" s="27" t="inlineStr">
        <is>
          <t>https://africanmarketingconfederation.org/members/</t>
        </is>
      </c>
    </row>
    <row r="17">
      <c r="A17" s="6" t="inlineStr">
        <is>
          <t>about-us</t>
        </is>
      </c>
      <c r="B17" s="6" t="inlineStr">
        <is>
          <t>african marketing confederation – the leading marketing professional body – afri</t>
        </is>
      </c>
      <c r="C17" s="30" t="n">
        <v>1</v>
      </c>
      <c r="D17" s="6" t="n">
        <v>59</v>
      </c>
      <c r="E17" s="32" t="n">
        <v>0</v>
      </c>
      <c r="F17" s="4" t="n">
        <v>100</v>
      </c>
      <c r="G17" s="6" t="inlineStr">
        <is>
          <t>Thin Content</t>
        </is>
      </c>
      <c r="H17" s="6" t="inlineStr">
        <is>
          <t>Expand page with helpful, unique, intent-matching content.</t>
        </is>
      </c>
      <c r="I17" s="30" t="inlineStr">
        <is>
          <t>https://africanmarketingconfederation.org/about-us/</t>
        </is>
      </c>
    </row>
    <row r="18">
      <c r="A18" s="24" t="inlineStr">
        <is>
          <t>awards-2026-1</t>
        </is>
      </c>
      <c r="B18" s="24" t="inlineStr">
        <is>
          <t>{n} amc awards-{n} – african marketing confederation</t>
        </is>
      </c>
      <c r="C18" s="27" t="n">
        <v>1</v>
      </c>
      <c r="D18" s="24" t="n">
        <v>59</v>
      </c>
      <c r="E18" s="32" t="n">
        <v>0</v>
      </c>
      <c r="F18" s="4" t="n">
        <v>100</v>
      </c>
      <c r="G18" s="24" t="inlineStr">
        <is>
          <t>Multiple H1</t>
        </is>
      </c>
      <c r="H18" s="24" t="inlineStr">
        <is>
          <t>Apply fix based on issue type and re-run audit.</t>
        </is>
      </c>
      <c r="I18" s="27" t="inlineStr">
        <is>
          <t>https://africanmarketingconfederation.org/awards-2026-1/</t>
        </is>
      </c>
    </row>
    <row r="19">
      <c r="A19" s="6" t="inlineStr">
        <is>
          <t>awards-2026-test</t>
        </is>
      </c>
      <c r="B19" s="6" t="inlineStr">
        <is>
          <t>awards {n} test – african marketing confederation</t>
        </is>
      </c>
      <c r="C19" s="30" t="n">
        <v>1</v>
      </c>
      <c r="D19" s="6" t="n">
        <v>59</v>
      </c>
      <c r="E19" s="32" t="n">
        <v>0</v>
      </c>
      <c r="F19" s="4" t="n">
        <v>100</v>
      </c>
      <c r="G19" s="6" t="inlineStr">
        <is>
          <t>Multiple H1</t>
        </is>
      </c>
      <c r="H19" s="6" t="inlineStr">
        <is>
          <t>Apply fix based on issue type and re-run audit.</t>
        </is>
      </c>
      <c r="I19" s="30" t="inlineStr">
        <is>
          <t>https://africanmarketingconfederation.org/awards-2026-test/</t>
        </is>
      </c>
    </row>
    <row r="20">
      <c r="A20" s="24" t="inlineStr">
        <is>
          <t>amc-conference-2026-awards-nominations-thank-you</t>
        </is>
      </c>
      <c r="B20" s="24" t="inlineStr">
        <is>
          <t>amc conference {n} awards nominations thank you – african marketing confederatio</t>
        </is>
      </c>
      <c r="C20" s="27" t="n">
        <v>1</v>
      </c>
      <c r="D20" s="24" t="n">
        <v>49</v>
      </c>
      <c r="E20" s="32" t="n">
        <v>0</v>
      </c>
      <c r="F20" s="4" t="n">
        <v>100</v>
      </c>
      <c r="G20" s="24" t="inlineStr">
        <is>
          <t>Multiple H1</t>
        </is>
      </c>
      <c r="H20" s="24" t="inlineStr">
        <is>
          <t>Apply fix based on issue type and re-run audit.</t>
        </is>
      </c>
      <c r="I20" s="27" t="inlineStr">
        <is>
          <t>https://africanmarketingconfederation.org/amc-conference-2026-awards-nominations-thank-you/</t>
        </is>
      </c>
    </row>
    <row r="21">
      <c r="A21" s="6" t="inlineStr">
        <is>
          <t>speakers-2025</t>
        </is>
      </c>
      <c r="B21" s="6" t="inlineStr">
        <is>
          <t>our speakers – {n} amc conference</t>
        </is>
      </c>
      <c r="C21" s="30" t="n">
        <v>1</v>
      </c>
      <c r="D21" s="6" t="n">
        <v>59</v>
      </c>
      <c r="E21" s="32" t="n">
        <v>0</v>
      </c>
      <c r="F21" s="4" t="n">
        <v>100</v>
      </c>
      <c r="G21" s="6" t="inlineStr">
        <is>
          <t>Multiple H1</t>
        </is>
      </c>
      <c r="H21" s="6" t="inlineStr">
        <is>
          <t>Apply fix based on issue type and re-run audit.</t>
        </is>
      </c>
      <c r="I21" s="30" t="inlineStr">
        <is>
          <t>https://africanmarketingconfederation.org/speakers-2025/</t>
        </is>
      </c>
    </row>
    <row r="22">
      <c r="A22" s="24" t="inlineStr">
        <is>
          <t>amc-conference-2026-zambia-thank-you</t>
        </is>
      </c>
      <c r="B22" s="24" t="inlineStr">
        <is>
          <t>amc conference {n} zambia thank you – african marketing confederation</t>
        </is>
      </c>
      <c r="C22" s="27" t="n">
        <v>1</v>
      </c>
      <c r="D22" s="24" t="n">
        <v>49</v>
      </c>
      <c r="E22" s="32" t="n">
        <v>0</v>
      </c>
      <c r="F22" s="4" t="n">
        <v>100</v>
      </c>
      <c r="G22" s="24" t="inlineStr">
        <is>
          <t>Multiple H1</t>
        </is>
      </c>
      <c r="H22" s="24" t="inlineStr">
        <is>
          <t>Apply fix based on issue type and re-run audit.</t>
        </is>
      </c>
      <c r="I22" s="27" t="inlineStr">
        <is>
          <t>https://africanmarketingconfederation.org/amc-conference-2026-zambia-thank-you/</t>
        </is>
      </c>
    </row>
    <row r="23">
      <c r="A23" s="6" t="inlineStr">
        <is>
          <t>amc-launch-event-zambia-thank-you-2026</t>
        </is>
      </c>
      <c r="B23" s="6" t="inlineStr">
        <is>
          <t>amc launch event zambia thank you {n} – african marketing confederation</t>
        </is>
      </c>
      <c r="C23" s="30" t="n">
        <v>1</v>
      </c>
      <c r="D23" s="6" t="n">
        <v>49</v>
      </c>
      <c r="E23" s="32" t="n">
        <v>0</v>
      </c>
      <c r="F23" s="4" t="n">
        <v>100</v>
      </c>
      <c r="G23" s="6" t="inlineStr">
        <is>
          <t>Multiple H1</t>
        </is>
      </c>
      <c r="H23" s="6" t="inlineStr">
        <is>
          <t>Apply fix based on issue type and re-run audit.</t>
        </is>
      </c>
      <c r="I23" s="30" t="inlineStr">
        <is>
          <t>https://africanmarketingconfederation.org/amc-launch-event-zambia-thank-you-2026/</t>
        </is>
      </c>
    </row>
    <row r="24">
      <c r="A24" s="24" t="inlineStr">
        <is>
          <t>amc-marketing-conference-2024</t>
        </is>
      </c>
      <c r="B24" s="24" t="inlineStr">
        <is>
          <t>awards {n} – african marketing confederation</t>
        </is>
      </c>
      <c r="C24" s="27" t="n">
        <v>1</v>
      </c>
      <c r="D24" s="24" t="n">
        <v>69</v>
      </c>
      <c r="E24" s="32" t="n">
        <v>0</v>
      </c>
      <c r="F24" s="4" t="n">
        <v>100</v>
      </c>
      <c r="G24" s="24" t="inlineStr">
        <is>
          <t>Low AEO Readiness Score</t>
        </is>
      </c>
      <c r="H24" s="24" t="inlineStr">
        <is>
          <t>Add short direct answer blocks, question-led headings, and answer-ready formatting.</t>
        </is>
      </c>
      <c r="I24" s="27" t="inlineStr">
        <is>
          <t>https://africanmarketingconfederation.org/amc-marketing-conference-2024/awards-2025/</t>
        </is>
      </c>
    </row>
    <row r="25">
      <c r="A25" s="6" t="inlineStr">
        <is>
          <t>amc-conference-2025-highlights</t>
        </is>
      </c>
      <c r="B25" s="6" t="inlineStr">
        <is>
          <t>amc conference {n} highlights – african marketing confederation</t>
        </is>
      </c>
      <c r="C25" s="30" t="n">
        <v>1</v>
      </c>
      <c r="D25" s="6" t="n">
        <v>56</v>
      </c>
      <c r="E25" s="32" t="n">
        <v>0</v>
      </c>
      <c r="F25" s="4" t="n">
        <v>100</v>
      </c>
      <c r="G25" s="6" t="inlineStr">
        <is>
          <t>Multiple H1</t>
        </is>
      </c>
      <c r="H25" s="6" t="inlineStr">
        <is>
          <t>Apply fix based on issue type and re-run audit.</t>
        </is>
      </c>
      <c r="I25" s="30" t="inlineStr">
        <is>
          <t>https://africanmarketingconfederation.org/amc-conference-2025-highlights/</t>
        </is>
      </c>
    </row>
    <row r="26">
      <c r="A26" s="24" t="inlineStr">
        <is>
          <t>amc-conference-2022</t>
        </is>
      </c>
      <c r="B26" s="24" t="inlineStr">
        <is>
          <t>amc conference {n} – african marketing confederation</t>
        </is>
      </c>
      <c r="C26" s="27" t="n">
        <v>1</v>
      </c>
      <c r="D26" s="24" t="n">
        <v>59</v>
      </c>
      <c r="E26" s="32" t="n">
        <v>0</v>
      </c>
      <c r="F26" s="4" t="n">
        <v>100</v>
      </c>
      <c r="G26" s="24" t="inlineStr">
        <is>
          <t>Missing H1</t>
        </is>
      </c>
      <c r="H26" s="24" t="inlineStr">
        <is>
          <t>Apply fix based on issue type and re-run audit.</t>
        </is>
      </c>
      <c r="I26" s="27" t="inlineStr">
        <is>
          <t>https://africanmarketingconfederation.org/amc-conference-2022/</t>
        </is>
      </c>
    </row>
    <row r="27">
      <c r="A27" s="6" t="inlineStr">
        <is>
          <t>amc-conference-2023</t>
        </is>
      </c>
      <c r="B27" s="6" t="inlineStr">
        <is>
          <t>gallery – african marketing confederation</t>
        </is>
      </c>
      <c r="C27" s="30" t="n">
        <v>1</v>
      </c>
      <c r="D27" s="6" t="n">
        <v>59</v>
      </c>
      <c r="E27" s="32" t="n">
        <v>0</v>
      </c>
      <c r="F27" s="4" t="n">
        <v>100</v>
      </c>
      <c r="G27" s="6" t="inlineStr">
        <is>
          <t>Thin Content</t>
        </is>
      </c>
      <c r="H27" s="6" t="inlineStr">
        <is>
          <t>Expand page with helpful, unique, intent-matching content.</t>
        </is>
      </c>
      <c r="I27" s="30" t="inlineStr">
        <is>
          <t>https://africanmarketingconfederation.org/amc-conference-2023/gallery/</t>
        </is>
      </c>
    </row>
    <row r="28">
      <c r="A28" s="24" t="inlineStr">
        <is>
          <t>conference-registrations-2024</t>
        </is>
      </c>
      <c r="B28" s="24" t="inlineStr">
        <is>
          <t>conference registrations {n} – african marketing confederation</t>
        </is>
      </c>
      <c r="C28" s="27" t="n">
        <v>1</v>
      </c>
      <c r="D28" s="24" t="n">
        <v>69</v>
      </c>
      <c r="E28" s="32" t="n">
        <v>0</v>
      </c>
      <c r="F28" s="4" t="n">
        <v>100</v>
      </c>
      <c r="G28" s="24" t="inlineStr">
        <is>
          <t>Low AEO Readiness Score</t>
        </is>
      </c>
      <c r="H28" s="24" t="inlineStr">
        <is>
          <t>Add short direct answer blocks, question-led headings, and answer-ready formatting.</t>
        </is>
      </c>
      <c r="I28" s="27" t="inlineStr">
        <is>
          <t>https://africanmarketingconfederation.org/conference-registrations-2024/</t>
        </is>
      </c>
    </row>
    <row r="29">
      <c r="A29" s="6" t="inlineStr">
        <is>
          <t>elementor-31820</t>
        </is>
      </c>
      <c r="B29" s="6" t="inlineStr">
        <is>
          <t>elementor #{n} – african marketing confederation</t>
        </is>
      </c>
      <c r="C29" s="30" t="n">
        <v>1</v>
      </c>
      <c r="D29" s="6" t="n">
        <v>69</v>
      </c>
      <c r="E29" s="32" t="n">
        <v>0</v>
      </c>
      <c r="F29" s="4" t="n">
        <v>100</v>
      </c>
      <c r="G29" s="6" t="inlineStr">
        <is>
          <t>Low AEO Readiness Score</t>
        </is>
      </c>
      <c r="H29" s="6" t="inlineStr">
        <is>
          <t>Add short direct answer blocks, question-led headings, and answer-ready formatting.</t>
        </is>
      </c>
      <c r="I29" s="30" t="inlineStr">
        <is>
          <t>https://africanmarketingconfederation.org/elementor-31820/</t>
        </is>
      </c>
    </row>
    <row r="30">
      <c r="A30" s="24" t="inlineStr">
        <is>
          <t>amc-conference-2024-recap</t>
        </is>
      </c>
      <c r="B30" s="24" t="inlineStr">
        <is>
          <t>amc conference {n} recap – african marketing confederation</t>
        </is>
      </c>
      <c r="C30" s="27" t="n">
        <v>1</v>
      </c>
      <c r="D30" s="24" t="n">
        <v>59</v>
      </c>
      <c r="E30" s="32" t="n">
        <v>0</v>
      </c>
      <c r="F30" s="4" t="n">
        <v>100</v>
      </c>
      <c r="G30" s="24" t="inlineStr">
        <is>
          <t>Multiple H1</t>
        </is>
      </c>
      <c r="H30" s="24" t="inlineStr">
        <is>
          <t>Apply fix based on issue type and re-run audit.</t>
        </is>
      </c>
      <c r="I30" s="27" t="inlineStr">
        <is>
          <t>https://africanmarketingconfederation.org/amc-conference-2024-recap/</t>
        </is>
      </c>
    </row>
    <row r="31">
      <c r="A31" s="6" t="inlineStr">
        <is>
          <t>amc-marketing-conference-2024</t>
        </is>
      </c>
      <c r="B31" s="6" t="inlineStr">
        <is>
          <t>{n} amc conference awards</t>
        </is>
      </c>
      <c r="C31" s="30" t="n">
        <v>1</v>
      </c>
      <c r="D31" s="6" t="n">
        <v>49</v>
      </c>
      <c r="E31" s="32" t="n">
        <v>0</v>
      </c>
      <c r="F31" s="4" t="n">
        <v>100</v>
      </c>
      <c r="G31" s="6" t="inlineStr">
        <is>
          <t>Low AEO Readiness Score</t>
        </is>
      </c>
      <c r="H31" s="6" t="inlineStr">
        <is>
          <t>Add short direct answer blocks, question-led headings, and answer-ready formatting.</t>
        </is>
      </c>
      <c r="I31" s="30" t="inlineStr">
        <is>
          <t>https://africanmarketingconfederation.org/amc-marketing-conference-2024/amc-programme-2025/</t>
        </is>
      </c>
    </row>
    <row r="32">
      <c r="A32" s="24" t="inlineStr">
        <is>
          <t>amc-conference-2025</t>
        </is>
      </c>
      <c r="B32" s="24" t="inlineStr">
        <is>
          <t>amc conference {n}</t>
        </is>
      </c>
      <c r="C32" s="27" t="n">
        <v>1</v>
      </c>
      <c r="D32" s="24" t="n">
        <v>59</v>
      </c>
      <c r="E32" s="32" t="n">
        <v>0</v>
      </c>
      <c r="F32" s="4" t="n">
        <v>100</v>
      </c>
      <c r="G32" s="24" t="inlineStr">
        <is>
          <t>Multiple H1</t>
        </is>
      </c>
      <c r="H32" s="24" t="inlineStr">
        <is>
          <t>Apply fix based on issue type and re-run audit.</t>
        </is>
      </c>
      <c r="I32" s="27" t="inlineStr">
        <is>
          <t>https://africanmarketingconfederation.org/amc-conference-2025/</t>
        </is>
      </c>
    </row>
    <row r="33">
      <c r="A33" s="6" t="inlineStr">
        <is>
          <t>amc-sponsors-2025</t>
        </is>
      </c>
      <c r="B33" s="6" t="inlineStr">
        <is>
          <t>sponsorship opportunities – {n} amc conference</t>
        </is>
      </c>
      <c r="C33" s="30" t="n">
        <v>1</v>
      </c>
      <c r="D33" s="6" t="n">
        <v>69</v>
      </c>
      <c r="E33" s="32" t="n">
        <v>0</v>
      </c>
      <c r="F33" s="4" t="n">
        <v>100</v>
      </c>
      <c r="G33" s="6" t="inlineStr">
        <is>
          <t>Low AEO Readiness Score</t>
        </is>
      </c>
      <c r="H33" s="6" t="inlineStr">
        <is>
          <t>Add short direct answer blocks, question-led headings, and answer-ready formatting.</t>
        </is>
      </c>
      <c r="I33" s="30" t="inlineStr">
        <is>
          <t>https://africanmarketingconfederation.org/amc-sponsors-2025/</t>
        </is>
      </c>
    </row>
    <row r="34">
      <c r="A34" s="24" t="inlineStr">
        <is>
          <t>amc-conference-2022-prospectus</t>
        </is>
      </c>
      <c r="B34" s="24" t="inlineStr">
        <is>
          <t>amc conference {n} – prospectus – african marketing confederation</t>
        </is>
      </c>
      <c r="C34" s="27" t="n">
        <v>1</v>
      </c>
      <c r="D34" s="24" t="n">
        <v>49</v>
      </c>
      <c r="E34" s="32" t="n">
        <v>0</v>
      </c>
      <c r="F34" s="4" t="n">
        <v>100</v>
      </c>
      <c r="G34" s="24" t="inlineStr">
        <is>
          <t>Missing H1</t>
        </is>
      </c>
      <c r="H34" s="24" t="inlineStr">
        <is>
          <t>Apply fix based on issue type and re-run audit.</t>
        </is>
      </c>
      <c r="I34" s="27" t="inlineStr">
        <is>
          <t>https://africanmarketingconfederation.org/amc-conference-2022-prospectus/</t>
        </is>
      </c>
    </row>
    <row r="35">
      <c r="A35" s="6" t="inlineStr">
        <is>
          <t>test-payment-gate</t>
        </is>
      </c>
      <c r="B35" s="6" t="inlineStr">
        <is>
          <t>test payment gate – african marketing confederation</t>
        </is>
      </c>
      <c r="C35" s="30" t="n">
        <v>1</v>
      </c>
      <c r="D35" s="6" t="n">
        <v>49</v>
      </c>
      <c r="E35" s="32" t="n">
        <v>0</v>
      </c>
      <c r="F35" s="4" t="n">
        <v>100</v>
      </c>
      <c r="G35" s="6" t="inlineStr">
        <is>
          <t>Missing H1</t>
        </is>
      </c>
      <c r="H35" s="6" t="inlineStr">
        <is>
          <t>Apply fix based on issue type and re-run audit.</t>
        </is>
      </c>
      <c r="I35" s="30" t="inlineStr">
        <is>
          <t>https://africanmarketingconfederation.org/test-payment-gate/</t>
        </is>
      </c>
    </row>
    <row r="36">
      <c r="A36" s="24" t="inlineStr">
        <is>
          <t>amc-marketing-conference-2024</t>
        </is>
      </c>
      <c r="B36" s="24" t="inlineStr">
        <is>
          <t>amc preregister {n} – african marketing confederation</t>
        </is>
      </c>
      <c r="C36" s="27" t="n">
        <v>1</v>
      </c>
      <c r="D36" s="24" t="n">
        <v>69</v>
      </c>
      <c r="E36" s="32" t="n">
        <v>0</v>
      </c>
      <c r="F36" s="4" t="n">
        <v>100</v>
      </c>
      <c r="G36" s="24" t="inlineStr">
        <is>
          <t>Low AEO Readiness Score</t>
        </is>
      </c>
      <c r="H36" s="24" t="inlineStr">
        <is>
          <t>Add short direct answer blocks, question-led headings, and answer-ready formatting.</t>
        </is>
      </c>
      <c r="I36" s="27" t="inlineStr">
        <is>
          <t>https://africanmarketingconfederation.org/amc-marketing-conference-2024/amc-preregister-2025/</t>
        </is>
      </c>
    </row>
    <row r="37">
      <c r="A37" s="6" t="inlineStr">
        <is>
          <t>conference-faq-2025</t>
        </is>
      </c>
      <c r="B37" s="6" t="inlineStr">
        <is>
          <t>{n} amc conference – faqs page</t>
        </is>
      </c>
      <c r="C37" s="30" t="n">
        <v>1</v>
      </c>
      <c r="D37" s="6" t="n">
        <v>69</v>
      </c>
      <c r="E37" s="32" t="n">
        <v>0</v>
      </c>
      <c r="F37" s="4" t="n">
        <v>100</v>
      </c>
      <c r="G37" s="6" t="inlineStr">
        <is>
          <t>Low AEO Readiness Score</t>
        </is>
      </c>
      <c r="H37" s="6" t="inlineStr">
        <is>
          <t>Add short direct answer blocks, question-led headings, and answer-ready formatting.</t>
        </is>
      </c>
      <c r="I37" s="30" t="inlineStr">
        <is>
          <t>https://africanmarketingconfederation.org/conference-faq-2025/</t>
        </is>
      </c>
    </row>
    <row r="38">
      <c r="A38" s="24" t="inlineStr">
        <is>
          <t>amc-marketing-conference-2024</t>
        </is>
      </c>
      <c r="B38" s="24" t="inlineStr">
        <is>
          <t>amc conference {n} ghana sponsors – african marketing confederation</t>
        </is>
      </c>
      <c r="C38" s="27" t="n">
        <v>1</v>
      </c>
      <c r="D38" s="24" t="n">
        <v>59</v>
      </c>
      <c r="E38" s="32" t="n">
        <v>0</v>
      </c>
      <c r="F38" s="4" t="n">
        <v>100</v>
      </c>
      <c r="G38" s="24" t="inlineStr">
        <is>
          <t>Low AEO Readiness Score</t>
        </is>
      </c>
      <c r="H38" s="24" t="inlineStr">
        <is>
          <t>Add short direct answer blocks, question-led headings, and answer-ready formatting.</t>
        </is>
      </c>
      <c r="I38" s="27" t="inlineStr">
        <is>
          <t>https://africanmarketingconfederation.org/amc-marketing-conference-2024/amc-conference-2025-ghana-sponsors/</t>
        </is>
      </c>
    </row>
    <row r="39">
      <c r="A39" s="6" t="inlineStr">
        <is>
          <t>amc-forum-payments</t>
        </is>
      </c>
      <c r="B39" s="6" t="inlineStr">
        <is>
          <t>amc forum payments – african marketing confederation</t>
        </is>
      </c>
      <c r="C39" s="30" t="n">
        <v>1</v>
      </c>
      <c r="D39" s="6" t="n">
        <v>49</v>
      </c>
      <c r="E39" s="32" t="n">
        <v>0</v>
      </c>
      <c r="F39" s="4" t="n">
        <v>100</v>
      </c>
      <c r="G39" s="6" t="inlineStr">
        <is>
          <t>Missing H1</t>
        </is>
      </c>
      <c r="H39" s="6" t="inlineStr">
        <is>
          <t>Apply fix based on issue type and re-run audit.</t>
        </is>
      </c>
      <c r="I39" s="30" t="inlineStr">
        <is>
          <t>https://africanmarketingconfederation.org/amc-forum-payments/</t>
        </is>
      </c>
    </row>
    <row r="40">
      <c r="A40" s="24" t="inlineStr">
        <is>
          <t>amc-marketing-conference-2024</t>
        </is>
      </c>
      <c r="B40" s="24" t="inlineStr">
        <is>
          <t>amc launch event {n} – african marketing confederation</t>
        </is>
      </c>
      <c r="C40" s="27" t="n">
        <v>1</v>
      </c>
      <c r="D40" s="24" t="n">
        <v>69</v>
      </c>
      <c r="E40" s="32" t="n">
        <v>0</v>
      </c>
      <c r="F40" s="4" t="n">
        <v>100</v>
      </c>
      <c r="G40" s="24" t="inlineStr">
        <is>
          <t>Low AEO Readiness Score</t>
        </is>
      </c>
      <c r="H40" s="24" t="inlineStr">
        <is>
          <t>Add short direct answer blocks, question-led headings, and answer-ready formatting.</t>
        </is>
      </c>
      <c r="I40" s="27" t="inlineStr">
        <is>
          <t>https://africanmarketingconfederation.org/amc-marketing-conference-2024/amc-launch-event-2025/</t>
        </is>
      </c>
    </row>
    <row r="41">
      <c r="A41" s="6" t="inlineStr">
        <is>
          <t>cart</t>
        </is>
      </c>
      <c r="B41" s="6" t="inlineStr">
        <is>
          <t>cart – african marketing confederation</t>
        </is>
      </c>
      <c r="C41" s="30" t="n">
        <v>1</v>
      </c>
      <c r="D41" s="6" t="n">
        <v>49</v>
      </c>
      <c r="E41" s="32" t="n">
        <v>0</v>
      </c>
      <c r="F41" s="4" t="n">
        <v>100</v>
      </c>
      <c r="G41" s="6" t="inlineStr">
        <is>
          <t>Missing H1</t>
        </is>
      </c>
      <c r="H41" s="6" t="inlineStr">
        <is>
          <t>Apply fix based on issue type and re-run audit.</t>
        </is>
      </c>
      <c r="I41" s="30" t="inlineStr">
        <is>
          <t>https://africanmarketingconfederation.org/checkout/</t>
        </is>
      </c>
    </row>
    <row r="42">
      <c r="A42" s="24" t="inlineStr">
        <is>
          <t>amc-awards-2024</t>
        </is>
      </c>
      <c r="B42" s="24" t="inlineStr">
        <is>
          <t>amc awards {n} – african marketing confederation</t>
        </is>
      </c>
      <c r="C42" s="27" t="n">
        <v>1</v>
      </c>
      <c r="D42" s="24" t="n">
        <v>59</v>
      </c>
      <c r="E42" s="32" t="n">
        <v>0</v>
      </c>
      <c r="F42" s="4" t="n">
        <v>100</v>
      </c>
      <c r="G42" s="24" t="inlineStr">
        <is>
          <t>Multiple H1</t>
        </is>
      </c>
      <c r="H42" s="24" t="inlineStr">
        <is>
          <t>Apply fix based on issue type and re-run audit.</t>
        </is>
      </c>
      <c r="I42" s="27" t="inlineStr">
        <is>
          <t>https://africanmarketingconfederation.org/amc-awards-2024/</t>
        </is>
      </c>
    </row>
    <row r="43">
      <c r="A43" s="6" t="inlineStr">
        <is>
          <t>amc-conference-2023</t>
        </is>
      </c>
      <c r="B43" s="6" t="inlineStr">
        <is>
          <t>amc conference {n} – african marketing confederation</t>
        </is>
      </c>
      <c r="C43" s="30" t="n">
        <v>1</v>
      </c>
      <c r="D43" s="6" t="n">
        <v>69</v>
      </c>
      <c r="E43" s="32" t="n">
        <v>0</v>
      </c>
      <c r="F43" s="4" t="n">
        <v>100</v>
      </c>
      <c r="G43" s="6" t="inlineStr">
        <is>
          <t>Low AEO Readiness Score</t>
        </is>
      </c>
      <c r="H43" s="6" t="inlineStr">
        <is>
          <t>Add short direct answer blocks, question-led headings, and answer-ready formatting.</t>
        </is>
      </c>
      <c r="I43" s="30" t="inlineStr">
        <is>
          <t>https://africanmarketingconfederation.org/amc-conference-2023/</t>
        </is>
      </c>
    </row>
    <row r="44">
      <c r="A44" s="24" t="inlineStr">
        <is>
          <t>amc-marketing-conference-2024</t>
        </is>
      </c>
      <c r="B44" s="24" t="inlineStr">
        <is>
          <t>amc speakers presentations {n} – african marketing confederation</t>
        </is>
      </c>
      <c r="C44" s="27" t="n">
        <v>1</v>
      </c>
      <c r="D44" s="24" t="n">
        <v>49</v>
      </c>
      <c r="E44" s="32" t="n">
        <v>0</v>
      </c>
      <c r="F44" s="4" t="n">
        <v>100</v>
      </c>
      <c r="G44" s="24" t="inlineStr">
        <is>
          <t>Low AEO Readiness Score</t>
        </is>
      </c>
      <c r="H44" s="24" t="inlineStr">
        <is>
          <t>Add short direct answer blocks, question-led headings, and answer-ready formatting.</t>
        </is>
      </c>
      <c r="I44" s="27" t="inlineStr">
        <is>
          <t>https://africanmarketingconfederation.org/amc-marketing-conference-2024/amc-speakers-presentations-2024/</t>
        </is>
      </c>
    </row>
    <row r="45">
      <c r="A45" s="6" t="inlineStr">
        <is>
          <t>amc-marketing-conference-2024</t>
        </is>
      </c>
      <c r="B45" s="6" t="inlineStr">
        <is>
          <t>testimony thank you page – african marketing confederation</t>
        </is>
      </c>
      <c r="C45" s="30" t="n">
        <v>1</v>
      </c>
      <c r="D45" s="6" t="n">
        <v>49</v>
      </c>
      <c r="E45" s="32" t="n">
        <v>0</v>
      </c>
      <c r="F45" s="4" t="n">
        <v>100</v>
      </c>
      <c r="G45" s="6" t="inlineStr">
        <is>
          <t>Low AEO Readiness Score</t>
        </is>
      </c>
      <c r="H45" s="6" t="inlineStr">
        <is>
          <t>Add short direct answer blocks, question-led headings, and answer-ready formatting.</t>
        </is>
      </c>
      <c r="I45" s="30" t="inlineStr">
        <is>
          <t>https://africanmarketingconfederation.org/amc-marketing-conference-2024/testimony-thank-you-page/</t>
        </is>
      </c>
    </row>
    <row r="46">
      <c r="A46" s="24" t="inlineStr">
        <is>
          <t>amc-sign-up-now-form-2025</t>
        </is>
      </c>
      <c r="B46" s="24" t="inlineStr">
        <is>
          <t>amc sign up now form {n} – african marketing confederation</t>
        </is>
      </c>
      <c r="C46" s="27" t="n">
        <v>1</v>
      </c>
      <c r="D46" s="24" t="n">
        <v>69</v>
      </c>
      <c r="E46" s="32" t="n">
        <v>0</v>
      </c>
      <c r="F46" s="4" t="n">
        <v>100</v>
      </c>
      <c r="G46" s="24" t="inlineStr">
        <is>
          <t>Low AEO Readiness Score</t>
        </is>
      </c>
      <c r="H46" s="24" t="inlineStr">
        <is>
          <t>Add short direct answer blocks, question-led headings, and answer-ready formatting.</t>
        </is>
      </c>
      <c r="I46" s="27" t="inlineStr">
        <is>
          <t>https://africanmarketingconfederation.org/amc-sign-up-now-form-2025/</t>
        </is>
      </c>
    </row>
    <row r="47">
      <c r="A47" s="6" t="inlineStr">
        <is>
          <t>amc-testimony-page-2024</t>
        </is>
      </c>
      <c r="B47" s="6" t="inlineStr">
        <is>
          <t>amc testimony page {n} – african marketing confederation</t>
        </is>
      </c>
      <c r="C47" s="30" t="n">
        <v>1</v>
      </c>
      <c r="D47" s="6" t="n">
        <v>69</v>
      </c>
      <c r="E47" s="32" t="n">
        <v>0</v>
      </c>
      <c r="F47" s="4" t="n">
        <v>100</v>
      </c>
      <c r="G47" s="6" t="inlineStr">
        <is>
          <t>Low AEO Readiness Score</t>
        </is>
      </c>
      <c r="H47" s="6" t="inlineStr">
        <is>
          <t>Add short direct answer blocks, question-led headings, and answer-ready formatting.</t>
        </is>
      </c>
      <c r="I47" s="30" t="inlineStr">
        <is>
          <t>https://africanmarketingconfederation.org/amc-testimony-page-2024/</t>
        </is>
      </c>
    </row>
    <row r="48">
      <c r="A48" s="24" t="inlineStr">
        <is>
          <t>thank-you-for-registering-2024-registrations</t>
        </is>
      </c>
      <c r="B48" s="24" t="inlineStr">
        <is>
          <t>thank you for registering {n} registrations – african marketing confederation</t>
        </is>
      </c>
      <c r="C48" s="27" t="n">
        <v>1</v>
      </c>
      <c r="D48" s="24" t="n">
        <v>49</v>
      </c>
      <c r="E48" s="32" t="n">
        <v>0</v>
      </c>
      <c r="F48" s="4" t="n">
        <v>100</v>
      </c>
      <c r="G48" s="24" t="inlineStr">
        <is>
          <t>Missing H1</t>
        </is>
      </c>
      <c r="H48" s="24" t="inlineStr">
        <is>
          <t>Apply fix based on issue type and re-run audit.</t>
        </is>
      </c>
      <c r="I48" s="27" t="inlineStr">
        <is>
          <t>https://africanmarketingconfederation.org/thank-you-for-registering-2024-registrations/</t>
        </is>
      </c>
    </row>
    <row r="49">
      <c r="A49" s="6" t="inlineStr">
        <is>
          <t>download-prospectus-2024</t>
        </is>
      </c>
      <c r="B49" s="6" t="inlineStr">
        <is>
          <t>download prospectus {n} – african marketing confederation</t>
        </is>
      </c>
      <c r="C49" s="30" t="n">
        <v>1</v>
      </c>
      <c r="D49" s="6" t="n">
        <v>49</v>
      </c>
      <c r="E49" s="32" t="n">
        <v>0</v>
      </c>
      <c r="F49" s="4" t="n">
        <v>100</v>
      </c>
      <c r="G49" s="6" t="inlineStr">
        <is>
          <t>Missing H1</t>
        </is>
      </c>
      <c r="H49" s="6" t="inlineStr">
        <is>
          <t>Apply fix based on issue type and re-run audit.</t>
        </is>
      </c>
      <c r="I49" s="30" t="inlineStr">
        <is>
          <t>https://africanmarketingconfederation.org/download-prospectus-2024/</t>
        </is>
      </c>
    </row>
    <row r="50">
      <c r="A50" s="24" t="inlineStr">
        <is>
          <t>thank-you-for-registering-2024-registrations-kenya</t>
        </is>
      </c>
      <c r="B50" s="24" t="inlineStr">
        <is>
          <t>thank you for registering {n} registrations kenya – african marketing confederat</t>
        </is>
      </c>
      <c r="C50" s="27" t="n">
        <v>1</v>
      </c>
      <c r="D50" s="24" t="n">
        <v>49</v>
      </c>
      <c r="E50" s="32" t="n">
        <v>0</v>
      </c>
      <c r="F50" s="4" t="n">
        <v>100</v>
      </c>
      <c r="G50" s="24" t="inlineStr">
        <is>
          <t>Missing H1</t>
        </is>
      </c>
      <c r="H50" s="24" t="inlineStr">
        <is>
          <t>Apply fix based on issue type and re-run audit.</t>
        </is>
      </c>
      <c r="I50" s="27" t="inlineStr">
        <is>
          <t>https://africanmarketingconfederation.org/thank-you-for-registering-2024-registrations-kenya/</t>
        </is>
      </c>
    </row>
    <row r="51">
      <c r="A51" s="6" t="inlineStr">
        <is>
          <t>subscribe</t>
        </is>
      </c>
      <c r="B51" s="6" t="inlineStr">
        <is>
          <t>subscribe – african marketing confederation</t>
        </is>
      </c>
      <c r="C51" s="30" t="n">
        <v>1</v>
      </c>
      <c r="D51" s="6" t="n">
        <v>59</v>
      </c>
      <c r="E51" s="32" t="n">
        <v>0</v>
      </c>
      <c r="F51" s="4" t="n">
        <v>100</v>
      </c>
      <c r="G51" s="6" t="inlineStr">
        <is>
          <t>Missing H1</t>
        </is>
      </c>
      <c r="H51" s="6" t="inlineStr">
        <is>
          <t>Apply fix based on issue type and re-run audit.</t>
        </is>
      </c>
      <c r="I51" s="30" t="inlineStr">
        <is>
          <t>https://africanmarketingconfederation.org/subscribe/</t>
        </is>
      </c>
    </row>
    <row r="52">
      <c r="A52" s="24" t="inlineStr">
        <is>
          <t>amc-forum-speakers</t>
        </is>
      </c>
      <c r="B52" s="24" t="inlineStr">
        <is>
          <t>(no-title)</t>
        </is>
      </c>
      <c r="C52" s="27" t="n">
        <v>1</v>
      </c>
      <c r="D52" s="24" t="n">
        <v>24</v>
      </c>
      <c r="E52" s="4" t="n">
        <v>100</v>
      </c>
      <c r="F52" s="32" t="n">
        <v>0</v>
      </c>
      <c r="G52" s="24" t="inlineStr">
        <is>
          <t>Non-200 Status</t>
        </is>
      </c>
      <c r="H52" s="24" t="inlineStr">
        <is>
          <t>Fix status code, restore page, or implement correct redirect to canonical destination.</t>
        </is>
      </c>
      <c r="I52" s="27" t="inlineStr">
        <is>
          <t>https://africanmarketingconfederation.org/amc-marketing-conference-2024/speakers-2024/</t>
        </is>
      </c>
    </row>
    <row r="53">
      <c r="A53" s="6" t="inlineStr">
        <is>
          <t>amc-forum-sponsors</t>
        </is>
      </c>
      <c r="B53" s="6" t="inlineStr">
        <is>
          <t>(no-title)</t>
        </is>
      </c>
      <c r="C53" s="30" t="n">
        <v>1</v>
      </c>
      <c r="D53" s="6" t="n">
        <v>24</v>
      </c>
      <c r="E53" s="4" t="n">
        <v>100</v>
      </c>
      <c r="F53" s="32" t="n">
        <v>0</v>
      </c>
      <c r="G53" s="6" t="inlineStr">
        <is>
          <t>Non-200 Status</t>
        </is>
      </c>
      <c r="H53" s="6" t="inlineStr">
        <is>
          <t>Fix status code, restore page, or implement correct redirect to canonical destination.</t>
        </is>
      </c>
      <c r="I53" s="30" t="inlineStr">
        <is>
          <t>https://africanmarketingconfederation.org/amc-conference-sponsors/</t>
        </is>
      </c>
    </row>
    <row r="54">
      <c r="A54" s="24" t="inlineStr">
        <is>
          <t>elementor-20341</t>
        </is>
      </c>
      <c r="B54" s="24" t="inlineStr">
        <is>
          <t>elementor #{n} – african marketing confederation</t>
        </is>
      </c>
      <c r="C54" s="27" t="n">
        <v>1</v>
      </c>
      <c r="D54" s="24" t="n">
        <v>39</v>
      </c>
      <c r="E54" s="32" t="n">
        <v>0</v>
      </c>
      <c r="F54" s="4" t="n">
        <v>100</v>
      </c>
      <c r="G54" s="24" t="inlineStr">
        <is>
          <t>Missing Meta Description</t>
        </is>
      </c>
      <c r="H54" s="24" t="inlineStr">
        <is>
          <t>Add concise unique description aligned with user intent.</t>
        </is>
      </c>
      <c r="I54" s="27" t="inlineStr">
        <is>
          <t>https://africanmarketingconfederation.org/elementor-20341/</t>
        </is>
      </c>
    </row>
    <row r="55">
      <c r="A55" s="6" t="inlineStr">
        <is>
          <t>chartered-marketer-africa-final-submission-fee</t>
        </is>
      </c>
      <c r="B55" s="6" t="inlineStr">
        <is>
          <t>chartered marketer (africa) final submission fee – african marketing confederati</t>
        </is>
      </c>
      <c r="C55" s="30" t="n">
        <v>1</v>
      </c>
      <c r="D55" s="6" t="n">
        <v>59</v>
      </c>
      <c r="E55" s="32" t="n">
        <v>0</v>
      </c>
      <c r="F55" s="4" t="n">
        <v>100</v>
      </c>
      <c r="G55" s="6" t="inlineStr">
        <is>
          <t>Thin Content</t>
        </is>
      </c>
      <c r="H55" s="6" t="inlineStr">
        <is>
          <t>Expand page with helpful, unique, intent-matching content.</t>
        </is>
      </c>
      <c r="I55" s="30" t="inlineStr">
        <is>
          <t>https://africanmarketingconfederation.org/chartered-marketer-africa-final-submission-fee/</t>
        </is>
      </c>
    </row>
    <row r="56">
      <c r="A56" s="24" t="inlineStr">
        <is>
          <t>chartered-marketer-africa-programme-fee</t>
        </is>
      </c>
      <c r="B56" s="24" t="inlineStr">
        <is>
          <t>chartered marketer (africa) programme fee – african marketing confederation</t>
        </is>
      </c>
      <c r="C56" s="27" t="n">
        <v>1</v>
      </c>
      <c r="D56" s="24" t="n">
        <v>59</v>
      </c>
      <c r="E56" s="32" t="n">
        <v>0</v>
      </c>
      <c r="F56" s="4" t="n">
        <v>100</v>
      </c>
      <c r="G56" s="24" t="inlineStr">
        <is>
          <t>Thin Content</t>
        </is>
      </c>
      <c r="H56" s="24" t="inlineStr">
        <is>
          <t>Expand page with helpful, unique, intent-matching content.</t>
        </is>
      </c>
      <c r="I56" s="27" t="inlineStr">
        <is>
          <t>https://africanmarketingconfederation.org/chartered-marketer-africa-programme-fee/</t>
        </is>
      </c>
    </row>
    <row r="57">
      <c r="A57" s="6" t="inlineStr">
        <is>
          <t>download-brochure</t>
        </is>
      </c>
      <c r="B57" s="6" t="inlineStr">
        <is>
          <t>download brochure – african marketing confederation</t>
        </is>
      </c>
      <c r="C57" s="30" t="n">
        <v>1</v>
      </c>
      <c r="D57" s="6" t="n">
        <v>49</v>
      </c>
      <c r="E57" s="32" t="n">
        <v>0</v>
      </c>
      <c r="F57" s="4" t="n">
        <v>100</v>
      </c>
      <c r="G57" s="6" t="inlineStr">
        <is>
          <t>Missing H1</t>
        </is>
      </c>
      <c r="H57" s="6" t="inlineStr">
        <is>
          <t>Apply fix based on issue type and re-run audit.</t>
        </is>
      </c>
      <c r="I57" s="30" t="inlineStr">
        <is>
          <t>https://africanmarketingconfederation.org/download-brochure/</t>
        </is>
      </c>
    </row>
    <row r="58">
      <c r="A58" s="24" t="inlineStr">
        <is>
          <t>thank-you-for-the-nomination-2024</t>
        </is>
      </c>
      <c r="B58" s="24" t="inlineStr">
        <is>
          <t>thank you for the nomination {n} – african marketing confederation</t>
        </is>
      </c>
      <c r="C58" s="27" t="n">
        <v>1</v>
      </c>
      <c r="D58" s="24" t="n">
        <v>49</v>
      </c>
      <c r="E58" s="32" t="n">
        <v>0</v>
      </c>
      <c r="F58" s="4" t="n">
        <v>100</v>
      </c>
      <c r="G58" s="24" t="inlineStr">
        <is>
          <t>Missing H1</t>
        </is>
      </c>
      <c r="H58" s="24" t="inlineStr">
        <is>
          <t>Apply fix based on issue type and re-run audit.</t>
        </is>
      </c>
      <c r="I58" s="27" t="inlineStr">
        <is>
          <t>https://africanmarketingconfederation.org/thank-you-for-the-nomination-2024/</t>
        </is>
      </c>
    </row>
    <row r="59">
      <c r="A59" s="6" t="inlineStr">
        <is>
          <t>thank-you-for-the-submission-2024</t>
        </is>
      </c>
      <c r="B59" s="6" t="inlineStr">
        <is>
          <t>thank you for the submission {n} – african marketing confederation</t>
        </is>
      </c>
      <c r="C59" s="30" t="n">
        <v>1</v>
      </c>
      <c r="D59" s="6" t="n">
        <v>49</v>
      </c>
      <c r="E59" s="32" t="n">
        <v>0</v>
      </c>
      <c r="F59" s="4" t="n">
        <v>100</v>
      </c>
      <c r="G59" s="6" t="inlineStr">
        <is>
          <t>Missing H1</t>
        </is>
      </c>
      <c r="H59" s="6" t="inlineStr">
        <is>
          <t>Apply fix based on issue type and re-run audit.</t>
        </is>
      </c>
      <c r="I59" s="30" t="inlineStr">
        <is>
          <t>https://africanmarketingconfederation.org/thank-you-for-the-submission-2024/</t>
        </is>
      </c>
    </row>
    <row r="60">
      <c r="A60" s="24" t="inlineStr">
        <is>
          <t>amc-conference-2024-sponsors-packages</t>
        </is>
      </c>
      <c r="B60" s="24" t="inlineStr">
        <is>
          <t>sponsors packages – african marketing confederation</t>
        </is>
      </c>
      <c r="C60" s="27" t="n">
        <v>1</v>
      </c>
      <c r="D60" s="24" t="n">
        <v>59</v>
      </c>
      <c r="E60" s="32" t="n">
        <v>0</v>
      </c>
      <c r="F60" s="4" t="n">
        <v>100</v>
      </c>
      <c r="G60" s="24" t="inlineStr">
        <is>
          <t>Thin Content</t>
        </is>
      </c>
      <c r="H60" s="24" t="inlineStr">
        <is>
          <t>Expand page with helpful, unique, intent-matching content.</t>
        </is>
      </c>
      <c r="I60" s="27" t="inlineStr">
        <is>
          <t>https://africanmarketingconfederation.org/amc-conference-2024-sponsors-packages/</t>
        </is>
      </c>
    </row>
    <row r="61">
      <c r="A61" s="6" t="inlineStr">
        <is>
          <t>elementor-16548</t>
        </is>
      </c>
      <c r="B61" s="6" t="inlineStr">
        <is>
          <t>thank you for registering – african marketing confederation</t>
        </is>
      </c>
      <c r="C61" s="30" t="n">
        <v>1</v>
      </c>
      <c r="D61" s="6" t="n">
        <v>49</v>
      </c>
      <c r="E61" s="32" t="n">
        <v>0</v>
      </c>
      <c r="F61" s="4" t="n">
        <v>100</v>
      </c>
      <c r="G61" s="6" t="inlineStr">
        <is>
          <t>Missing H1</t>
        </is>
      </c>
      <c r="H61" s="6" t="inlineStr">
        <is>
          <t>Apply fix based on issue type and re-run audit.</t>
        </is>
      </c>
      <c r="I61" s="30" t="inlineStr">
        <is>
          <t>https://africanmarketingconfederation.org/elementor-16548/</t>
        </is>
      </c>
    </row>
    <row r="62">
      <c r="A62" s="24" t="inlineStr">
        <is>
          <t>amc-marketing-conference-2024</t>
        </is>
      </c>
      <c r="B62" s="24" t="inlineStr">
        <is>
          <t>programme {n} – african marketing confederation</t>
        </is>
      </c>
      <c r="C62" s="27" t="n">
        <v>1</v>
      </c>
      <c r="D62" s="24" t="n">
        <v>69</v>
      </c>
      <c r="E62" s="32" t="n">
        <v>0</v>
      </c>
      <c r="F62" s="4" t="n">
        <v>100</v>
      </c>
      <c r="G62" s="24" t="inlineStr">
        <is>
          <t>Low AEO Readiness Score</t>
        </is>
      </c>
      <c r="H62" s="24" t="inlineStr">
        <is>
          <t>Add short direct answer blocks, question-led headings, and answer-ready formatting.</t>
        </is>
      </c>
      <c r="I62" s="27" t="inlineStr">
        <is>
          <t>https://africanmarketingconfederation.org/amc-marketing-conference-2024/programme-2024/</t>
        </is>
      </c>
    </row>
    <row r="63">
      <c r="A63" s="6" t="inlineStr">
        <is>
          <t>amc-conference-2023</t>
        </is>
      </c>
      <c r="B63" s="6" t="inlineStr">
        <is>
          <t>programme – african marketing confederation</t>
        </is>
      </c>
      <c r="C63" s="30" t="n">
        <v>1</v>
      </c>
      <c r="D63" s="6" t="n">
        <v>69</v>
      </c>
      <c r="E63" s="32" t="n">
        <v>0</v>
      </c>
      <c r="F63" s="4" t="n">
        <v>100</v>
      </c>
      <c r="G63" s="6" t="inlineStr">
        <is>
          <t>Low AEO Readiness Score</t>
        </is>
      </c>
      <c r="H63" s="6" t="inlineStr">
        <is>
          <t>Add short direct answer blocks, question-led headings, and answer-ready formatting.</t>
        </is>
      </c>
      <c r="I63" s="30" t="inlineStr">
        <is>
          <t>https://africanmarketingconfederation.org/amc-conference-2023/programme/</t>
        </is>
      </c>
    </row>
    <row r="64">
      <c r="A64" s="24" t="inlineStr">
        <is>
          <t>amc-conference-2023</t>
        </is>
      </c>
      <c r="B64" s="24" t="inlineStr">
        <is>
          <t>amc awards – african marketing confederation</t>
        </is>
      </c>
      <c r="C64" s="27" t="n">
        <v>1</v>
      </c>
      <c r="D64" s="24" t="n">
        <v>69</v>
      </c>
      <c r="E64" s="32" t="n">
        <v>0</v>
      </c>
      <c r="F64" s="4" t="n">
        <v>100</v>
      </c>
      <c r="G64" s="24" t="inlineStr">
        <is>
          <t>Low AEO Readiness Score</t>
        </is>
      </c>
      <c r="H64" s="24" t="inlineStr">
        <is>
          <t>Add short direct answer blocks, question-led headings, and answer-ready formatting.</t>
        </is>
      </c>
      <c r="I64" s="27" t="inlineStr">
        <is>
          <t>https://africanmarketingconfederation.org/amc-conference-2023/amc-awards/</t>
        </is>
      </c>
    </row>
    <row r="65">
      <c r="A65" s="6" t="inlineStr">
        <is>
          <t>amc-conference-2023</t>
        </is>
      </c>
      <c r="B65" s="6" t="inlineStr">
        <is>
          <t>partners – african marketing confederation</t>
        </is>
      </c>
      <c r="C65" s="30" t="n">
        <v>1</v>
      </c>
      <c r="D65" s="6" t="n">
        <v>59</v>
      </c>
      <c r="E65" s="32" t="n">
        <v>0</v>
      </c>
      <c r="F65" s="4" t="n">
        <v>100</v>
      </c>
      <c r="G65" s="6" t="inlineStr">
        <is>
          <t>Low AEO Readiness Score</t>
        </is>
      </c>
      <c r="H65" s="6" t="inlineStr">
        <is>
          <t>Add short direct answer blocks, question-led headings, and answer-ready formatting.</t>
        </is>
      </c>
      <c r="I65" s="30" t="inlineStr">
        <is>
          <t>https://africanmarketingconfederation.org/amc-conference-2023/partners/</t>
        </is>
      </c>
    </row>
    <row r="66">
      <c r="A66" s="24" t="inlineStr">
        <is>
          <t>amc-conference-2023</t>
        </is>
      </c>
      <c r="B66" s="24" t="inlineStr">
        <is>
          <t>speakers – african marketing confederation</t>
        </is>
      </c>
      <c r="C66" s="27" t="n">
        <v>1</v>
      </c>
      <c r="D66" s="24" t="n">
        <v>69</v>
      </c>
      <c r="E66" s="32" t="n">
        <v>0</v>
      </c>
      <c r="F66" s="4" t="n">
        <v>100</v>
      </c>
      <c r="G66" s="24" t="inlineStr">
        <is>
          <t>Low AEO Readiness Score</t>
        </is>
      </c>
      <c r="H66" s="24" t="inlineStr">
        <is>
          <t>Add short direct answer blocks, question-led headings, and answer-ready formatting.</t>
        </is>
      </c>
      <c r="I66" s="27" t="inlineStr">
        <is>
          <t>https://africanmarketingconfederation.org/amc-conference-2023/speakers/</t>
        </is>
      </c>
    </row>
    <row r="67">
      <c r="A67" s="6" t="inlineStr">
        <is>
          <t>chartered-marketer-africa-thank-you</t>
        </is>
      </c>
      <c r="B67" s="6" t="inlineStr">
        <is>
          <t>chartered marketer (africa) | thank you – african marketing confederation</t>
        </is>
      </c>
      <c r="C67" s="30" t="n">
        <v>1</v>
      </c>
      <c r="D67" s="6" t="n">
        <v>49</v>
      </c>
      <c r="E67" s="32" t="n">
        <v>0</v>
      </c>
      <c r="F67" s="4" t="n">
        <v>100</v>
      </c>
      <c r="G67" s="6" t="inlineStr">
        <is>
          <t>Missing H1</t>
        </is>
      </c>
      <c r="H67" s="6" t="inlineStr">
        <is>
          <t>Apply fix based on issue type and re-run audit.</t>
        </is>
      </c>
      <c r="I67" s="30" t="inlineStr">
        <is>
          <t>https://africanmarketingconfederation.org/chartered-marketer-africa-thank-you/</t>
        </is>
      </c>
    </row>
    <row r="68">
      <c r="A68" s="24" t="inlineStr">
        <is>
          <t>amc-conference-2023</t>
        </is>
      </c>
      <c r="B68" s="24" t="inlineStr">
        <is>
          <t>amc awards | book now – african marketing confederation</t>
        </is>
      </c>
      <c r="C68" s="27" t="n">
        <v>1</v>
      </c>
      <c r="D68" s="24" t="n">
        <v>39</v>
      </c>
      <c r="E68" s="32" t="n">
        <v>0</v>
      </c>
      <c r="F68" s="4" t="n">
        <v>100</v>
      </c>
      <c r="G68" s="24" t="inlineStr">
        <is>
          <t>Low AEO Readiness Score</t>
        </is>
      </c>
      <c r="H68" s="24" t="inlineStr">
        <is>
          <t>Add short direct answer blocks, question-led headings, and answer-ready formatting.</t>
        </is>
      </c>
      <c r="I68" s="27" t="inlineStr">
        <is>
          <t>https://africanmarketingconfederation.org/amc-conference-2023/amc-awards-book-now/</t>
        </is>
      </c>
    </row>
    <row r="69">
      <c r="A69" s="6" t="inlineStr">
        <is>
          <t>amc-conference-2023</t>
        </is>
      </c>
      <c r="B69" s="6" t="inlineStr">
        <is>
          <t>book now – african marketing confederation</t>
        </is>
      </c>
      <c r="C69" s="30" t="n">
        <v>1</v>
      </c>
      <c r="D69" s="6" t="n">
        <v>59</v>
      </c>
      <c r="E69" s="32" t="n">
        <v>0</v>
      </c>
      <c r="F69" s="4" t="n">
        <v>100</v>
      </c>
      <c r="G69" s="6" t="inlineStr">
        <is>
          <t>Low AEO Readiness Score</t>
        </is>
      </c>
      <c r="H69" s="6" t="inlineStr">
        <is>
          <t>Add short direct answer blocks, question-led headings, and answer-ready formatting.</t>
        </is>
      </c>
      <c r="I69" s="30" t="inlineStr">
        <is>
          <t>https://africanmarketingconfederation.org/amc-conference-2023/book-now/</t>
        </is>
      </c>
    </row>
    <row r="70">
      <c r="A70" s="24" t="inlineStr">
        <is>
          <t>amc-conference-2023</t>
        </is>
      </c>
      <c r="B70" s="24" t="inlineStr">
        <is>
          <t>download prospectus – african marketing confederation</t>
        </is>
      </c>
      <c r="C70" s="27" t="n">
        <v>1</v>
      </c>
      <c r="D70" s="24" t="n">
        <v>59</v>
      </c>
      <c r="E70" s="32" t="n">
        <v>0</v>
      </c>
      <c r="F70" s="4" t="n">
        <v>100</v>
      </c>
      <c r="G70" s="24" t="inlineStr">
        <is>
          <t>Low AEO Readiness Score</t>
        </is>
      </c>
      <c r="H70" s="24" t="inlineStr">
        <is>
          <t>Add short direct answer blocks, question-led headings, and answer-ready formatting.</t>
        </is>
      </c>
      <c r="I70" s="27" t="inlineStr">
        <is>
          <t>https://africanmarketingconfederation.org/amc-conference-2023/download-prospectus/</t>
        </is>
      </c>
    </row>
    <row r="71">
      <c r="A71" s="6" t="inlineStr">
        <is>
          <t>thank-you-for-subscribing</t>
        </is>
      </c>
      <c r="B71" s="6" t="inlineStr">
        <is>
          <t>thank you for subscribing – african marketing confederation</t>
        </is>
      </c>
      <c r="C71" s="30" t="n">
        <v>1</v>
      </c>
      <c r="D71" s="6" t="n">
        <v>49</v>
      </c>
      <c r="E71" s="32" t="n">
        <v>0</v>
      </c>
      <c r="F71" s="4" t="n">
        <v>100</v>
      </c>
      <c r="G71" s="6" t="inlineStr">
        <is>
          <t>Missing H1</t>
        </is>
      </c>
      <c r="H71" s="6" t="inlineStr">
        <is>
          <t>Apply fix based on issue type and re-run audit.</t>
        </is>
      </c>
      <c r="I71" s="30" t="inlineStr">
        <is>
          <t>https://africanmarketingconfederation.org/thank-you-for-subscribing/</t>
        </is>
      </c>
    </row>
    <row r="72">
      <c r="A72" s="24" t="inlineStr">
        <is>
          <t>amc-conference-2023</t>
        </is>
      </c>
      <c r="B72" s="24" t="inlineStr">
        <is>
          <t>book now | thank you – african marketing confederation</t>
        </is>
      </c>
      <c r="C72" s="27" t="n">
        <v>1</v>
      </c>
      <c r="D72" s="24" t="n">
        <v>49</v>
      </c>
      <c r="E72" s="32" t="n">
        <v>0</v>
      </c>
      <c r="F72" s="4" t="n">
        <v>100</v>
      </c>
      <c r="G72" s="24" t="inlineStr">
        <is>
          <t>Low AEO Readiness Score</t>
        </is>
      </c>
      <c r="H72" s="24" t="inlineStr">
        <is>
          <t>Add short direct answer blocks, question-led headings, and answer-ready formatting.</t>
        </is>
      </c>
      <c r="I72" s="27" t="inlineStr">
        <is>
          <t>https://africanmarketingconfederation.org/amc-conference-2023/book-now-thank-you/</t>
        </is>
      </c>
    </row>
    <row r="73">
      <c r="A73" s="6" t="inlineStr">
        <is>
          <t>upcoming-events</t>
        </is>
      </c>
      <c r="B73" s="6" t="inlineStr">
        <is>
          <t>upcoming events – african marketing confederation</t>
        </is>
      </c>
      <c r="C73" s="30" t="n">
        <v>1</v>
      </c>
      <c r="D73" s="6" t="n">
        <v>49</v>
      </c>
      <c r="E73" s="32" t="n">
        <v>0</v>
      </c>
      <c r="F73" s="4" t="n">
        <v>100</v>
      </c>
      <c r="G73" s="6" t="inlineStr">
        <is>
          <t>Missing H1</t>
        </is>
      </c>
      <c r="H73" s="6" t="inlineStr">
        <is>
          <t>Apply fix based on issue type and re-run audit.</t>
        </is>
      </c>
      <c r="I73" s="30" t="inlineStr">
        <is>
          <t>https://africanmarketingconfederation.org/upcoming-events/</t>
        </is>
      </c>
    </row>
    <row r="74">
      <c r="A74" s="24" t="inlineStr">
        <is>
          <t>amc-conference-thank-you</t>
        </is>
      </c>
      <c r="B74" s="24" t="inlineStr">
        <is>
          <t>amc conference | thank you – african marketing confederation</t>
        </is>
      </c>
      <c r="C74" s="27" t="n">
        <v>1</v>
      </c>
      <c r="D74" s="24" t="n">
        <v>69</v>
      </c>
      <c r="E74" s="32" t="n">
        <v>0</v>
      </c>
      <c r="F74" s="4" t="n">
        <v>100</v>
      </c>
      <c r="G74" s="24" t="inlineStr">
        <is>
          <t>Low AEO Readiness Score</t>
        </is>
      </c>
      <c r="H74" s="24" t="inlineStr">
        <is>
          <t>Add short direct answer blocks, question-led headings, and answer-ready formatting.</t>
        </is>
      </c>
      <c r="I74" s="27" t="inlineStr">
        <is>
          <t>https://africanmarketingconfederation.org/amc-conference-thank-you/</t>
        </is>
      </c>
    </row>
    <row r="75">
      <c r="A75" s="6" t="inlineStr">
        <is>
          <t>amc-masterclass</t>
        </is>
      </c>
      <c r="B75" s="6" t="inlineStr">
        <is>
          <t>amc masterclass – african marketing confederation</t>
        </is>
      </c>
      <c r="C75" s="30" t="n">
        <v>1</v>
      </c>
      <c r="D75" s="6" t="n">
        <v>49</v>
      </c>
      <c r="E75" s="32" t="n">
        <v>0</v>
      </c>
      <c r="F75" s="4" t="n">
        <v>100</v>
      </c>
      <c r="G75" s="6" t="inlineStr">
        <is>
          <t>Missing H1</t>
        </is>
      </c>
      <c r="H75" s="6" t="inlineStr">
        <is>
          <t>Apply fix based on issue type and re-run audit.</t>
        </is>
      </c>
      <c r="I75" s="30" t="inlineStr">
        <is>
          <t>https://africanmarketingconfederation.org/amc-masterclass/</t>
        </is>
      </c>
    </row>
    <row r="76">
      <c r="A76" s="24" t="inlineStr">
        <is>
          <t>amc-relaunch-programme</t>
        </is>
      </c>
      <c r="B76" s="24" t="inlineStr">
        <is>
          <t>amc relaunch – programme – african marketing confederation</t>
        </is>
      </c>
      <c r="C76" s="27" t="n">
        <v>1</v>
      </c>
      <c r="D76" s="24" t="n">
        <v>59</v>
      </c>
      <c r="E76" s="32" t="n">
        <v>0</v>
      </c>
      <c r="F76" s="4" t="n">
        <v>100</v>
      </c>
      <c r="G76" s="24" t="inlineStr">
        <is>
          <t>Missing H1</t>
        </is>
      </c>
      <c r="H76" s="24" t="inlineStr">
        <is>
          <t>Apply fix based on issue type and re-run audit.</t>
        </is>
      </c>
      <c r="I76" s="27" t="inlineStr">
        <is>
          <t>https://africanmarketingconfederation.org/amc-relaunch-programme/</t>
        </is>
      </c>
    </row>
    <row r="77">
      <c r="A77" s="6" t="inlineStr">
        <is>
          <t>amc-masterclass-thank-you</t>
        </is>
      </c>
      <c r="B77" s="6" t="inlineStr">
        <is>
          <t>amc masterclass | thank you – african marketing confederation</t>
        </is>
      </c>
      <c r="C77" s="30" t="n">
        <v>1</v>
      </c>
      <c r="D77" s="6" t="n">
        <v>49</v>
      </c>
      <c r="E77" s="32" t="n">
        <v>0</v>
      </c>
      <c r="F77" s="4" t="n">
        <v>100</v>
      </c>
      <c r="G77" s="6" t="inlineStr">
        <is>
          <t>Missing H1</t>
        </is>
      </c>
      <c r="H77" s="6" t="inlineStr">
        <is>
          <t>Apply fix based on issue type and re-run audit.</t>
        </is>
      </c>
      <c r="I77" s="30" t="inlineStr">
        <is>
          <t>https://africanmarketingconfederation.org/amc-masterclass-thank-you/</t>
        </is>
      </c>
    </row>
    <row r="78">
      <c r="A78" s="24" t="inlineStr">
        <is>
          <t>amc-masterclass-bookings</t>
        </is>
      </c>
      <c r="B78" s="24" t="inlineStr">
        <is>
          <t>amc masterclass | bookings – african marketing confederation</t>
        </is>
      </c>
      <c r="C78" s="27" t="n">
        <v>1</v>
      </c>
      <c r="D78" s="24" t="n">
        <v>39</v>
      </c>
      <c r="E78" s="32" t="n">
        <v>0</v>
      </c>
      <c r="F78" s="4" t="n">
        <v>100</v>
      </c>
      <c r="G78" s="24" t="inlineStr">
        <is>
          <t>Missing Meta Description</t>
        </is>
      </c>
      <c r="H78" s="24" t="inlineStr">
        <is>
          <t>Add concise unique description aligned with user intent.</t>
        </is>
      </c>
      <c r="I78" s="27" t="inlineStr">
        <is>
          <t>https://africanmarketingconfederation.org/amc-masterclass-bookings/</t>
        </is>
      </c>
    </row>
    <row r="79">
      <c r="A79" s="6" t="inlineStr">
        <is>
          <t>amc-conference-programme</t>
        </is>
      </c>
      <c r="B79" s="6" t="inlineStr">
        <is>
          <t>hybrid programme​ – african marketing confederation</t>
        </is>
      </c>
      <c r="C79" s="30" t="n">
        <v>1</v>
      </c>
      <c r="D79" s="6" t="n">
        <v>59</v>
      </c>
      <c r="E79" s="32" t="n">
        <v>0</v>
      </c>
      <c r="F79" s="4" t="n">
        <v>100</v>
      </c>
      <c r="G79" s="6" t="inlineStr">
        <is>
          <t>Missing H1</t>
        </is>
      </c>
      <c r="H79" s="6" t="inlineStr">
        <is>
          <t>Apply fix based on issue type and re-run audit.</t>
        </is>
      </c>
      <c r="I79" s="30" t="inlineStr">
        <is>
          <t>https://africanmarketingconfederation.org/amc-conference-programme/</t>
        </is>
      </c>
    </row>
    <row r="80">
      <c r="A80" s="24" t="inlineStr">
        <is>
          <t>test-homeslider</t>
        </is>
      </c>
      <c r="B80" s="24" t="inlineStr">
        <is>
          <t>test homeslider – african marketing confederation</t>
        </is>
      </c>
      <c r="C80" s="27" t="n">
        <v>1</v>
      </c>
      <c r="D80" s="24" t="n">
        <v>49</v>
      </c>
      <c r="E80" s="32" t="n">
        <v>0</v>
      </c>
      <c r="F80" s="4" t="n">
        <v>100</v>
      </c>
      <c r="G80" s="24" t="inlineStr">
        <is>
          <t>Missing H1</t>
        </is>
      </c>
      <c r="H80" s="24" t="inlineStr">
        <is>
          <t>Apply fix based on issue type and re-run audit.</t>
        </is>
      </c>
      <c r="I80" s="27" t="inlineStr">
        <is>
          <t>https://africanmarketingconfederation.org/test-homeslider/</t>
        </is>
      </c>
    </row>
    <row r="81">
      <c r="A81" s="6" t="inlineStr">
        <is>
          <t>virtual-programme</t>
        </is>
      </c>
      <c r="B81" s="6" t="inlineStr">
        <is>
          <t>virtual programme – african marketing confederation</t>
        </is>
      </c>
      <c r="C81" s="30" t="n">
        <v>1</v>
      </c>
      <c r="D81" s="6" t="n">
        <v>59</v>
      </c>
      <c r="E81" s="32" t="n">
        <v>0</v>
      </c>
      <c r="F81" s="4" t="n">
        <v>100</v>
      </c>
      <c r="G81" s="6" t="inlineStr">
        <is>
          <t>Missing H1</t>
        </is>
      </c>
      <c r="H81" s="6" t="inlineStr">
        <is>
          <t>Apply fix based on issue type and re-run audit.</t>
        </is>
      </c>
      <c r="I81" s="30" t="inlineStr">
        <is>
          <t>https://africanmarketingconfederation.org/virtual-programme/</t>
        </is>
      </c>
    </row>
    <row r="82">
      <c r="A82" s="24" t="inlineStr">
        <is>
          <t>general-enquiry-form-thank-you</t>
        </is>
      </c>
      <c r="B82" s="24" t="inlineStr">
        <is>
          <t>general enquiry form – thank you – african marketing confederation</t>
        </is>
      </c>
      <c r="C82" s="27" t="n">
        <v>1</v>
      </c>
      <c r="D82" s="24" t="n">
        <v>49</v>
      </c>
      <c r="E82" s="32" t="n">
        <v>0</v>
      </c>
      <c r="F82" s="4" t="n">
        <v>100</v>
      </c>
      <c r="G82" s="24" t="inlineStr">
        <is>
          <t>Missing H1</t>
        </is>
      </c>
      <c r="H82" s="24" t="inlineStr">
        <is>
          <t>Apply fix based on issue type and re-run audit.</t>
        </is>
      </c>
      <c r="I82" s="27" t="inlineStr">
        <is>
          <t>https://africanmarketingconfederation.org/general-enquiry-form-thank-you/</t>
        </is>
      </c>
    </row>
    <row r="83">
      <c r="A83" s="6" t="inlineStr">
        <is>
          <t>amc-conference-2022-thank-you</t>
        </is>
      </c>
      <c r="B83" s="6" t="inlineStr">
        <is>
          <t>amc conference {n} – thank you – african marketing confederation</t>
        </is>
      </c>
      <c r="C83" s="30" t="n">
        <v>1</v>
      </c>
      <c r="D83" s="6" t="n">
        <v>59</v>
      </c>
      <c r="E83" s="32" t="n">
        <v>0</v>
      </c>
      <c r="F83" s="4" t="n">
        <v>100</v>
      </c>
      <c r="G83" s="6" t="inlineStr">
        <is>
          <t>Missing H1</t>
        </is>
      </c>
      <c r="H83" s="6" t="inlineStr">
        <is>
          <t>Apply fix based on issue type and re-run audit.</t>
        </is>
      </c>
      <c r="I83" s="30" t="inlineStr">
        <is>
          <t>https://africanmarketingconfederation.org/amc-conference-2022-thank-you/</t>
        </is>
      </c>
    </row>
    <row r="84">
      <c r="A84" s="24" t="inlineStr">
        <is>
          <t>privacy-policy</t>
        </is>
      </c>
      <c r="B84" s="24" t="inlineStr">
        <is>
          <t>privacy policy – african marketing confederation</t>
        </is>
      </c>
      <c r="C84" s="27" t="n">
        <v>1</v>
      </c>
      <c r="D84" s="24" t="n">
        <v>59</v>
      </c>
      <c r="E84" s="32" t="n">
        <v>0</v>
      </c>
      <c r="F84" s="4" t="n">
        <v>100</v>
      </c>
      <c r="G84" s="24" t="inlineStr">
        <is>
          <t>Multiple H1</t>
        </is>
      </c>
      <c r="H84" s="24" t="inlineStr">
        <is>
          <t>Apply fix based on issue type and re-run audit.</t>
        </is>
      </c>
      <c r="I84" s="27" t="inlineStr">
        <is>
          <t>https://africanmarketingconfederation.org/privacy-policy/</t>
        </is>
      </c>
    </row>
    <row r="85">
      <c r="A85" s="6" t="inlineStr">
        <is>
          <t>speakers</t>
        </is>
      </c>
      <c r="B85" s="6" t="inlineStr">
        <is>
          <t>speakers – african marketing confederation</t>
        </is>
      </c>
      <c r="C85" s="30" t="n">
        <v>1</v>
      </c>
      <c r="D85" s="6" t="n">
        <v>49</v>
      </c>
      <c r="E85" s="32" t="n">
        <v>0</v>
      </c>
      <c r="F85" s="4" t="n">
        <v>100</v>
      </c>
      <c r="G85" s="6" t="inlineStr">
        <is>
          <t>Missing H1</t>
        </is>
      </c>
      <c r="H85" s="6" t="inlineStr">
        <is>
          <t>Apply fix based on issue type and re-run audit.</t>
        </is>
      </c>
      <c r="I85" s="30" t="inlineStr">
        <is>
          <t>https://africanmarketingconfederation.org/speakers/</t>
        </is>
      </c>
    </row>
  </sheetData>
  <autoFilter ref="A1:I85"/>
  <dataValidations count="10">
    <dataValidation sqref="A1" showDropDown="0" showInputMessage="1" showErrorMessage="0" allowBlank="1" promptTitle="Path Segment" prompt="Path Segment. Review this metric to identify risk, then use linked tabs for details and remediation." type="custom">
      <formula1>TRUE</formula1>
    </dataValidation>
    <dataValidation sqref="B1" showDropDown="0" showInputMessage="1" showErrorMessage="0" allowBlank="1" promptTitle="Title Pattern" prompt="Title Pattern. Review this metric to identify risk, then use linked tabs for details and remediation." type="custom">
      <formula1>TRUE</formula1>
    </dataValidation>
    <dataValidation sqref="C1" showDropDown="0" showInputMessage="1" showErrorMessage="0" allowBlank="1" promptTitle="URL Count" prompt="URL Count. Use this URL to inspect the page directly or jump to related tabs." type="custom">
      <formula1>TRUE</formula1>
    </dataValidation>
    <dataValidation sqref="D1" showDropDown="0" showInputMessage="1" showErrorMessage="0" allowBlank="1" promptTitle="Cluster Health Score Avg" prompt="Composite SEO quality score for this URL. Higher is better. Guide: 90+ strong, 70-89 needs tuning, below 70 high priority." type="custom">
      <formula1>TRUE</formula1>
    </dataValidation>
    <dataValidation sqref="E1" showDropDown="0" showInputMessage="1" showErrorMessage="0" allowBlank="1" promptTitle="% with Critical" prompt="% with Critical. Review this metric to identify risk, then use linked tabs for details and remediation." type="custom">
      <formula1>TRUE</formula1>
    </dataValidation>
    <dataValidation sqref="F1" showDropDown="0" showInputMessage="1" showErrorMessage="0" allowBlank="1" promptTitle="% with Warnings" prompt="% with Warnings. Review this metric to identify risk, then use linked tabs for details and remediation." type="custom">
      <formula1>TRUE</formula1>
    </dataValidation>
    <dataValidation sqref="G1" showDropDown="0" showInputMessage="1" showErrorMessage="0" allowBlank="1" promptTitle="Dominant Issue Type" prompt="Dominant Issue Type. Review this metric to identify risk, then use linked tabs for details and remediation." type="custom">
      <formula1>TRUE</formula1>
    </dataValidation>
    <dataValidation sqref="H1" showDropDown="0" showInputMessage="1" showErrorMessage="0" allowBlank="1" promptTitle="Suggested Template Fix" prompt="Suggested Template Fix. Review this metric to identify risk, then use linked tabs for details and remediation." type="custom">
      <formula1>TRUE</formula1>
    </dataValidation>
    <dataValidation sqref="I1" showDropDown="0" showInputMessage="1" showErrorMessage="0" allowBlank="1" promptTitle="URLs" prompt="URLs. Use this URL to inspect the page directly or jump to related tabs."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3" customWidth="1" min="2" max="2"/>
    <col width="60" customWidth="1" min="3" max="3"/>
    <col width="10" customWidth="1" min="4" max="4"/>
    <col width="13" customWidth="1" min="5" max="5"/>
    <col width="8" customWidth="1" min="6" max="6"/>
    <col width="8" customWidth="1" min="7" max="7"/>
  </cols>
  <sheetData>
    <row r="1">
      <c r="A1" s="1" t="inlineStr">
        <is>
          <t>URL</t>
        </is>
      </c>
      <c r="B1" s="1" t="inlineStr">
        <is>
          <t>Issue</t>
        </is>
      </c>
      <c r="C1" s="1" t="inlineStr">
        <is>
          <t>Stable Issue ID</t>
        </is>
      </c>
      <c r="D1" s="1" t="inlineStr">
        <is>
          <t>Severity</t>
        </is>
      </c>
      <c r="E1" s="1" t="inlineStr">
        <is>
          <t>Owner</t>
        </is>
      </c>
      <c r="F1" s="1" t="inlineStr">
        <is>
          <t>Sprint</t>
        </is>
      </c>
      <c r="G1" s="1" t="inlineStr">
        <is>
          <t>Status</t>
        </is>
      </c>
      <c r="H1" t="inlineStr">
        <is>
          <t>Open in Main</t>
        </is>
      </c>
      <c r="I1" s="23" t="inlineStr">
        <is>
          <t>BACK TO DASHBOARD</t>
        </is>
      </c>
    </row>
    <row r="2">
      <c r="A2" s="33" t="inlineStr">
        <is>
          <t>https://africanmarketingconfederation.org/</t>
        </is>
      </c>
      <c r="B2" s="26" t="inlineStr">
        <is>
          <t>Multiple H1</t>
        </is>
      </c>
      <c r="C2" s="24" t="inlineStr">
        <is>
          <t>https://africanmarketingconfederation.org/::multiple_h1</t>
        </is>
      </c>
      <c r="D2" s="25" t="inlineStr">
        <is>
          <t>Warning</t>
        </is>
      </c>
      <c r="E2" s="24" t="inlineStr">
        <is>
          <t>Copy Writer</t>
        </is>
      </c>
      <c r="F2" s="24" t="inlineStr"/>
      <c r="G2" s="25" t="inlineStr">
        <is>
          <t>Open</t>
        </is>
      </c>
      <c r="H2">
        <f>IFERROR(HYPERLINK("#Main!A"&amp;MATCH(A2,Main!A:A,0),"Open"),HYPERLINK("#Main!A1","Open"))</f>
        <v/>
      </c>
    </row>
    <row r="3">
      <c r="A3" s="33" t="inlineStr">
        <is>
          <t>https://africanmarketingconfederation.org/</t>
        </is>
      </c>
      <c r="B3" s="26" t="inlineStr">
        <is>
          <t>Low AEO Readiness Score</t>
        </is>
      </c>
      <c r="C3" s="6" t="inlineStr">
        <is>
          <t>https://africanmarketingconfederation.org/::low_aeo_readiness_score</t>
        </is>
      </c>
      <c r="D3" s="25" t="inlineStr">
        <is>
          <t>Warning</t>
        </is>
      </c>
      <c r="E3" s="6" t="inlineStr">
        <is>
          <t>Copy Writer</t>
        </is>
      </c>
      <c r="F3" s="6" t="inlineStr"/>
      <c r="G3" s="25" t="inlineStr">
        <is>
          <t>Open</t>
        </is>
      </c>
      <c r="H3">
        <f>IFERROR(HYPERLINK("#Main!A"&amp;MATCH(A3,Main!A:A,0),"Open"),HYPERLINK("#Main!A1","Open"))</f>
        <v/>
      </c>
    </row>
    <row r="4">
      <c r="A4" s="33" t="inlineStr">
        <is>
          <t>https://africanmarketingconfederation.org/</t>
        </is>
      </c>
      <c r="B4" s="26" t="inlineStr">
        <is>
          <t>No Compression Header</t>
        </is>
      </c>
      <c r="C4" s="24" t="inlineStr">
        <is>
          <t>https://africanmarketingconfederation.org/::no_compression_header</t>
        </is>
      </c>
      <c r="D4" s="29" t="inlineStr">
        <is>
          <t>Info</t>
        </is>
      </c>
      <c r="E4" s="24" t="inlineStr">
        <is>
          <t>Server/Host</t>
        </is>
      </c>
      <c r="F4" s="24" t="inlineStr"/>
      <c r="G4" s="25" t="inlineStr">
        <is>
          <t>Open</t>
        </is>
      </c>
      <c r="H4">
        <f>IFERROR(HYPERLINK("#Main!A"&amp;MATCH(A4,Main!A:A,0),"Open"),HYPERLINK("#Main!A1","Open"))</f>
        <v/>
      </c>
    </row>
    <row r="5">
      <c r="A5" s="33" t="inlineStr">
        <is>
          <t>https://africanmarketingconfederation.org/</t>
        </is>
      </c>
      <c r="B5" s="26" t="inlineStr">
        <is>
          <t>No Cache-Control Header</t>
        </is>
      </c>
      <c r="C5" s="6" t="inlineStr">
        <is>
          <t>https://africanmarketingconfederation.org/::no_cache-control_header</t>
        </is>
      </c>
      <c r="D5" s="29" t="inlineStr">
        <is>
          <t>Info</t>
        </is>
      </c>
      <c r="E5" s="6" t="inlineStr">
        <is>
          <t>Server/Host</t>
        </is>
      </c>
      <c r="F5" s="6" t="inlineStr"/>
      <c r="G5" s="25" t="inlineStr">
        <is>
          <t>Open</t>
        </is>
      </c>
      <c r="H5">
        <f>IFERROR(HYPERLINK("#Main!A"&amp;MATCH(A5,Main!A:A,0),"Open"),HYPERLINK("#Main!A1","Open"))</f>
        <v/>
      </c>
    </row>
    <row r="6">
      <c r="A6" s="33" t="inlineStr">
        <is>
          <t>https://africanmarketingconfederation.org/</t>
        </is>
      </c>
      <c r="B6" s="26" t="inlineStr">
        <is>
          <t>No ETag Header</t>
        </is>
      </c>
      <c r="C6" s="24" t="inlineStr">
        <is>
          <t>https://africanmarketingconfederation.org/::no_etag_header</t>
        </is>
      </c>
      <c r="D6" s="29" t="inlineStr">
        <is>
          <t>Info</t>
        </is>
      </c>
      <c r="E6" s="24" t="inlineStr">
        <is>
          <t>Server/Host</t>
        </is>
      </c>
      <c r="F6" s="24" t="inlineStr"/>
      <c r="G6" s="25" t="inlineStr">
        <is>
          <t>Open</t>
        </is>
      </c>
      <c r="H6">
        <f>IFERROR(HYPERLINK("#Main!A"&amp;MATCH(A6,Main!A:A,0),"Open"),HYPERLINK("#Main!A1","Open"))</f>
        <v/>
      </c>
    </row>
    <row r="7">
      <c r="A7" s="33" t="inlineStr">
        <is>
          <t>https://africanmarketingconfederation.org/</t>
        </is>
      </c>
      <c r="B7" s="26" t="inlineStr">
        <is>
          <t>No FAQ/QA Schema</t>
        </is>
      </c>
      <c r="C7" s="6" t="inlineStr">
        <is>
          <t>https://africanmarketingconfederation.org/::no_faq_qa_schema</t>
        </is>
      </c>
      <c r="D7" s="29" t="inlineStr">
        <is>
          <t>Info</t>
        </is>
      </c>
      <c r="E7" s="6" t="inlineStr">
        <is>
          <t>Dev</t>
        </is>
      </c>
      <c r="F7" s="6" t="inlineStr"/>
      <c r="G7" s="25" t="inlineStr">
        <is>
          <t>Open</t>
        </is>
      </c>
      <c r="H7">
        <f>IFERROR(HYPERLINK("#Main!A"&amp;MATCH(A7,Main!A:A,0),"Open"),HYPERLINK("#Main!A1","Open"))</f>
        <v/>
      </c>
    </row>
    <row r="8">
      <c r="A8" s="33" t="inlineStr">
        <is>
          <t>https://africanmarketingconfederation.org/</t>
        </is>
      </c>
      <c r="B8" s="26" t="inlineStr">
        <is>
          <t>No Question Headings</t>
        </is>
      </c>
      <c r="C8" s="24" t="inlineStr">
        <is>
          <t>https://africanmarketingconfederation.org/::no_question_headings</t>
        </is>
      </c>
      <c r="D8" s="29" t="inlineStr">
        <is>
          <t>Info</t>
        </is>
      </c>
      <c r="E8" s="24" t="inlineStr">
        <is>
          <t>Copy Writer</t>
        </is>
      </c>
      <c r="F8" s="24" t="inlineStr"/>
      <c r="G8" s="25" t="inlineStr">
        <is>
          <t>Open</t>
        </is>
      </c>
      <c r="H8">
        <f>IFERROR(HYPERLINK("#Main!A"&amp;MATCH(A8,Main!A:A,0),"Open"),HYPERLINK("#Main!A1","Open"))</f>
        <v/>
      </c>
    </row>
    <row r="9">
      <c r="A9" s="33" t="inlineStr">
        <is>
          <t>https://africanmarketingconfederation.org/</t>
        </is>
      </c>
      <c r="B9" s="26" t="inlineStr">
        <is>
          <t>No Answer-Friendly Structure</t>
        </is>
      </c>
      <c r="C9" s="6" t="inlineStr">
        <is>
          <t>https://africanmarketingconfederation.org/::no_answer-friendly_structure</t>
        </is>
      </c>
      <c r="D9" s="29" t="inlineStr">
        <is>
          <t>Info</t>
        </is>
      </c>
      <c r="E9" s="6" t="inlineStr">
        <is>
          <t>Copy Writer</t>
        </is>
      </c>
      <c r="F9" s="6" t="inlineStr"/>
      <c r="G9" s="25" t="inlineStr">
        <is>
          <t>Open</t>
        </is>
      </c>
      <c r="H9">
        <f>IFERROR(HYPERLINK("#Main!A"&amp;MATCH(A9,Main!A:A,0),"Open"),HYPERLINK("#Main!A1","Open"))</f>
        <v/>
      </c>
    </row>
    <row r="10">
      <c r="A10" s="33" t="inlineStr">
        <is>
          <t>https://africanmarketingconfederation.org/</t>
        </is>
      </c>
      <c r="B10" s="26" t="inlineStr">
        <is>
          <t>No 40-60 Word Answer Paragraphs</t>
        </is>
      </c>
      <c r="C10" s="24" t="inlineStr">
        <is>
          <t>https://africanmarketingconfederation.org/::no_40-60_word_answer_paragraphs</t>
        </is>
      </c>
      <c r="D10" s="29" t="inlineStr">
        <is>
          <t>Info</t>
        </is>
      </c>
      <c r="E10" s="24" t="inlineStr">
        <is>
          <t>Copy Writer</t>
        </is>
      </c>
      <c r="F10" s="24" t="inlineStr"/>
      <c r="G10" s="25" t="inlineStr">
        <is>
          <t>Open</t>
        </is>
      </c>
      <c r="H10">
        <f>IFERROR(HYPERLINK("#Main!A"&amp;MATCH(A10,Main!A:A,0),"Open"),HYPERLINK("#Main!A1","Open"))</f>
        <v/>
      </c>
    </row>
    <row r="11" ht="30" customHeight="1">
      <c r="A11" s="33" t="inlineStr">
        <is>
          <t>https://africanmarketingconfederation.org/publication-download-list/</t>
        </is>
      </c>
      <c r="B11" s="26" t="inlineStr">
        <is>
          <t>Missing H1</t>
        </is>
      </c>
      <c r="C11" s="6" t="inlineStr">
        <is>
          <t>https://africanmarketingconfederation.org/publication-download-list/::missing_h1</t>
        </is>
      </c>
      <c r="D11" s="25" t="inlineStr">
        <is>
          <t>Warning</t>
        </is>
      </c>
      <c r="E11" s="6" t="inlineStr">
        <is>
          <t>Copy Writer</t>
        </is>
      </c>
      <c r="F11" s="6" t="inlineStr"/>
      <c r="G11" s="25" t="inlineStr">
        <is>
          <t>Open</t>
        </is>
      </c>
      <c r="H11">
        <f>IFERROR(HYPERLINK("#Main!A"&amp;MATCH(A11,Main!A:A,0),"Open"),HYPERLINK("#Main!A1","Open"))</f>
        <v/>
      </c>
    </row>
    <row r="12" ht="30" customHeight="1">
      <c r="A12" s="33" t="inlineStr">
        <is>
          <t>https://africanmarketingconfederation.org/publication-download-list/</t>
        </is>
      </c>
      <c r="B12" s="26" t="inlineStr">
        <is>
          <t>Thin Content</t>
        </is>
      </c>
      <c r="C12" s="24" t="inlineStr">
        <is>
          <t>https://africanmarketingconfederation.org/publication-download-list/::thin_content</t>
        </is>
      </c>
      <c r="D12" s="25" t="inlineStr">
        <is>
          <t>Warning</t>
        </is>
      </c>
      <c r="E12" s="24" t="inlineStr">
        <is>
          <t>Copy Writer</t>
        </is>
      </c>
      <c r="F12" s="24" t="inlineStr"/>
      <c r="G12" s="25" t="inlineStr">
        <is>
          <t>Open</t>
        </is>
      </c>
      <c r="H12">
        <f>IFERROR(HYPERLINK("#Main!A"&amp;MATCH(A12,Main!A:A,0),"Open"),HYPERLINK("#Main!A1","Open"))</f>
        <v/>
      </c>
    </row>
    <row r="13" ht="30" customHeight="1">
      <c r="A13" s="33" t="inlineStr">
        <is>
          <t>https://africanmarketingconfederation.org/publication-download-list/</t>
        </is>
      </c>
      <c r="B13" s="26" t="inlineStr">
        <is>
          <t>Low AEO Readiness Score</t>
        </is>
      </c>
      <c r="C13" s="6" t="inlineStr">
        <is>
          <t>https://africanmarketingconfederation.org/publication-download-list/::low_aeo_readiness_score</t>
        </is>
      </c>
      <c r="D13" s="25" t="inlineStr">
        <is>
          <t>Warning</t>
        </is>
      </c>
      <c r="E13" s="6" t="inlineStr">
        <is>
          <t>Copy Writer</t>
        </is>
      </c>
      <c r="F13" s="6" t="inlineStr"/>
      <c r="G13" s="25" t="inlineStr">
        <is>
          <t>Open</t>
        </is>
      </c>
      <c r="H13">
        <f>IFERROR(HYPERLINK("#Main!A"&amp;MATCH(A13,Main!A:A,0),"Open"),HYPERLINK("#Main!A1","Open"))</f>
        <v/>
      </c>
    </row>
    <row r="14" ht="30" customHeight="1">
      <c r="A14" s="33" t="inlineStr">
        <is>
          <t>https://africanmarketingconfederation.org/publication-download-list/</t>
        </is>
      </c>
      <c r="B14" s="26" t="inlineStr">
        <is>
          <t>No Compression Header</t>
        </is>
      </c>
      <c r="C14" s="24" t="inlineStr">
        <is>
          <t>https://africanmarketingconfederation.org/publication-download-list/::no_compression_header</t>
        </is>
      </c>
      <c r="D14" s="29" t="inlineStr">
        <is>
          <t>Info</t>
        </is>
      </c>
      <c r="E14" s="24" t="inlineStr">
        <is>
          <t>Server/Host</t>
        </is>
      </c>
      <c r="F14" s="24" t="inlineStr"/>
      <c r="G14" s="25" t="inlineStr">
        <is>
          <t>Open</t>
        </is>
      </c>
      <c r="H14">
        <f>IFERROR(HYPERLINK("#Main!A"&amp;MATCH(A14,Main!A:A,0),"Open"),HYPERLINK("#Main!A1","Open"))</f>
        <v/>
      </c>
    </row>
    <row r="15" ht="30" customHeight="1">
      <c r="A15" s="33" t="inlineStr">
        <is>
          <t>https://africanmarketingconfederation.org/publication-download-list/</t>
        </is>
      </c>
      <c r="B15" s="26" t="inlineStr">
        <is>
          <t>No Cache-Control Header</t>
        </is>
      </c>
      <c r="C15" s="6" t="inlineStr">
        <is>
          <t>https://africanmarketingconfederation.org/publication-download-list/::no_cache-control_header</t>
        </is>
      </c>
      <c r="D15" s="29" t="inlineStr">
        <is>
          <t>Info</t>
        </is>
      </c>
      <c r="E15" s="6" t="inlineStr">
        <is>
          <t>Server/Host</t>
        </is>
      </c>
      <c r="F15" s="6" t="inlineStr"/>
      <c r="G15" s="25" t="inlineStr">
        <is>
          <t>Open</t>
        </is>
      </c>
      <c r="H15">
        <f>IFERROR(HYPERLINK("#Main!A"&amp;MATCH(A15,Main!A:A,0),"Open"),HYPERLINK("#Main!A1","Open"))</f>
        <v/>
      </c>
    </row>
    <row r="16" ht="30" customHeight="1">
      <c r="A16" s="33" t="inlineStr">
        <is>
          <t>https://africanmarketingconfederation.org/publication-download-list/</t>
        </is>
      </c>
      <c r="B16" s="26" t="inlineStr">
        <is>
          <t>No ETag Header</t>
        </is>
      </c>
      <c r="C16" s="24" t="inlineStr">
        <is>
          <t>https://africanmarketingconfederation.org/publication-download-list/::no_etag_header</t>
        </is>
      </c>
      <c r="D16" s="29" t="inlineStr">
        <is>
          <t>Info</t>
        </is>
      </c>
      <c r="E16" s="24" t="inlineStr">
        <is>
          <t>Server/Host</t>
        </is>
      </c>
      <c r="F16" s="24" t="inlineStr"/>
      <c r="G16" s="25" t="inlineStr">
        <is>
          <t>Open</t>
        </is>
      </c>
      <c r="H16">
        <f>IFERROR(HYPERLINK("#Main!A"&amp;MATCH(A16,Main!A:A,0),"Open"),HYPERLINK("#Main!A1","Open"))</f>
        <v/>
      </c>
    </row>
    <row r="17" ht="30" customHeight="1">
      <c r="A17" s="33" t="inlineStr">
        <is>
          <t>https://africanmarketingconfederation.org/publication-download-list/</t>
        </is>
      </c>
      <c r="B17" s="26" t="inlineStr">
        <is>
          <t>No FAQ/QA Schema</t>
        </is>
      </c>
      <c r="C17" s="6" t="inlineStr">
        <is>
          <t>https://africanmarketingconfederation.org/publication-download-list/::no_faq_qa_schema</t>
        </is>
      </c>
      <c r="D17" s="29" t="inlineStr">
        <is>
          <t>Info</t>
        </is>
      </c>
      <c r="E17" s="6" t="inlineStr">
        <is>
          <t>Dev</t>
        </is>
      </c>
      <c r="F17" s="6" t="inlineStr"/>
      <c r="G17" s="25" t="inlineStr">
        <is>
          <t>Open</t>
        </is>
      </c>
      <c r="H17">
        <f>IFERROR(HYPERLINK("#Main!A"&amp;MATCH(A17,Main!A:A,0),"Open"),HYPERLINK("#Main!A1","Open"))</f>
        <v/>
      </c>
    </row>
    <row r="18" ht="30" customHeight="1">
      <c r="A18" s="33" t="inlineStr">
        <is>
          <t>https://africanmarketingconfederation.org/publication-download-list/</t>
        </is>
      </c>
      <c r="B18" s="26" t="inlineStr">
        <is>
          <t>No Question Headings</t>
        </is>
      </c>
      <c r="C18" s="24" t="inlineStr">
        <is>
          <t>https://africanmarketingconfederation.org/publication-download-list/::no_question_headings</t>
        </is>
      </c>
      <c r="D18" s="29" t="inlineStr">
        <is>
          <t>Info</t>
        </is>
      </c>
      <c r="E18" s="24" t="inlineStr">
        <is>
          <t>Copy Writer</t>
        </is>
      </c>
      <c r="F18" s="24" t="inlineStr"/>
      <c r="G18" s="25" t="inlineStr">
        <is>
          <t>Open</t>
        </is>
      </c>
      <c r="H18">
        <f>IFERROR(HYPERLINK("#Main!A"&amp;MATCH(A18,Main!A:A,0),"Open"),HYPERLINK("#Main!A1","Open"))</f>
        <v/>
      </c>
    </row>
    <row r="19" ht="30" customHeight="1">
      <c r="A19" s="33" t="inlineStr">
        <is>
          <t>https://africanmarketingconfederation.org/publication-download-list/</t>
        </is>
      </c>
      <c r="B19" s="26" t="inlineStr">
        <is>
          <t>No Answer-Friendly Structure</t>
        </is>
      </c>
      <c r="C19" s="6" t="inlineStr">
        <is>
          <t>https://africanmarketingconfederation.org/publication-download-list/::no_answer-friendly_structure</t>
        </is>
      </c>
      <c r="D19" s="29" t="inlineStr">
        <is>
          <t>Info</t>
        </is>
      </c>
      <c r="E19" s="6" t="inlineStr">
        <is>
          <t>Copy Writer</t>
        </is>
      </c>
      <c r="F19" s="6" t="inlineStr"/>
      <c r="G19" s="25" t="inlineStr">
        <is>
          <t>Open</t>
        </is>
      </c>
      <c r="H19">
        <f>IFERROR(HYPERLINK("#Main!A"&amp;MATCH(A19,Main!A:A,0),"Open"),HYPERLINK("#Main!A1","Open"))</f>
        <v/>
      </c>
    </row>
    <row r="20" ht="30" customHeight="1">
      <c r="A20" s="33" t="inlineStr">
        <is>
          <t>https://africanmarketingconfederation.org/publication-download-list/</t>
        </is>
      </c>
      <c r="B20" s="26" t="inlineStr">
        <is>
          <t>No 40-60 Word Answer Paragraphs</t>
        </is>
      </c>
      <c r="C20" s="24" t="inlineStr">
        <is>
          <t>https://africanmarketingconfederation.org/publication-download-list/::no_40-60_word_answer_paragraphs</t>
        </is>
      </c>
      <c r="D20" s="29" t="inlineStr">
        <is>
          <t>Info</t>
        </is>
      </c>
      <c r="E20" s="24" t="inlineStr">
        <is>
          <t>Copy Writer</t>
        </is>
      </c>
      <c r="F20" s="24" t="inlineStr"/>
      <c r="G20" s="25" t="inlineStr">
        <is>
          <t>Open</t>
        </is>
      </c>
      <c r="H20">
        <f>IFERROR(HYPERLINK("#Main!A"&amp;MATCH(A20,Main!A:A,0),"Open"),HYPERLINK("#Main!A1","Open"))</f>
        <v/>
      </c>
    </row>
    <row r="21" ht="30" customHeight="1">
      <c r="A21" s="33" t="inlineStr">
        <is>
          <t>https://africanmarketingconfederation.org/launch-event-2026-amc-conference/</t>
        </is>
      </c>
      <c r="B21" s="26" t="inlineStr">
        <is>
          <t>Thin Content</t>
        </is>
      </c>
      <c r="C21" s="6" t="inlineStr">
        <is>
          <t>https://africanmarketingconfederation.org/launch-event-2026-amc-conference/::thin_content</t>
        </is>
      </c>
      <c r="D21" s="25" t="inlineStr">
        <is>
          <t>Warning</t>
        </is>
      </c>
      <c r="E21" s="6" t="inlineStr">
        <is>
          <t>Copy Writer</t>
        </is>
      </c>
      <c r="F21" s="6" t="inlineStr"/>
      <c r="G21" s="25" t="inlineStr">
        <is>
          <t>Open</t>
        </is>
      </c>
      <c r="H21">
        <f>IFERROR(HYPERLINK("#Main!A"&amp;MATCH(A21,Main!A:A,0),"Open"),HYPERLINK("#Main!A1","Open"))</f>
        <v/>
      </c>
    </row>
    <row r="22" ht="30" customHeight="1">
      <c r="A22" s="33" t="inlineStr">
        <is>
          <t>https://africanmarketingconfederation.org/launch-event-2026-amc-conference/</t>
        </is>
      </c>
      <c r="B22" s="26" t="inlineStr">
        <is>
          <t>Low AEO Readiness Score</t>
        </is>
      </c>
      <c r="C22" s="24" t="inlineStr">
        <is>
          <t>https://africanmarketingconfederation.org/launch-event-2026-amc-conference/::low_aeo_readiness_score</t>
        </is>
      </c>
      <c r="D22" s="25" t="inlineStr">
        <is>
          <t>Warning</t>
        </is>
      </c>
      <c r="E22" s="24" t="inlineStr">
        <is>
          <t>Copy Writer</t>
        </is>
      </c>
      <c r="F22" s="24" t="inlineStr"/>
      <c r="G22" s="25" t="inlineStr">
        <is>
          <t>Open</t>
        </is>
      </c>
      <c r="H22">
        <f>IFERROR(HYPERLINK("#Main!A"&amp;MATCH(A22,Main!A:A,0),"Open"),HYPERLINK("#Main!A1","Open"))</f>
        <v/>
      </c>
    </row>
    <row r="23" ht="30" customHeight="1">
      <c r="A23" s="33" t="inlineStr">
        <is>
          <t>https://africanmarketingconfederation.org/launch-event-2026-amc-conference/</t>
        </is>
      </c>
      <c r="B23" s="26" t="inlineStr">
        <is>
          <t>No Compression Header</t>
        </is>
      </c>
      <c r="C23" s="6" t="inlineStr">
        <is>
          <t>https://africanmarketingconfederation.org/launch-event-2026-amc-conference/::no_compression_header</t>
        </is>
      </c>
      <c r="D23" s="29" t="inlineStr">
        <is>
          <t>Info</t>
        </is>
      </c>
      <c r="E23" s="6" t="inlineStr">
        <is>
          <t>Server/Host</t>
        </is>
      </c>
      <c r="F23" s="6" t="inlineStr"/>
      <c r="G23" s="25" t="inlineStr">
        <is>
          <t>Open</t>
        </is>
      </c>
      <c r="H23">
        <f>IFERROR(HYPERLINK("#Main!A"&amp;MATCH(A23,Main!A:A,0),"Open"),HYPERLINK("#Main!A1","Open"))</f>
        <v/>
      </c>
    </row>
    <row r="24" ht="30" customHeight="1">
      <c r="A24" s="33" t="inlineStr">
        <is>
          <t>https://africanmarketingconfederation.org/launch-event-2026-amc-conference/</t>
        </is>
      </c>
      <c r="B24" s="26" t="inlineStr">
        <is>
          <t>No Cache-Control Header</t>
        </is>
      </c>
      <c r="C24" s="24" t="inlineStr">
        <is>
          <t>https://africanmarketingconfederation.org/launch-event-2026-amc-conference/::no_cache-control_header</t>
        </is>
      </c>
      <c r="D24" s="29" t="inlineStr">
        <is>
          <t>Info</t>
        </is>
      </c>
      <c r="E24" s="24" t="inlineStr">
        <is>
          <t>Server/Host</t>
        </is>
      </c>
      <c r="F24" s="24" t="inlineStr"/>
      <c r="G24" s="25" t="inlineStr">
        <is>
          <t>Open</t>
        </is>
      </c>
      <c r="H24">
        <f>IFERROR(HYPERLINK("#Main!A"&amp;MATCH(A24,Main!A:A,0),"Open"),HYPERLINK("#Main!A1","Open"))</f>
        <v/>
      </c>
    </row>
    <row r="25" ht="30" customHeight="1">
      <c r="A25" s="33" t="inlineStr">
        <is>
          <t>https://africanmarketingconfederation.org/launch-event-2026-amc-conference/</t>
        </is>
      </c>
      <c r="B25" s="26" t="inlineStr">
        <is>
          <t>No ETag Header</t>
        </is>
      </c>
      <c r="C25" s="6" t="inlineStr">
        <is>
          <t>https://africanmarketingconfederation.org/launch-event-2026-amc-conference/::no_etag_header</t>
        </is>
      </c>
      <c r="D25" s="29" t="inlineStr">
        <is>
          <t>Info</t>
        </is>
      </c>
      <c r="E25" s="6" t="inlineStr">
        <is>
          <t>Server/Host</t>
        </is>
      </c>
      <c r="F25" s="6" t="inlineStr"/>
      <c r="G25" s="25" t="inlineStr">
        <is>
          <t>Open</t>
        </is>
      </c>
      <c r="H25">
        <f>IFERROR(HYPERLINK("#Main!A"&amp;MATCH(A25,Main!A:A,0),"Open"),HYPERLINK("#Main!A1","Open"))</f>
        <v/>
      </c>
    </row>
    <row r="26" ht="30" customHeight="1">
      <c r="A26" s="33" t="inlineStr">
        <is>
          <t>https://africanmarketingconfederation.org/launch-event-2026-amc-conference/</t>
        </is>
      </c>
      <c r="B26" s="26" t="inlineStr">
        <is>
          <t>No FAQ/QA Schema</t>
        </is>
      </c>
      <c r="C26" s="24" t="inlineStr">
        <is>
          <t>https://africanmarketingconfederation.org/launch-event-2026-amc-conference/::no_faq_qa_schema</t>
        </is>
      </c>
      <c r="D26" s="29" t="inlineStr">
        <is>
          <t>Info</t>
        </is>
      </c>
      <c r="E26" s="24" t="inlineStr">
        <is>
          <t>Dev</t>
        </is>
      </c>
      <c r="F26" s="24" t="inlineStr"/>
      <c r="G26" s="25" t="inlineStr">
        <is>
          <t>Open</t>
        </is>
      </c>
      <c r="H26">
        <f>IFERROR(HYPERLINK("#Main!A"&amp;MATCH(A26,Main!A:A,0),"Open"),HYPERLINK("#Main!A1","Open"))</f>
        <v/>
      </c>
    </row>
    <row r="27" ht="30" customHeight="1">
      <c r="A27" s="33" t="inlineStr">
        <is>
          <t>https://africanmarketingconfederation.org/launch-event-2026-amc-conference/</t>
        </is>
      </c>
      <c r="B27" s="26" t="inlineStr">
        <is>
          <t>No Question Headings</t>
        </is>
      </c>
      <c r="C27" s="6" t="inlineStr">
        <is>
          <t>https://africanmarketingconfederation.org/launch-event-2026-amc-conference/::no_question_headings</t>
        </is>
      </c>
      <c r="D27" s="29" t="inlineStr">
        <is>
          <t>Info</t>
        </is>
      </c>
      <c r="E27" s="6" t="inlineStr">
        <is>
          <t>Copy Writer</t>
        </is>
      </c>
      <c r="F27" s="6" t="inlineStr"/>
      <c r="G27" s="25" t="inlineStr">
        <is>
          <t>Open</t>
        </is>
      </c>
      <c r="H27">
        <f>IFERROR(HYPERLINK("#Main!A"&amp;MATCH(A27,Main!A:A,0),"Open"),HYPERLINK("#Main!A1","Open"))</f>
        <v/>
      </c>
    </row>
    <row r="28" ht="30" customHeight="1">
      <c r="A28" s="33" t="inlineStr">
        <is>
          <t>https://africanmarketingconfederation.org/launch-event-2026-amc-conference/</t>
        </is>
      </c>
      <c r="B28" s="26" t="inlineStr">
        <is>
          <t>No Answer-Friendly Structure</t>
        </is>
      </c>
      <c r="C28" s="24" t="inlineStr">
        <is>
          <t>https://africanmarketingconfederation.org/launch-event-2026-amc-conference/::no_answer-friendly_structure</t>
        </is>
      </c>
      <c r="D28" s="29" t="inlineStr">
        <is>
          <t>Info</t>
        </is>
      </c>
      <c r="E28" s="24" t="inlineStr">
        <is>
          <t>Copy Writer</t>
        </is>
      </c>
      <c r="F28" s="24" t="inlineStr"/>
      <c r="G28" s="25" t="inlineStr">
        <is>
          <t>Open</t>
        </is>
      </c>
      <c r="H28">
        <f>IFERROR(HYPERLINK("#Main!A"&amp;MATCH(A28,Main!A:A,0),"Open"),HYPERLINK("#Main!A1","Open"))</f>
        <v/>
      </c>
    </row>
    <row r="29" ht="30" customHeight="1">
      <c r="A29" s="33" t="inlineStr">
        <is>
          <t>https://africanmarketingconfederation.org/launch-event-2026-amc-conference/</t>
        </is>
      </c>
      <c r="B29" s="26" t="inlineStr">
        <is>
          <t>No 40-60 Word Answer Paragraphs</t>
        </is>
      </c>
      <c r="C29" s="6" t="inlineStr">
        <is>
          <t>https://africanmarketingconfederation.org/launch-event-2026-amc-conference/::no_40-60_word_answer_paragraphs</t>
        </is>
      </c>
      <c r="D29" s="29" t="inlineStr">
        <is>
          <t>Info</t>
        </is>
      </c>
      <c r="E29" s="6" t="inlineStr">
        <is>
          <t>Copy Writer</t>
        </is>
      </c>
      <c r="F29" s="6" t="inlineStr"/>
      <c r="G29" s="25" t="inlineStr">
        <is>
          <t>Open</t>
        </is>
      </c>
      <c r="H29">
        <f>IFERROR(HYPERLINK("#Main!A"&amp;MATCH(A29,Main!A:A,0),"Open"),HYPERLINK("#Main!A1","Open"))</f>
        <v/>
      </c>
    </row>
    <row r="30" ht="30" customHeight="1">
      <c r="A30" s="33" t="inlineStr">
        <is>
          <t>https://africanmarketingconfederation.org/publications-2/</t>
        </is>
      </c>
      <c r="B30" s="26" t="inlineStr">
        <is>
          <t>Thin Content</t>
        </is>
      </c>
      <c r="C30" s="24" t="inlineStr">
        <is>
          <t>https://africanmarketingconfederation.org/publications-2/::thin_content</t>
        </is>
      </c>
      <c r="D30" s="25" t="inlineStr">
        <is>
          <t>Warning</t>
        </is>
      </c>
      <c r="E30" s="24" t="inlineStr">
        <is>
          <t>Copy Writer</t>
        </is>
      </c>
      <c r="F30" s="24" t="inlineStr"/>
      <c r="G30" s="25" t="inlineStr">
        <is>
          <t>Open</t>
        </is>
      </c>
      <c r="H30">
        <f>IFERROR(HYPERLINK("#Main!A"&amp;MATCH(A30,Main!A:A,0),"Open"),HYPERLINK("#Main!A1","Open"))</f>
        <v/>
      </c>
    </row>
    <row r="31" ht="30" customHeight="1">
      <c r="A31" s="33" t="inlineStr">
        <is>
          <t>https://africanmarketingconfederation.org/publications-2/</t>
        </is>
      </c>
      <c r="B31" s="26" t="inlineStr">
        <is>
          <t>Low AEO Readiness Score</t>
        </is>
      </c>
      <c r="C31" s="6" t="inlineStr">
        <is>
          <t>https://africanmarketingconfederation.org/publications-2/::low_aeo_readiness_score</t>
        </is>
      </c>
      <c r="D31" s="25" t="inlineStr">
        <is>
          <t>Warning</t>
        </is>
      </c>
      <c r="E31" s="6" t="inlineStr">
        <is>
          <t>Copy Writer</t>
        </is>
      </c>
      <c r="F31" s="6" t="inlineStr"/>
      <c r="G31" s="25" t="inlineStr">
        <is>
          <t>Open</t>
        </is>
      </c>
      <c r="H31">
        <f>IFERROR(HYPERLINK("#Main!A"&amp;MATCH(A31,Main!A:A,0),"Open"),HYPERLINK("#Main!A1","Open"))</f>
        <v/>
      </c>
    </row>
    <row r="32" ht="30" customHeight="1">
      <c r="A32" s="33" t="inlineStr">
        <is>
          <t>https://africanmarketingconfederation.org/publications-2/</t>
        </is>
      </c>
      <c r="B32" s="26" t="inlineStr">
        <is>
          <t>No Compression Header</t>
        </is>
      </c>
      <c r="C32" s="24" t="inlineStr">
        <is>
          <t>https://africanmarketingconfederation.org/publications-2/::no_compression_header</t>
        </is>
      </c>
      <c r="D32" s="29" t="inlineStr">
        <is>
          <t>Info</t>
        </is>
      </c>
      <c r="E32" s="24" t="inlineStr">
        <is>
          <t>Server/Host</t>
        </is>
      </c>
      <c r="F32" s="24" t="inlineStr"/>
      <c r="G32" s="25" t="inlineStr">
        <is>
          <t>Open</t>
        </is>
      </c>
      <c r="H32">
        <f>IFERROR(HYPERLINK("#Main!A"&amp;MATCH(A32,Main!A:A,0),"Open"),HYPERLINK("#Main!A1","Open"))</f>
        <v/>
      </c>
    </row>
    <row r="33" ht="30" customHeight="1">
      <c r="A33" s="33" t="inlineStr">
        <is>
          <t>https://africanmarketingconfederation.org/publications-2/</t>
        </is>
      </c>
      <c r="B33" s="26" t="inlineStr">
        <is>
          <t>No Cache-Control Header</t>
        </is>
      </c>
      <c r="C33" s="6" t="inlineStr">
        <is>
          <t>https://africanmarketingconfederation.org/publications-2/::no_cache-control_header</t>
        </is>
      </c>
      <c r="D33" s="29" t="inlineStr">
        <is>
          <t>Info</t>
        </is>
      </c>
      <c r="E33" s="6" t="inlineStr">
        <is>
          <t>Server/Host</t>
        </is>
      </c>
      <c r="F33" s="6" t="inlineStr"/>
      <c r="G33" s="25" t="inlineStr">
        <is>
          <t>Open</t>
        </is>
      </c>
      <c r="H33">
        <f>IFERROR(HYPERLINK("#Main!A"&amp;MATCH(A33,Main!A:A,0),"Open"),HYPERLINK("#Main!A1","Open"))</f>
        <v/>
      </c>
    </row>
    <row r="34" ht="30" customHeight="1">
      <c r="A34" s="33" t="inlineStr">
        <is>
          <t>https://africanmarketingconfederation.org/publications-2/</t>
        </is>
      </c>
      <c r="B34" s="26" t="inlineStr">
        <is>
          <t>No ETag Header</t>
        </is>
      </c>
      <c r="C34" s="24" t="inlineStr">
        <is>
          <t>https://africanmarketingconfederation.org/publications-2/::no_etag_header</t>
        </is>
      </c>
      <c r="D34" s="29" t="inlineStr">
        <is>
          <t>Info</t>
        </is>
      </c>
      <c r="E34" s="24" t="inlineStr">
        <is>
          <t>Server/Host</t>
        </is>
      </c>
      <c r="F34" s="24" t="inlineStr"/>
      <c r="G34" s="25" t="inlineStr">
        <is>
          <t>Open</t>
        </is>
      </c>
      <c r="H34">
        <f>IFERROR(HYPERLINK("#Main!A"&amp;MATCH(A34,Main!A:A,0),"Open"),HYPERLINK("#Main!A1","Open"))</f>
        <v/>
      </c>
    </row>
    <row r="35" ht="30" customHeight="1">
      <c r="A35" s="33" t="inlineStr">
        <is>
          <t>https://africanmarketingconfederation.org/publications-2/</t>
        </is>
      </c>
      <c r="B35" s="26" t="inlineStr">
        <is>
          <t>No FAQ/QA Schema</t>
        </is>
      </c>
      <c r="C35" s="6" t="inlineStr">
        <is>
          <t>https://africanmarketingconfederation.org/publications-2/::no_faq_qa_schema</t>
        </is>
      </c>
      <c r="D35" s="29" t="inlineStr">
        <is>
          <t>Info</t>
        </is>
      </c>
      <c r="E35" s="6" t="inlineStr">
        <is>
          <t>Dev</t>
        </is>
      </c>
      <c r="F35" s="6" t="inlineStr"/>
      <c r="G35" s="25" t="inlineStr">
        <is>
          <t>Open</t>
        </is>
      </c>
      <c r="H35">
        <f>IFERROR(HYPERLINK("#Main!A"&amp;MATCH(A35,Main!A:A,0),"Open"),HYPERLINK("#Main!A1","Open"))</f>
        <v/>
      </c>
    </row>
    <row r="36" ht="30" customHeight="1">
      <c r="A36" s="33" t="inlineStr">
        <is>
          <t>https://africanmarketingconfederation.org/publications-2/</t>
        </is>
      </c>
      <c r="B36" s="26" t="inlineStr">
        <is>
          <t>No Question Headings</t>
        </is>
      </c>
      <c r="C36" s="24" t="inlineStr">
        <is>
          <t>https://africanmarketingconfederation.org/publications-2/::no_question_headings</t>
        </is>
      </c>
      <c r="D36" s="29" t="inlineStr">
        <is>
          <t>Info</t>
        </is>
      </c>
      <c r="E36" s="24" t="inlineStr">
        <is>
          <t>Copy Writer</t>
        </is>
      </c>
      <c r="F36" s="24" t="inlineStr"/>
      <c r="G36" s="25" t="inlineStr">
        <is>
          <t>Open</t>
        </is>
      </c>
      <c r="H36">
        <f>IFERROR(HYPERLINK("#Main!A"&amp;MATCH(A36,Main!A:A,0),"Open"),HYPERLINK("#Main!A1","Open"))</f>
        <v/>
      </c>
    </row>
    <row r="37" ht="30" customHeight="1">
      <c r="A37" s="33" t="inlineStr">
        <is>
          <t>https://africanmarketingconfederation.org/publications-2/</t>
        </is>
      </c>
      <c r="B37" s="26" t="inlineStr">
        <is>
          <t>No Answer-Friendly Structure</t>
        </is>
      </c>
      <c r="C37" s="6" t="inlineStr">
        <is>
          <t>https://africanmarketingconfederation.org/publications-2/::no_answer-friendly_structure</t>
        </is>
      </c>
      <c r="D37" s="29" t="inlineStr">
        <is>
          <t>Info</t>
        </is>
      </c>
      <c r="E37" s="6" t="inlineStr">
        <is>
          <t>Copy Writer</t>
        </is>
      </c>
      <c r="F37" s="6" t="inlineStr"/>
      <c r="G37" s="25" t="inlineStr">
        <is>
          <t>Open</t>
        </is>
      </c>
      <c r="H37">
        <f>IFERROR(HYPERLINK("#Main!A"&amp;MATCH(A37,Main!A:A,0),"Open"),HYPERLINK("#Main!A1","Open"))</f>
        <v/>
      </c>
    </row>
    <row r="38" ht="30" customHeight="1">
      <c r="A38" s="33" t="inlineStr">
        <is>
          <t>https://africanmarketingconfederation.org/publications-2/</t>
        </is>
      </c>
      <c r="B38" s="26" t="inlineStr">
        <is>
          <t>No 40-60 Word Answer Paragraphs</t>
        </is>
      </c>
      <c r="C38" s="24" t="inlineStr">
        <is>
          <t>https://africanmarketingconfederation.org/publications-2/::no_40-60_word_answer_paragraphs</t>
        </is>
      </c>
      <c r="D38" s="29" t="inlineStr">
        <is>
          <t>Info</t>
        </is>
      </c>
      <c r="E38" s="24" t="inlineStr">
        <is>
          <t>Copy Writer</t>
        </is>
      </c>
      <c r="F38" s="24" t="inlineStr"/>
      <c r="G38" s="25" t="inlineStr">
        <is>
          <t>Open</t>
        </is>
      </c>
      <c r="H38">
        <f>IFERROR(HYPERLINK("#Main!A"&amp;MATCH(A38,Main!A:A,0),"Open"),HYPERLINK("#Main!A1","Open"))</f>
        <v/>
      </c>
    </row>
    <row r="39" ht="30" customHeight="1">
      <c r="A39" s="33" t="inlineStr">
        <is>
          <t>https://africanmarketingconfederation.org/certified-professional-marketer-africa/</t>
        </is>
      </c>
      <c r="B39" s="26" t="inlineStr">
        <is>
          <t>Missing H1</t>
        </is>
      </c>
      <c r="C39" s="6" t="inlineStr">
        <is>
          <t>https://africanmarketingconfederation.org/certified-professional-marketer-africa/::missing_h1</t>
        </is>
      </c>
      <c r="D39" s="25" t="inlineStr">
        <is>
          <t>Warning</t>
        </is>
      </c>
      <c r="E39" s="6" t="inlineStr">
        <is>
          <t>Copy Writer</t>
        </is>
      </c>
      <c r="F39" s="6" t="inlineStr"/>
      <c r="G39" s="25" t="inlineStr">
        <is>
          <t>Open</t>
        </is>
      </c>
      <c r="H39">
        <f>IFERROR(HYPERLINK("#Main!A"&amp;MATCH(A39,Main!A:A,0),"Open"),HYPERLINK("#Main!A1","Open"))</f>
        <v/>
      </c>
    </row>
    <row r="40" ht="30" customHeight="1">
      <c r="A40" s="33" t="inlineStr">
        <is>
          <t>https://africanmarketingconfederation.org/certified-professional-marketer-africa/</t>
        </is>
      </c>
      <c r="B40" s="26" t="inlineStr">
        <is>
          <t>Low AEO Readiness Score</t>
        </is>
      </c>
      <c r="C40" s="24" t="inlineStr">
        <is>
          <t>https://africanmarketingconfederation.org/certified-professional-marketer-africa/::low_aeo_readiness_score</t>
        </is>
      </c>
      <c r="D40" s="25" t="inlineStr">
        <is>
          <t>Warning</t>
        </is>
      </c>
      <c r="E40" s="24" t="inlineStr">
        <is>
          <t>Copy Writer</t>
        </is>
      </c>
      <c r="F40" s="24" t="inlineStr"/>
      <c r="G40" s="25" t="inlineStr">
        <is>
          <t>Open</t>
        </is>
      </c>
      <c r="H40">
        <f>IFERROR(HYPERLINK("#Main!A"&amp;MATCH(A40,Main!A:A,0),"Open"),HYPERLINK("#Main!A1","Open"))</f>
        <v/>
      </c>
    </row>
    <row r="41" ht="30" customHeight="1">
      <c r="A41" s="33" t="inlineStr">
        <is>
          <t>https://africanmarketingconfederation.org/certified-professional-marketer-africa/</t>
        </is>
      </c>
      <c r="B41" s="26" t="inlineStr">
        <is>
          <t>No Compression Header</t>
        </is>
      </c>
      <c r="C41" s="6" t="inlineStr">
        <is>
          <t>https://africanmarketingconfederation.org/certified-professional-marketer-africa/::no_compression_header</t>
        </is>
      </c>
      <c r="D41" s="29" t="inlineStr">
        <is>
          <t>Info</t>
        </is>
      </c>
      <c r="E41" s="6" t="inlineStr">
        <is>
          <t>Server/Host</t>
        </is>
      </c>
      <c r="F41" s="6" t="inlineStr"/>
      <c r="G41" s="25" t="inlineStr">
        <is>
          <t>Open</t>
        </is>
      </c>
      <c r="H41">
        <f>IFERROR(HYPERLINK("#Main!A"&amp;MATCH(A41,Main!A:A,0),"Open"),HYPERLINK("#Main!A1","Open"))</f>
        <v/>
      </c>
    </row>
    <row r="42" ht="30" customHeight="1">
      <c r="A42" s="33" t="inlineStr">
        <is>
          <t>https://africanmarketingconfederation.org/certified-professional-marketer-africa/</t>
        </is>
      </c>
      <c r="B42" s="26" t="inlineStr">
        <is>
          <t>No Cache-Control Header</t>
        </is>
      </c>
      <c r="C42" s="24" t="inlineStr">
        <is>
          <t>https://africanmarketingconfederation.org/certified-professional-marketer-africa/::no_cache-control_header</t>
        </is>
      </c>
      <c r="D42" s="29" t="inlineStr">
        <is>
          <t>Info</t>
        </is>
      </c>
      <c r="E42" s="24" t="inlineStr">
        <is>
          <t>Server/Host</t>
        </is>
      </c>
      <c r="F42" s="24" t="inlineStr"/>
      <c r="G42" s="25" t="inlineStr">
        <is>
          <t>Open</t>
        </is>
      </c>
      <c r="H42">
        <f>IFERROR(HYPERLINK("#Main!A"&amp;MATCH(A42,Main!A:A,0),"Open"),HYPERLINK("#Main!A1","Open"))</f>
        <v/>
      </c>
    </row>
    <row r="43" ht="30" customHeight="1">
      <c r="A43" s="33" t="inlineStr">
        <is>
          <t>https://africanmarketingconfederation.org/certified-professional-marketer-africa/</t>
        </is>
      </c>
      <c r="B43" s="26" t="inlineStr">
        <is>
          <t>No ETag Header</t>
        </is>
      </c>
      <c r="C43" s="6" t="inlineStr">
        <is>
          <t>https://africanmarketingconfederation.org/certified-professional-marketer-africa/::no_etag_header</t>
        </is>
      </c>
      <c r="D43" s="29" t="inlineStr">
        <is>
          <t>Info</t>
        </is>
      </c>
      <c r="E43" s="6" t="inlineStr">
        <is>
          <t>Server/Host</t>
        </is>
      </c>
      <c r="F43" s="6" t="inlineStr"/>
      <c r="G43" s="25" t="inlineStr">
        <is>
          <t>Open</t>
        </is>
      </c>
      <c r="H43">
        <f>IFERROR(HYPERLINK("#Main!A"&amp;MATCH(A43,Main!A:A,0),"Open"),HYPERLINK("#Main!A1","Open"))</f>
        <v/>
      </c>
    </row>
    <row r="44" ht="30" customHeight="1">
      <c r="A44" s="33" t="inlineStr">
        <is>
          <t>https://africanmarketingconfederation.org/certified-professional-marketer-africa/</t>
        </is>
      </c>
      <c r="B44" s="26" t="inlineStr">
        <is>
          <t>No FAQ/QA Schema</t>
        </is>
      </c>
      <c r="C44" s="24" t="inlineStr">
        <is>
          <t>https://africanmarketingconfederation.org/certified-professional-marketer-africa/::no_faq_qa_schema</t>
        </is>
      </c>
      <c r="D44" s="29" t="inlineStr">
        <is>
          <t>Info</t>
        </is>
      </c>
      <c r="E44" s="24" t="inlineStr">
        <is>
          <t>Dev</t>
        </is>
      </c>
      <c r="F44" s="24" t="inlineStr"/>
      <c r="G44" s="25" t="inlineStr">
        <is>
          <t>Open</t>
        </is>
      </c>
      <c r="H44">
        <f>IFERROR(HYPERLINK("#Main!A"&amp;MATCH(A44,Main!A:A,0),"Open"),HYPERLINK("#Main!A1","Open"))</f>
        <v/>
      </c>
    </row>
    <row r="45" ht="30" customHeight="1">
      <c r="A45" s="33" t="inlineStr">
        <is>
          <t>https://africanmarketingconfederation.org/certified-professional-marketer-africa/</t>
        </is>
      </c>
      <c r="B45" s="26" t="inlineStr">
        <is>
          <t>No Question Headings</t>
        </is>
      </c>
      <c r="C45" s="6" t="inlineStr">
        <is>
          <t>https://africanmarketingconfederation.org/certified-professional-marketer-africa/::no_question_headings</t>
        </is>
      </c>
      <c r="D45" s="29" t="inlineStr">
        <is>
          <t>Info</t>
        </is>
      </c>
      <c r="E45" s="6" t="inlineStr">
        <is>
          <t>Copy Writer</t>
        </is>
      </c>
      <c r="F45" s="6" t="inlineStr"/>
      <c r="G45" s="25" t="inlineStr">
        <is>
          <t>Open</t>
        </is>
      </c>
      <c r="H45">
        <f>IFERROR(HYPERLINK("#Main!A"&amp;MATCH(A45,Main!A:A,0),"Open"),HYPERLINK("#Main!A1","Open"))</f>
        <v/>
      </c>
    </row>
    <row r="46" ht="30" customHeight="1">
      <c r="A46" s="33" t="inlineStr">
        <is>
          <t>https://africanmarketingconfederation.org/certified-professional-marketer-africa/</t>
        </is>
      </c>
      <c r="B46" s="26" t="inlineStr">
        <is>
          <t>No Answer-Friendly Structure</t>
        </is>
      </c>
      <c r="C46" s="24" t="inlineStr">
        <is>
          <t>https://africanmarketingconfederation.org/certified-professional-marketer-africa/::no_answer-friendly_structure</t>
        </is>
      </c>
      <c r="D46" s="29" t="inlineStr">
        <is>
          <t>Info</t>
        </is>
      </c>
      <c r="E46" s="24" t="inlineStr">
        <is>
          <t>Copy Writer</t>
        </is>
      </c>
      <c r="F46" s="24" t="inlineStr"/>
      <c r="G46" s="25" t="inlineStr">
        <is>
          <t>Open</t>
        </is>
      </c>
      <c r="H46">
        <f>IFERROR(HYPERLINK("#Main!A"&amp;MATCH(A46,Main!A:A,0),"Open"),HYPERLINK("#Main!A1","Open"))</f>
        <v/>
      </c>
    </row>
    <row r="47" ht="30" customHeight="1">
      <c r="A47" s="33" t="inlineStr">
        <is>
          <t>https://africanmarketingconfederation.org/certified-professional-marketer-africa/</t>
        </is>
      </c>
      <c r="B47" s="26" t="inlineStr">
        <is>
          <t>No 40-60 Word Answer Paragraphs</t>
        </is>
      </c>
      <c r="C47" s="6" t="inlineStr">
        <is>
          <t>https://africanmarketingconfederation.org/certified-professional-marketer-africa/::no_40-60_word_answer_paragraphs</t>
        </is>
      </c>
      <c r="D47" s="29" t="inlineStr">
        <is>
          <t>Info</t>
        </is>
      </c>
      <c r="E47" s="6" t="inlineStr">
        <is>
          <t>Copy Writer</t>
        </is>
      </c>
      <c r="F47" s="6" t="inlineStr"/>
      <c r="G47" s="25" t="inlineStr">
        <is>
          <t>Open</t>
        </is>
      </c>
      <c r="H47">
        <f>IFERROR(HYPERLINK("#Main!A"&amp;MATCH(A47,Main!A:A,0),"Open"),HYPERLINK("#Main!A1","Open"))</f>
        <v/>
      </c>
    </row>
    <row r="48" ht="30" customHeight="1">
      <c r="A48" s="33" t="inlineStr">
        <is>
          <t>https://africanmarketingconfederation.org/chartered-marketer-africa/</t>
        </is>
      </c>
      <c r="B48" s="26" t="inlineStr">
        <is>
          <t>Low AEO Readiness Score</t>
        </is>
      </c>
      <c r="C48" s="24" t="inlineStr">
        <is>
          <t>https://africanmarketingconfederation.org/chartered-marketer-africa/::low_aeo_readiness_score</t>
        </is>
      </c>
      <c r="D48" s="25" t="inlineStr">
        <is>
          <t>Warning</t>
        </is>
      </c>
      <c r="E48" s="24" t="inlineStr">
        <is>
          <t>Copy Writer</t>
        </is>
      </c>
      <c r="F48" s="24" t="inlineStr"/>
      <c r="G48" s="25" t="inlineStr">
        <is>
          <t>Open</t>
        </is>
      </c>
      <c r="H48">
        <f>IFERROR(HYPERLINK("#Main!A"&amp;MATCH(A48,Main!A:A,0),"Open"),HYPERLINK("#Main!A1","Open"))</f>
        <v/>
      </c>
    </row>
    <row r="49" ht="30" customHeight="1">
      <c r="A49" s="33" t="inlineStr">
        <is>
          <t>https://africanmarketingconfederation.org/chartered-marketer-africa/</t>
        </is>
      </c>
      <c r="B49" s="26" t="inlineStr">
        <is>
          <t>No Compression Header</t>
        </is>
      </c>
      <c r="C49" s="6" t="inlineStr">
        <is>
          <t>https://africanmarketingconfederation.org/chartered-marketer-africa/::no_compression_header</t>
        </is>
      </c>
      <c r="D49" s="29" t="inlineStr">
        <is>
          <t>Info</t>
        </is>
      </c>
      <c r="E49" s="6" t="inlineStr">
        <is>
          <t>Server/Host</t>
        </is>
      </c>
      <c r="F49" s="6" t="inlineStr"/>
      <c r="G49" s="25" t="inlineStr">
        <is>
          <t>Open</t>
        </is>
      </c>
      <c r="H49">
        <f>IFERROR(HYPERLINK("#Main!A"&amp;MATCH(A49,Main!A:A,0),"Open"),HYPERLINK("#Main!A1","Open"))</f>
        <v/>
      </c>
    </row>
    <row r="50" ht="30" customHeight="1">
      <c r="A50" s="33" t="inlineStr">
        <is>
          <t>https://africanmarketingconfederation.org/chartered-marketer-africa/</t>
        </is>
      </c>
      <c r="B50" s="26" t="inlineStr">
        <is>
          <t>No Cache-Control Header</t>
        </is>
      </c>
      <c r="C50" s="24" t="inlineStr">
        <is>
          <t>https://africanmarketingconfederation.org/chartered-marketer-africa/::no_cache-control_header</t>
        </is>
      </c>
      <c r="D50" s="29" t="inlineStr">
        <is>
          <t>Info</t>
        </is>
      </c>
      <c r="E50" s="24" t="inlineStr">
        <is>
          <t>Server/Host</t>
        </is>
      </c>
      <c r="F50" s="24" t="inlineStr"/>
      <c r="G50" s="25" t="inlineStr">
        <is>
          <t>Open</t>
        </is>
      </c>
      <c r="H50">
        <f>IFERROR(HYPERLINK("#Main!A"&amp;MATCH(A50,Main!A:A,0),"Open"),HYPERLINK("#Main!A1","Open"))</f>
        <v/>
      </c>
    </row>
    <row r="51" ht="30" customHeight="1">
      <c r="A51" s="33" t="inlineStr">
        <is>
          <t>https://africanmarketingconfederation.org/chartered-marketer-africa/</t>
        </is>
      </c>
      <c r="B51" s="26" t="inlineStr">
        <is>
          <t>No ETag Header</t>
        </is>
      </c>
      <c r="C51" s="6" t="inlineStr">
        <is>
          <t>https://africanmarketingconfederation.org/chartered-marketer-africa/::no_etag_header</t>
        </is>
      </c>
      <c r="D51" s="29" t="inlineStr">
        <is>
          <t>Info</t>
        </is>
      </c>
      <c r="E51" s="6" t="inlineStr">
        <is>
          <t>Server/Host</t>
        </is>
      </c>
      <c r="F51" s="6" t="inlineStr"/>
      <c r="G51" s="25" t="inlineStr">
        <is>
          <t>Open</t>
        </is>
      </c>
      <c r="H51">
        <f>IFERROR(HYPERLINK("#Main!A"&amp;MATCH(A51,Main!A:A,0),"Open"),HYPERLINK("#Main!A1","Open"))</f>
        <v/>
      </c>
    </row>
    <row r="52" ht="30" customHeight="1">
      <c r="A52" s="33" t="inlineStr">
        <is>
          <t>https://africanmarketingconfederation.org/chartered-marketer-africa/</t>
        </is>
      </c>
      <c r="B52" s="26" t="inlineStr">
        <is>
          <t>No FAQ/QA Schema</t>
        </is>
      </c>
      <c r="C52" s="24" t="inlineStr">
        <is>
          <t>https://africanmarketingconfederation.org/chartered-marketer-africa/::no_faq_qa_schema</t>
        </is>
      </c>
      <c r="D52" s="29" t="inlineStr">
        <is>
          <t>Info</t>
        </is>
      </c>
      <c r="E52" s="24" t="inlineStr">
        <is>
          <t>Dev</t>
        </is>
      </c>
      <c r="F52" s="24" t="inlineStr"/>
      <c r="G52" s="25" t="inlineStr">
        <is>
          <t>Open</t>
        </is>
      </c>
      <c r="H52">
        <f>IFERROR(HYPERLINK("#Main!A"&amp;MATCH(A52,Main!A:A,0),"Open"),HYPERLINK("#Main!A1","Open"))</f>
        <v/>
      </c>
    </row>
    <row r="53" ht="30" customHeight="1">
      <c r="A53" s="33" t="inlineStr">
        <is>
          <t>https://africanmarketingconfederation.org/chartered-marketer-africa/</t>
        </is>
      </c>
      <c r="B53" s="26" t="inlineStr">
        <is>
          <t>No Question Headings</t>
        </is>
      </c>
      <c r="C53" s="6" t="inlineStr">
        <is>
          <t>https://africanmarketingconfederation.org/chartered-marketer-africa/::no_question_headings</t>
        </is>
      </c>
      <c r="D53" s="29" t="inlineStr">
        <is>
          <t>Info</t>
        </is>
      </c>
      <c r="E53" s="6" t="inlineStr">
        <is>
          <t>Copy Writer</t>
        </is>
      </c>
      <c r="F53" s="6" t="inlineStr"/>
      <c r="G53" s="25" t="inlineStr">
        <is>
          <t>Open</t>
        </is>
      </c>
      <c r="H53">
        <f>IFERROR(HYPERLINK("#Main!A"&amp;MATCH(A53,Main!A:A,0),"Open"),HYPERLINK("#Main!A1","Open"))</f>
        <v/>
      </c>
    </row>
    <row r="54" ht="30" customHeight="1">
      <c r="A54" s="33" t="inlineStr">
        <is>
          <t>https://africanmarketingconfederation.org/chartered-marketer-africa/</t>
        </is>
      </c>
      <c r="B54" s="26" t="inlineStr">
        <is>
          <t>No Answer-Friendly Structure</t>
        </is>
      </c>
      <c r="C54" s="24" t="inlineStr">
        <is>
          <t>https://africanmarketingconfederation.org/chartered-marketer-africa/::no_answer-friendly_structure</t>
        </is>
      </c>
      <c r="D54" s="29" t="inlineStr">
        <is>
          <t>Info</t>
        </is>
      </c>
      <c r="E54" s="24" t="inlineStr">
        <is>
          <t>Copy Writer</t>
        </is>
      </c>
      <c r="F54" s="24" t="inlineStr"/>
      <c r="G54" s="25" t="inlineStr">
        <is>
          <t>Open</t>
        </is>
      </c>
      <c r="H54">
        <f>IFERROR(HYPERLINK("#Main!A"&amp;MATCH(A54,Main!A:A,0),"Open"),HYPERLINK("#Main!A1","Open"))</f>
        <v/>
      </c>
    </row>
    <row r="55" ht="30" customHeight="1">
      <c r="A55" s="33" t="inlineStr">
        <is>
          <t>https://africanmarketingconfederation.org/chartered-marketer-africa/</t>
        </is>
      </c>
      <c r="B55" s="26" t="inlineStr">
        <is>
          <t>No 40-60 Word Answer Paragraphs</t>
        </is>
      </c>
      <c r="C55" s="6" t="inlineStr">
        <is>
          <t>https://africanmarketingconfederation.org/chartered-marketer-africa/::no_40-60_word_answer_paragraphs</t>
        </is>
      </c>
      <c r="D55" s="29" t="inlineStr">
        <is>
          <t>Info</t>
        </is>
      </c>
      <c r="E55" s="6" t="inlineStr">
        <is>
          <t>Copy Writer</t>
        </is>
      </c>
      <c r="F55" s="6" t="inlineStr"/>
      <c r="G55" s="25" t="inlineStr">
        <is>
          <t>Open</t>
        </is>
      </c>
      <c r="H55">
        <f>IFERROR(HYPERLINK("#Main!A"&amp;MATCH(A55,Main!A:A,0),"Open"),HYPERLINK("#Main!A1","Open"))</f>
        <v/>
      </c>
    </row>
    <row r="56" ht="30" customHeight="1">
      <c r="A56" s="33" t="inlineStr">
        <is>
          <t>https://africanmarketingconfederation.org/amc-conference-2026/</t>
        </is>
      </c>
      <c r="B56" s="26" t="inlineStr">
        <is>
          <t>Low AEO Readiness Score</t>
        </is>
      </c>
      <c r="C56" s="24" t="inlineStr">
        <is>
          <t>https://africanmarketingconfederation.org/amc-conference-2026/::low_aeo_readiness_score</t>
        </is>
      </c>
      <c r="D56" s="25" t="inlineStr">
        <is>
          <t>Warning</t>
        </is>
      </c>
      <c r="E56" s="24" t="inlineStr">
        <is>
          <t>Copy Writer</t>
        </is>
      </c>
      <c r="F56" s="24" t="inlineStr"/>
      <c r="G56" s="25" t="inlineStr">
        <is>
          <t>Open</t>
        </is>
      </c>
      <c r="H56">
        <f>IFERROR(HYPERLINK("#Main!A"&amp;MATCH(A56,Main!A:A,0),"Open"),HYPERLINK("#Main!A1","Open"))</f>
        <v/>
      </c>
    </row>
    <row r="57" ht="30" customHeight="1">
      <c r="A57" s="33" t="inlineStr">
        <is>
          <t>https://africanmarketingconfederation.org/amc-conference-2026/</t>
        </is>
      </c>
      <c r="B57" s="26" t="inlineStr">
        <is>
          <t>Image Filename Quality Issues</t>
        </is>
      </c>
      <c r="C57" s="6" t="inlineStr">
        <is>
          <t>https://africanmarketingconfederation.org/amc-conference-2026/::image_filename_quality_issues</t>
        </is>
      </c>
      <c r="D57" s="29" t="inlineStr">
        <is>
          <t>Info</t>
        </is>
      </c>
      <c r="E57" s="6" t="inlineStr">
        <is>
          <t>Copy Writer</t>
        </is>
      </c>
      <c r="F57" s="6" t="inlineStr"/>
      <c r="G57" s="25" t="inlineStr">
        <is>
          <t>Open</t>
        </is>
      </c>
      <c r="H57">
        <f>IFERROR(HYPERLINK("#Main!A"&amp;MATCH(A57,Main!A:A,0),"Open"),HYPERLINK("#Main!A1","Open"))</f>
        <v/>
      </c>
    </row>
    <row r="58" ht="30" customHeight="1">
      <c r="A58" s="33" t="inlineStr">
        <is>
          <t>https://africanmarketingconfederation.org/amc-conference-2026/</t>
        </is>
      </c>
      <c r="B58" s="26" t="inlineStr">
        <is>
          <t>No Compression Header</t>
        </is>
      </c>
      <c r="C58" s="24" t="inlineStr">
        <is>
          <t>https://africanmarketingconfederation.org/amc-conference-2026/::no_compression_header</t>
        </is>
      </c>
      <c r="D58" s="29" t="inlineStr">
        <is>
          <t>Info</t>
        </is>
      </c>
      <c r="E58" s="24" t="inlineStr">
        <is>
          <t>Server/Host</t>
        </is>
      </c>
      <c r="F58" s="24" t="inlineStr"/>
      <c r="G58" s="25" t="inlineStr">
        <is>
          <t>Open</t>
        </is>
      </c>
      <c r="H58">
        <f>IFERROR(HYPERLINK("#Main!A"&amp;MATCH(A58,Main!A:A,0),"Open"),HYPERLINK("#Main!A1","Open"))</f>
        <v/>
      </c>
    </row>
    <row r="59" ht="30" customHeight="1">
      <c r="A59" s="33" t="inlineStr">
        <is>
          <t>https://africanmarketingconfederation.org/amc-conference-2026/</t>
        </is>
      </c>
      <c r="B59" s="26" t="inlineStr">
        <is>
          <t>No Cache-Control Header</t>
        </is>
      </c>
      <c r="C59" s="6" t="inlineStr">
        <is>
          <t>https://africanmarketingconfederation.org/amc-conference-2026/::no_cache-control_header</t>
        </is>
      </c>
      <c r="D59" s="29" t="inlineStr">
        <is>
          <t>Info</t>
        </is>
      </c>
      <c r="E59" s="6" t="inlineStr">
        <is>
          <t>Server/Host</t>
        </is>
      </c>
      <c r="F59" s="6" t="inlineStr"/>
      <c r="G59" s="25" t="inlineStr">
        <is>
          <t>Open</t>
        </is>
      </c>
      <c r="H59">
        <f>IFERROR(HYPERLINK("#Main!A"&amp;MATCH(A59,Main!A:A,0),"Open"),HYPERLINK("#Main!A1","Open"))</f>
        <v/>
      </c>
    </row>
    <row r="60" ht="30" customHeight="1">
      <c r="A60" s="33" t="inlineStr">
        <is>
          <t>https://africanmarketingconfederation.org/amc-conference-2026/</t>
        </is>
      </c>
      <c r="B60" s="26" t="inlineStr">
        <is>
          <t>No ETag Header</t>
        </is>
      </c>
      <c r="C60" s="24" t="inlineStr">
        <is>
          <t>https://africanmarketingconfederation.org/amc-conference-2026/::no_etag_header</t>
        </is>
      </c>
      <c r="D60" s="29" t="inlineStr">
        <is>
          <t>Info</t>
        </is>
      </c>
      <c r="E60" s="24" t="inlineStr">
        <is>
          <t>Server/Host</t>
        </is>
      </c>
      <c r="F60" s="24" t="inlineStr"/>
      <c r="G60" s="25" t="inlineStr">
        <is>
          <t>Open</t>
        </is>
      </c>
      <c r="H60">
        <f>IFERROR(HYPERLINK("#Main!A"&amp;MATCH(A60,Main!A:A,0),"Open"),HYPERLINK("#Main!A1","Open"))</f>
        <v/>
      </c>
    </row>
    <row r="61" ht="30" customHeight="1">
      <c r="A61" s="33" t="inlineStr">
        <is>
          <t>https://africanmarketingconfederation.org/amc-conference-2026/</t>
        </is>
      </c>
      <c r="B61" s="26" t="inlineStr">
        <is>
          <t>No FAQ/QA Schema</t>
        </is>
      </c>
      <c r="C61" s="6" t="inlineStr">
        <is>
          <t>https://africanmarketingconfederation.org/amc-conference-2026/::no_faq_qa_schema</t>
        </is>
      </c>
      <c r="D61" s="29" t="inlineStr">
        <is>
          <t>Info</t>
        </is>
      </c>
      <c r="E61" s="6" t="inlineStr">
        <is>
          <t>Dev</t>
        </is>
      </c>
      <c r="F61" s="6" t="inlineStr"/>
      <c r="G61" s="25" t="inlineStr">
        <is>
          <t>Open</t>
        </is>
      </c>
      <c r="H61">
        <f>IFERROR(HYPERLINK("#Main!A"&amp;MATCH(A61,Main!A:A,0),"Open"),HYPERLINK("#Main!A1","Open"))</f>
        <v/>
      </c>
    </row>
    <row r="62" ht="30" customHeight="1">
      <c r="A62" s="33" t="inlineStr">
        <is>
          <t>https://africanmarketingconfederation.org/amc-conference-2026/</t>
        </is>
      </c>
      <c r="B62" s="26" t="inlineStr">
        <is>
          <t>No Question Headings</t>
        </is>
      </c>
      <c r="C62" s="24" t="inlineStr">
        <is>
          <t>https://africanmarketingconfederation.org/amc-conference-2026/::no_question_headings</t>
        </is>
      </c>
      <c r="D62" s="29" t="inlineStr">
        <is>
          <t>Info</t>
        </is>
      </c>
      <c r="E62" s="24" t="inlineStr">
        <is>
          <t>Copy Writer</t>
        </is>
      </c>
      <c r="F62" s="24" t="inlineStr"/>
      <c r="G62" s="25" t="inlineStr">
        <is>
          <t>Open</t>
        </is>
      </c>
      <c r="H62">
        <f>IFERROR(HYPERLINK("#Main!A"&amp;MATCH(A62,Main!A:A,0),"Open"),HYPERLINK("#Main!A1","Open"))</f>
        <v/>
      </c>
    </row>
    <row r="63" ht="30" customHeight="1">
      <c r="A63" s="33" t="inlineStr">
        <is>
          <t>https://africanmarketingconfederation.org/amc-conference-2026/</t>
        </is>
      </c>
      <c r="B63" s="26" t="inlineStr">
        <is>
          <t>No Answer-Friendly Structure</t>
        </is>
      </c>
      <c r="C63" s="6" t="inlineStr">
        <is>
          <t>https://africanmarketingconfederation.org/amc-conference-2026/::no_answer-friendly_structure</t>
        </is>
      </c>
      <c r="D63" s="29" t="inlineStr">
        <is>
          <t>Info</t>
        </is>
      </c>
      <c r="E63" s="6" t="inlineStr">
        <is>
          <t>Copy Writer</t>
        </is>
      </c>
      <c r="F63" s="6" t="inlineStr"/>
      <c r="G63" s="25" t="inlineStr">
        <is>
          <t>Open</t>
        </is>
      </c>
      <c r="H63">
        <f>IFERROR(HYPERLINK("#Main!A"&amp;MATCH(A63,Main!A:A,0),"Open"),HYPERLINK("#Main!A1","Open"))</f>
        <v/>
      </c>
    </row>
    <row r="64" ht="30" customHeight="1">
      <c r="A64" s="33" t="inlineStr">
        <is>
          <t>https://africanmarketingconfederation.org/amc-conference-2026/</t>
        </is>
      </c>
      <c r="B64" s="26" t="inlineStr">
        <is>
          <t>No 40-60 Word Answer Paragraphs</t>
        </is>
      </c>
      <c r="C64" s="24" t="inlineStr">
        <is>
          <t>https://africanmarketingconfederation.org/amc-conference-2026/::no_40-60_word_answer_paragraphs</t>
        </is>
      </c>
      <c r="D64" s="29" t="inlineStr">
        <is>
          <t>Info</t>
        </is>
      </c>
      <c r="E64" s="24" t="inlineStr">
        <is>
          <t>Copy Writer</t>
        </is>
      </c>
      <c r="F64" s="24" t="inlineStr"/>
      <c r="G64" s="25" t="inlineStr">
        <is>
          <t>Open</t>
        </is>
      </c>
      <c r="H64">
        <f>IFERROR(HYPERLINK("#Main!A"&amp;MATCH(A64,Main!A:A,0),"Open"),HYPERLINK("#Main!A1","Open"))</f>
        <v/>
      </c>
    </row>
    <row r="65" ht="30" customHeight="1">
      <c r="A65" s="33" t="inlineStr">
        <is>
          <t>https://africanmarketingconfederation.org/education/</t>
        </is>
      </c>
      <c r="B65" s="26" t="inlineStr">
        <is>
          <t>Missing H1</t>
        </is>
      </c>
      <c r="C65" s="6" t="inlineStr">
        <is>
          <t>https://africanmarketingconfederation.org/education/::missing_h1</t>
        </is>
      </c>
      <c r="D65" s="25" t="inlineStr">
        <is>
          <t>Warning</t>
        </is>
      </c>
      <c r="E65" s="6" t="inlineStr">
        <is>
          <t>Copy Writer</t>
        </is>
      </c>
      <c r="F65" s="6" t="inlineStr"/>
      <c r="G65" s="25" t="inlineStr">
        <is>
          <t>Open</t>
        </is>
      </c>
      <c r="H65">
        <f>IFERROR(HYPERLINK("#Main!A"&amp;MATCH(A65,Main!A:A,0),"Open"),HYPERLINK("#Main!A1","Open"))</f>
        <v/>
      </c>
    </row>
    <row r="66" ht="30" customHeight="1">
      <c r="A66" s="33" t="inlineStr">
        <is>
          <t>https://africanmarketingconfederation.org/education/</t>
        </is>
      </c>
      <c r="B66" s="26" t="inlineStr">
        <is>
          <t>Low AEO Readiness Score</t>
        </is>
      </c>
      <c r="C66" s="24" t="inlineStr">
        <is>
          <t>https://africanmarketingconfederation.org/education/::low_aeo_readiness_score</t>
        </is>
      </c>
      <c r="D66" s="25" t="inlineStr">
        <is>
          <t>Warning</t>
        </is>
      </c>
      <c r="E66" s="24" t="inlineStr">
        <is>
          <t>Copy Writer</t>
        </is>
      </c>
      <c r="F66" s="24" t="inlineStr"/>
      <c r="G66" s="25" t="inlineStr">
        <is>
          <t>Open</t>
        </is>
      </c>
      <c r="H66">
        <f>IFERROR(HYPERLINK("#Main!A"&amp;MATCH(A66,Main!A:A,0),"Open"),HYPERLINK("#Main!A1","Open"))</f>
        <v/>
      </c>
    </row>
    <row r="67" ht="30" customHeight="1">
      <c r="A67" s="33" t="inlineStr">
        <is>
          <t>https://africanmarketingconfederation.org/education/</t>
        </is>
      </c>
      <c r="B67" s="26" t="inlineStr">
        <is>
          <t>No Compression Header</t>
        </is>
      </c>
      <c r="C67" s="6" t="inlineStr">
        <is>
          <t>https://africanmarketingconfederation.org/education/::no_compression_header</t>
        </is>
      </c>
      <c r="D67" s="29" t="inlineStr">
        <is>
          <t>Info</t>
        </is>
      </c>
      <c r="E67" s="6" t="inlineStr">
        <is>
          <t>Server/Host</t>
        </is>
      </c>
      <c r="F67" s="6" t="inlineStr"/>
      <c r="G67" s="25" t="inlineStr">
        <is>
          <t>Open</t>
        </is>
      </c>
      <c r="H67">
        <f>IFERROR(HYPERLINK("#Main!A"&amp;MATCH(A67,Main!A:A,0),"Open"),HYPERLINK("#Main!A1","Open"))</f>
        <v/>
      </c>
    </row>
    <row r="68" ht="30" customHeight="1">
      <c r="A68" s="33" t="inlineStr">
        <is>
          <t>https://africanmarketingconfederation.org/education/</t>
        </is>
      </c>
      <c r="B68" s="26" t="inlineStr">
        <is>
          <t>No Cache-Control Header</t>
        </is>
      </c>
      <c r="C68" s="24" t="inlineStr">
        <is>
          <t>https://africanmarketingconfederation.org/education/::no_cache-control_header</t>
        </is>
      </c>
      <c r="D68" s="29" t="inlineStr">
        <is>
          <t>Info</t>
        </is>
      </c>
      <c r="E68" s="24" t="inlineStr">
        <is>
          <t>Server/Host</t>
        </is>
      </c>
      <c r="F68" s="24" t="inlineStr"/>
      <c r="G68" s="25" t="inlineStr">
        <is>
          <t>Open</t>
        </is>
      </c>
      <c r="H68">
        <f>IFERROR(HYPERLINK("#Main!A"&amp;MATCH(A68,Main!A:A,0),"Open"),HYPERLINK("#Main!A1","Open"))</f>
        <v/>
      </c>
    </row>
    <row r="69" ht="30" customHeight="1">
      <c r="A69" s="33" t="inlineStr">
        <is>
          <t>https://africanmarketingconfederation.org/education/</t>
        </is>
      </c>
      <c r="B69" s="26" t="inlineStr">
        <is>
          <t>No ETag Header</t>
        </is>
      </c>
      <c r="C69" s="6" t="inlineStr">
        <is>
          <t>https://africanmarketingconfederation.org/education/::no_etag_header</t>
        </is>
      </c>
      <c r="D69" s="29" t="inlineStr">
        <is>
          <t>Info</t>
        </is>
      </c>
      <c r="E69" s="6" t="inlineStr">
        <is>
          <t>Server/Host</t>
        </is>
      </c>
      <c r="F69" s="6" t="inlineStr"/>
      <c r="G69" s="25" t="inlineStr">
        <is>
          <t>Open</t>
        </is>
      </c>
      <c r="H69">
        <f>IFERROR(HYPERLINK("#Main!A"&amp;MATCH(A69,Main!A:A,0),"Open"),HYPERLINK("#Main!A1","Open"))</f>
        <v/>
      </c>
    </row>
    <row r="70" ht="30" customHeight="1">
      <c r="A70" s="33" t="inlineStr">
        <is>
          <t>https://africanmarketingconfederation.org/education/</t>
        </is>
      </c>
      <c r="B70" s="26" t="inlineStr">
        <is>
          <t>No FAQ/QA Schema</t>
        </is>
      </c>
      <c r="C70" s="24" t="inlineStr">
        <is>
          <t>https://africanmarketingconfederation.org/education/::no_faq_qa_schema</t>
        </is>
      </c>
      <c r="D70" s="29" t="inlineStr">
        <is>
          <t>Info</t>
        </is>
      </c>
      <c r="E70" s="24" t="inlineStr">
        <is>
          <t>Dev</t>
        </is>
      </c>
      <c r="F70" s="24" t="inlineStr"/>
      <c r="G70" s="25" t="inlineStr">
        <is>
          <t>Open</t>
        </is>
      </c>
      <c r="H70">
        <f>IFERROR(HYPERLINK("#Main!A"&amp;MATCH(A70,Main!A:A,0),"Open"),HYPERLINK("#Main!A1","Open"))</f>
        <v/>
      </c>
    </row>
    <row r="71" ht="30" customHeight="1">
      <c r="A71" s="33" t="inlineStr">
        <is>
          <t>https://africanmarketingconfederation.org/education/</t>
        </is>
      </c>
      <c r="B71" s="26" t="inlineStr">
        <is>
          <t>No Question Headings</t>
        </is>
      </c>
      <c r="C71" s="6" t="inlineStr">
        <is>
          <t>https://africanmarketingconfederation.org/education/::no_question_headings</t>
        </is>
      </c>
      <c r="D71" s="29" t="inlineStr">
        <is>
          <t>Info</t>
        </is>
      </c>
      <c r="E71" s="6" t="inlineStr">
        <is>
          <t>Copy Writer</t>
        </is>
      </c>
      <c r="F71" s="6" t="inlineStr"/>
      <c r="G71" s="25" t="inlineStr">
        <is>
          <t>Open</t>
        </is>
      </c>
      <c r="H71">
        <f>IFERROR(HYPERLINK("#Main!A"&amp;MATCH(A71,Main!A:A,0),"Open"),HYPERLINK("#Main!A1","Open"))</f>
        <v/>
      </c>
    </row>
    <row r="72" ht="30" customHeight="1">
      <c r="A72" s="33" t="inlineStr">
        <is>
          <t>https://africanmarketingconfederation.org/education/</t>
        </is>
      </c>
      <c r="B72" s="26" t="inlineStr">
        <is>
          <t>No Answer-Friendly Structure</t>
        </is>
      </c>
      <c r="C72" s="24" t="inlineStr">
        <is>
          <t>https://africanmarketingconfederation.org/education/::no_answer-friendly_structure</t>
        </is>
      </c>
      <c r="D72" s="29" t="inlineStr">
        <is>
          <t>Info</t>
        </is>
      </c>
      <c r="E72" s="24" t="inlineStr">
        <is>
          <t>Copy Writer</t>
        </is>
      </c>
      <c r="F72" s="24" t="inlineStr"/>
      <c r="G72" s="25" t="inlineStr">
        <is>
          <t>Open</t>
        </is>
      </c>
      <c r="H72">
        <f>IFERROR(HYPERLINK("#Main!A"&amp;MATCH(A72,Main!A:A,0),"Open"),HYPERLINK("#Main!A1","Open"))</f>
        <v/>
      </c>
    </row>
    <row r="73" ht="30" customHeight="1">
      <c r="A73" s="33" t="inlineStr">
        <is>
          <t>https://africanmarketingconfederation.org/education/</t>
        </is>
      </c>
      <c r="B73" s="26" t="inlineStr">
        <is>
          <t>No 40-60 Word Answer Paragraphs</t>
        </is>
      </c>
      <c r="C73" s="6" t="inlineStr">
        <is>
          <t>https://africanmarketingconfederation.org/education/::no_40-60_word_answer_paragraphs</t>
        </is>
      </c>
      <c r="D73" s="29" t="inlineStr">
        <is>
          <t>Info</t>
        </is>
      </c>
      <c r="E73" s="6" t="inlineStr">
        <is>
          <t>Copy Writer</t>
        </is>
      </c>
      <c r="F73" s="6" t="inlineStr"/>
      <c r="G73" s="25" t="inlineStr">
        <is>
          <t>Open</t>
        </is>
      </c>
      <c r="H73">
        <f>IFERROR(HYPERLINK("#Main!A"&amp;MATCH(A73,Main!A:A,0),"Open"),HYPERLINK("#Main!A1","Open"))</f>
        <v/>
      </c>
    </row>
    <row r="74" ht="30" customHeight="1">
      <c r="A74" s="33" t="inlineStr">
        <is>
          <t>https://africanmarketingconfederation.org/awards-2026/</t>
        </is>
      </c>
      <c r="B74" s="26" t="inlineStr">
        <is>
          <t>Multiple H1</t>
        </is>
      </c>
      <c r="C74" s="24" t="inlineStr">
        <is>
          <t>https://africanmarketingconfederation.org/awards-2026/::multiple_h1</t>
        </is>
      </c>
      <c r="D74" s="25" t="inlineStr">
        <is>
          <t>Warning</t>
        </is>
      </c>
      <c r="E74" s="24" t="inlineStr">
        <is>
          <t>Copy Writer</t>
        </is>
      </c>
      <c r="F74" s="24" t="inlineStr"/>
      <c r="G74" s="25" t="inlineStr">
        <is>
          <t>Open</t>
        </is>
      </c>
      <c r="H74">
        <f>IFERROR(HYPERLINK("#Main!A"&amp;MATCH(A74,Main!A:A,0),"Open"),HYPERLINK("#Main!A1","Open"))</f>
        <v/>
      </c>
    </row>
    <row r="75" ht="30" customHeight="1">
      <c r="A75" s="33" t="inlineStr">
        <is>
          <t>https://africanmarketingconfederation.org/awards-2026/</t>
        </is>
      </c>
      <c r="B75" s="26" t="inlineStr">
        <is>
          <t>Low AEO Readiness Score</t>
        </is>
      </c>
      <c r="C75" s="6" t="inlineStr">
        <is>
          <t>https://africanmarketingconfederation.org/awards-2026/::low_aeo_readiness_score</t>
        </is>
      </c>
      <c r="D75" s="25" t="inlineStr">
        <is>
          <t>Warning</t>
        </is>
      </c>
      <c r="E75" s="6" t="inlineStr">
        <is>
          <t>Copy Writer</t>
        </is>
      </c>
      <c r="F75" s="6" t="inlineStr"/>
      <c r="G75" s="25" t="inlineStr">
        <is>
          <t>Open</t>
        </is>
      </c>
      <c r="H75">
        <f>IFERROR(HYPERLINK("#Main!A"&amp;MATCH(A75,Main!A:A,0),"Open"),HYPERLINK("#Main!A1","Open"))</f>
        <v/>
      </c>
    </row>
    <row r="76" ht="30" customHeight="1">
      <c r="A76" s="33" t="inlineStr">
        <is>
          <t>https://africanmarketingconfederation.org/awards-2026/</t>
        </is>
      </c>
      <c r="B76" s="26" t="inlineStr">
        <is>
          <t>No Compression Header</t>
        </is>
      </c>
      <c r="C76" s="24" t="inlineStr">
        <is>
          <t>https://africanmarketingconfederation.org/awards-2026/::no_compression_header</t>
        </is>
      </c>
      <c r="D76" s="29" t="inlineStr">
        <is>
          <t>Info</t>
        </is>
      </c>
      <c r="E76" s="24" t="inlineStr">
        <is>
          <t>Server/Host</t>
        </is>
      </c>
      <c r="F76" s="24" t="inlineStr"/>
      <c r="G76" s="25" t="inlineStr">
        <is>
          <t>Open</t>
        </is>
      </c>
      <c r="H76">
        <f>IFERROR(HYPERLINK("#Main!A"&amp;MATCH(A76,Main!A:A,0),"Open"),HYPERLINK("#Main!A1","Open"))</f>
        <v/>
      </c>
    </row>
    <row r="77" ht="30" customHeight="1">
      <c r="A77" s="33" t="inlineStr">
        <is>
          <t>https://africanmarketingconfederation.org/awards-2026/</t>
        </is>
      </c>
      <c r="B77" s="26" t="inlineStr">
        <is>
          <t>No Cache-Control Header</t>
        </is>
      </c>
      <c r="C77" s="6" t="inlineStr">
        <is>
          <t>https://africanmarketingconfederation.org/awards-2026/::no_cache-control_header</t>
        </is>
      </c>
      <c r="D77" s="29" t="inlineStr">
        <is>
          <t>Info</t>
        </is>
      </c>
      <c r="E77" s="6" t="inlineStr">
        <is>
          <t>Server/Host</t>
        </is>
      </c>
      <c r="F77" s="6" t="inlineStr"/>
      <c r="G77" s="25" t="inlineStr">
        <is>
          <t>Open</t>
        </is>
      </c>
      <c r="H77">
        <f>IFERROR(HYPERLINK("#Main!A"&amp;MATCH(A77,Main!A:A,0),"Open"),HYPERLINK("#Main!A1","Open"))</f>
        <v/>
      </c>
    </row>
    <row r="78" ht="30" customHeight="1">
      <c r="A78" s="33" t="inlineStr">
        <is>
          <t>https://africanmarketingconfederation.org/awards-2026/</t>
        </is>
      </c>
      <c r="B78" s="26" t="inlineStr">
        <is>
          <t>No ETag Header</t>
        </is>
      </c>
      <c r="C78" s="24" t="inlineStr">
        <is>
          <t>https://africanmarketingconfederation.org/awards-2026/::no_etag_header</t>
        </is>
      </c>
      <c r="D78" s="29" t="inlineStr">
        <is>
          <t>Info</t>
        </is>
      </c>
      <c r="E78" s="24" t="inlineStr">
        <is>
          <t>Server/Host</t>
        </is>
      </c>
      <c r="F78" s="24" t="inlineStr"/>
      <c r="G78" s="25" t="inlineStr">
        <is>
          <t>Open</t>
        </is>
      </c>
      <c r="H78">
        <f>IFERROR(HYPERLINK("#Main!A"&amp;MATCH(A78,Main!A:A,0),"Open"),HYPERLINK("#Main!A1","Open"))</f>
        <v/>
      </c>
    </row>
    <row r="79" ht="30" customHeight="1">
      <c r="A79" s="33" t="inlineStr">
        <is>
          <t>https://africanmarketingconfederation.org/awards-2026/</t>
        </is>
      </c>
      <c r="B79" s="26" t="inlineStr">
        <is>
          <t>No FAQ/QA Schema</t>
        </is>
      </c>
      <c r="C79" s="6" t="inlineStr">
        <is>
          <t>https://africanmarketingconfederation.org/awards-2026/::no_faq_qa_schema</t>
        </is>
      </c>
      <c r="D79" s="29" t="inlineStr">
        <is>
          <t>Info</t>
        </is>
      </c>
      <c r="E79" s="6" t="inlineStr">
        <is>
          <t>Dev</t>
        </is>
      </c>
      <c r="F79" s="6" t="inlineStr"/>
      <c r="G79" s="25" t="inlineStr">
        <is>
          <t>Open</t>
        </is>
      </c>
      <c r="H79">
        <f>IFERROR(HYPERLINK("#Main!A"&amp;MATCH(A79,Main!A:A,0),"Open"),HYPERLINK("#Main!A1","Open"))</f>
        <v/>
      </c>
    </row>
    <row r="80" ht="30" customHeight="1">
      <c r="A80" s="33" t="inlineStr">
        <is>
          <t>https://africanmarketingconfederation.org/awards-2026/</t>
        </is>
      </c>
      <c r="B80" s="26" t="inlineStr">
        <is>
          <t>No Question Headings</t>
        </is>
      </c>
      <c r="C80" s="24" t="inlineStr">
        <is>
          <t>https://africanmarketingconfederation.org/awards-2026/::no_question_headings</t>
        </is>
      </c>
      <c r="D80" s="29" t="inlineStr">
        <is>
          <t>Info</t>
        </is>
      </c>
      <c r="E80" s="24" t="inlineStr">
        <is>
          <t>Copy Writer</t>
        </is>
      </c>
      <c r="F80" s="24" t="inlineStr"/>
      <c r="G80" s="25" t="inlineStr">
        <is>
          <t>Open</t>
        </is>
      </c>
      <c r="H80">
        <f>IFERROR(HYPERLINK("#Main!A"&amp;MATCH(A80,Main!A:A,0),"Open"),HYPERLINK("#Main!A1","Open"))</f>
        <v/>
      </c>
    </row>
    <row r="81" ht="30" customHeight="1">
      <c r="A81" s="33" t="inlineStr">
        <is>
          <t>https://africanmarketingconfederation.org/awards-2026/</t>
        </is>
      </c>
      <c r="B81" s="26" t="inlineStr">
        <is>
          <t>No Answer-Friendly Structure</t>
        </is>
      </c>
      <c r="C81" s="6" t="inlineStr">
        <is>
          <t>https://africanmarketingconfederation.org/awards-2026/::no_answer-friendly_structure</t>
        </is>
      </c>
      <c r="D81" s="29" t="inlineStr">
        <is>
          <t>Info</t>
        </is>
      </c>
      <c r="E81" s="6" t="inlineStr">
        <is>
          <t>Copy Writer</t>
        </is>
      </c>
      <c r="F81" s="6" t="inlineStr"/>
      <c r="G81" s="25" t="inlineStr">
        <is>
          <t>Open</t>
        </is>
      </c>
      <c r="H81">
        <f>IFERROR(HYPERLINK("#Main!A"&amp;MATCH(A81,Main!A:A,0),"Open"),HYPERLINK("#Main!A1","Open"))</f>
        <v/>
      </c>
    </row>
    <row r="82" ht="30" customHeight="1">
      <c r="A82" s="33" t="inlineStr">
        <is>
          <t>https://africanmarketingconfederation.org/awards-2026/</t>
        </is>
      </c>
      <c r="B82" s="26" t="inlineStr">
        <is>
          <t>No 40-60 Word Answer Paragraphs</t>
        </is>
      </c>
      <c r="C82" s="24" t="inlineStr">
        <is>
          <t>https://africanmarketingconfederation.org/awards-2026/::no_40-60_word_answer_paragraphs</t>
        </is>
      </c>
      <c r="D82" s="29" t="inlineStr">
        <is>
          <t>Info</t>
        </is>
      </c>
      <c r="E82" s="24" t="inlineStr">
        <is>
          <t>Copy Writer</t>
        </is>
      </c>
      <c r="F82" s="24" t="inlineStr"/>
      <c r="G82" s="25" t="inlineStr">
        <is>
          <t>Open</t>
        </is>
      </c>
      <c r="H82">
        <f>IFERROR(HYPERLINK("#Main!A"&amp;MATCH(A82,Main!A:A,0),"Open"),HYPERLINK("#Main!A1","Open"))</f>
        <v/>
      </c>
    </row>
    <row r="83" ht="30" customHeight="1">
      <c r="A83" s="33" t="inlineStr">
        <is>
          <t>https://africanmarketingconfederation.org/contact-us/</t>
        </is>
      </c>
      <c r="B83" s="26" t="inlineStr">
        <is>
          <t>Multiple H1</t>
        </is>
      </c>
      <c r="C83" s="6" t="inlineStr">
        <is>
          <t>https://africanmarketingconfederation.org/contact-us/::multiple_h1</t>
        </is>
      </c>
      <c r="D83" s="25" t="inlineStr">
        <is>
          <t>Warning</t>
        </is>
      </c>
      <c r="E83" s="6" t="inlineStr">
        <is>
          <t>Copy Writer</t>
        </is>
      </c>
      <c r="F83" s="6" t="inlineStr"/>
      <c r="G83" s="25" t="inlineStr">
        <is>
          <t>Open</t>
        </is>
      </c>
      <c r="H83">
        <f>IFERROR(HYPERLINK("#Main!A"&amp;MATCH(A83,Main!A:A,0),"Open"),HYPERLINK("#Main!A1","Open"))</f>
        <v/>
      </c>
    </row>
    <row r="84" ht="30" customHeight="1">
      <c r="A84" s="33" t="inlineStr">
        <is>
          <t>https://africanmarketingconfederation.org/contact-us/</t>
        </is>
      </c>
      <c r="B84" s="26" t="inlineStr">
        <is>
          <t>Low AEO Readiness Score</t>
        </is>
      </c>
      <c r="C84" s="24" t="inlineStr">
        <is>
          <t>https://africanmarketingconfederation.org/contact-us/::low_aeo_readiness_score</t>
        </is>
      </c>
      <c r="D84" s="25" t="inlineStr">
        <is>
          <t>Warning</t>
        </is>
      </c>
      <c r="E84" s="24" t="inlineStr">
        <is>
          <t>Copy Writer</t>
        </is>
      </c>
      <c r="F84" s="24" t="inlineStr"/>
      <c r="G84" s="25" t="inlineStr">
        <is>
          <t>Open</t>
        </is>
      </c>
      <c r="H84">
        <f>IFERROR(HYPERLINK("#Main!A"&amp;MATCH(A84,Main!A:A,0),"Open"),HYPERLINK("#Main!A1","Open"))</f>
        <v/>
      </c>
    </row>
    <row r="85" ht="30" customHeight="1">
      <c r="A85" s="33" t="inlineStr">
        <is>
          <t>https://africanmarketingconfederation.org/contact-us/</t>
        </is>
      </c>
      <c r="B85" s="26" t="inlineStr">
        <is>
          <t>No Compression Header</t>
        </is>
      </c>
      <c r="C85" s="6" t="inlineStr">
        <is>
          <t>https://africanmarketingconfederation.org/contact-us/::no_compression_header</t>
        </is>
      </c>
      <c r="D85" s="29" t="inlineStr">
        <is>
          <t>Info</t>
        </is>
      </c>
      <c r="E85" s="6" t="inlineStr">
        <is>
          <t>Server/Host</t>
        </is>
      </c>
      <c r="F85" s="6" t="inlineStr"/>
      <c r="G85" s="25" t="inlineStr">
        <is>
          <t>Open</t>
        </is>
      </c>
      <c r="H85">
        <f>IFERROR(HYPERLINK("#Main!A"&amp;MATCH(A85,Main!A:A,0),"Open"),HYPERLINK("#Main!A1","Open"))</f>
        <v/>
      </c>
    </row>
    <row r="86" ht="30" customHeight="1">
      <c r="A86" s="33" t="inlineStr">
        <is>
          <t>https://africanmarketingconfederation.org/contact-us/</t>
        </is>
      </c>
      <c r="B86" s="26" t="inlineStr">
        <is>
          <t>No Cache-Control Header</t>
        </is>
      </c>
      <c r="C86" s="24" t="inlineStr">
        <is>
          <t>https://africanmarketingconfederation.org/contact-us/::no_cache-control_header</t>
        </is>
      </c>
      <c r="D86" s="29" t="inlineStr">
        <is>
          <t>Info</t>
        </is>
      </c>
      <c r="E86" s="24" t="inlineStr">
        <is>
          <t>Server/Host</t>
        </is>
      </c>
      <c r="F86" s="24" t="inlineStr"/>
      <c r="G86" s="25" t="inlineStr">
        <is>
          <t>Open</t>
        </is>
      </c>
      <c r="H86">
        <f>IFERROR(HYPERLINK("#Main!A"&amp;MATCH(A86,Main!A:A,0),"Open"),HYPERLINK("#Main!A1","Open"))</f>
        <v/>
      </c>
    </row>
    <row r="87" ht="30" customHeight="1">
      <c r="A87" s="33" t="inlineStr">
        <is>
          <t>https://africanmarketingconfederation.org/contact-us/</t>
        </is>
      </c>
      <c r="B87" s="26" t="inlineStr">
        <is>
          <t>No ETag Header</t>
        </is>
      </c>
      <c r="C87" s="6" t="inlineStr">
        <is>
          <t>https://africanmarketingconfederation.org/contact-us/::no_etag_header</t>
        </is>
      </c>
      <c r="D87" s="29" t="inlineStr">
        <is>
          <t>Info</t>
        </is>
      </c>
      <c r="E87" s="6" t="inlineStr">
        <is>
          <t>Server/Host</t>
        </is>
      </c>
      <c r="F87" s="6" t="inlineStr"/>
      <c r="G87" s="25" t="inlineStr">
        <is>
          <t>Open</t>
        </is>
      </c>
      <c r="H87">
        <f>IFERROR(HYPERLINK("#Main!A"&amp;MATCH(A87,Main!A:A,0),"Open"),HYPERLINK("#Main!A1","Open"))</f>
        <v/>
      </c>
    </row>
    <row r="88" ht="30" customHeight="1">
      <c r="A88" s="33" t="inlineStr">
        <is>
          <t>https://africanmarketingconfederation.org/contact-us/</t>
        </is>
      </c>
      <c r="B88" s="26" t="inlineStr">
        <is>
          <t>No FAQ/QA Schema</t>
        </is>
      </c>
      <c r="C88" s="24" t="inlineStr">
        <is>
          <t>https://africanmarketingconfederation.org/contact-us/::no_faq_qa_schema</t>
        </is>
      </c>
      <c r="D88" s="29" t="inlineStr">
        <is>
          <t>Info</t>
        </is>
      </c>
      <c r="E88" s="24" t="inlineStr">
        <is>
          <t>Dev</t>
        </is>
      </c>
      <c r="F88" s="24" t="inlineStr"/>
      <c r="G88" s="25" t="inlineStr">
        <is>
          <t>Open</t>
        </is>
      </c>
      <c r="H88">
        <f>IFERROR(HYPERLINK("#Main!A"&amp;MATCH(A88,Main!A:A,0),"Open"),HYPERLINK("#Main!A1","Open"))</f>
        <v/>
      </c>
    </row>
    <row r="89" ht="30" customHeight="1">
      <c r="A89" s="33" t="inlineStr">
        <is>
          <t>https://africanmarketingconfederation.org/contact-us/</t>
        </is>
      </c>
      <c r="B89" s="26" t="inlineStr">
        <is>
          <t>No Question Headings</t>
        </is>
      </c>
      <c r="C89" s="6" t="inlineStr">
        <is>
          <t>https://africanmarketingconfederation.org/contact-us/::no_question_headings</t>
        </is>
      </c>
      <c r="D89" s="29" t="inlineStr">
        <is>
          <t>Info</t>
        </is>
      </c>
      <c r="E89" s="6" t="inlineStr">
        <is>
          <t>Copy Writer</t>
        </is>
      </c>
      <c r="F89" s="6" t="inlineStr"/>
      <c r="G89" s="25" t="inlineStr">
        <is>
          <t>Open</t>
        </is>
      </c>
      <c r="H89">
        <f>IFERROR(HYPERLINK("#Main!A"&amp;MATCH(A89,Main!A:A,0),"Open"),HYPERLINK("#Main!A1","Open"))</f>
        <v/>
      </c>
    </row>
    <row r="90" ht="30" customHeight="1">
      <c r="A90" s="33" t="inlineStr">
        <is>
          <t>https://africanmarketingconfederation.org/contact-us/</t>
        </is>
      </c>
      <c r="B90" s="26" t="inlineStr">
        <is>
          <t>No Answer-Friendly Structure</t>
        </is>
      </c>
      <c r="C90" s="24" t="inlineStr">
        <is>
          <t>https://africanmarketingconfederation.org/contact-us/::no_answer-friendly_structure</t>
        </is>
      </c>
      <c r="D90" s="29" t="inlineStr">
        <is>
          <t>Info</t>
        </is>
      </c>
      <c r="E90" s="24" t="inlineStr">
        <is>
          <t>Copy Writer</t>
        </is>
      </c>
      <c r="F90" s="24" t="inlineStr"/>
      <c r="G90" s="25" t="inlineStr">
        <is>
          <t>Open</t>
        </is>
      </c>
      <c r="H90">
        <f>IFERROR(HYPERLINK("#Main!A"&amp;MATCH(A90,Main!A:A,0),"Open"),HYPERLINK("#Main!A1","Open"))</f>
        <v/>
      </c>
    </row>
    <row r="91" ht="30" customHeight="1">
      <c r="A91" s="33" t="inlineStr">
        <is>
          <t>https://africanmarketingconfederation.org/contact-us/</t>
        </is>
      </c>
      <c r="B91" s="26" t="inlineStr">
        <is>
          <t>No 40-60 Word Answer Paragraphs</t>
        </is>
      </c>
      <c r="C91" s="6" t="inlineStr">
        <is>
          <t>https://africanmarketingconfederation.org/contact-us/::no_40-60_word_answer_paragraphs</t>
        </is>
      </c>
      <c r="D91" s="29" t="inlineStr">
        <is>
          <t>Info</t>
        </is>
      </c>
      <c r="E91" s="6" t="inlineStr">
        <is>
          <t>Copy Writer</t>
        </is>
      </c>
      <c r="F91" s="6" t="inlineStr"/>
      <c r="G91" s="25" t="inlineStr">
        <is>
          <t>Open</t>
        </is>
      </c>
      <c r="H91">
        <f>IFERROR(HYPERLINK("#Main!A"&amp;MATCH(A91,Main!A:A,0),"Open"),HYPERLINK("#Main!A1","Open"))</f>
        <v/>
      </c>
    </row>
    <row r="92" ht="30" customHeight="1">
      <c r="A92" s="33" t="inlineStr">
        <is>
          <t>https://africanmarketingconfederation.org/news-articles/</t>
        </is>
      </c>
      <c r="B92" s="26" t="inlineStr">
        <is>
          <t>Low AEO Readiness Score</t>
        </is>
      </c>
      <c r="C92" s="24" t="inlineStr">
        <is>
          <t>https://africanmarketingconfederation.org/news-articles/::low_aeo_readiness_score</t>
        </is>
      </c>
      <c r="D92" s="25" t="inlineStr">
        <is>
          <t>Warning</t>
        </is>
      </c>
      <c r="E92" s="24" t="inlineStr">
        <is>
          <t>Copy Writer</t>
        </is>
      </c>
      <c r="F92" s="24" t="inlineStr"/>
      <c r="G92" s="25" t="inlineStr">
        <is>
          <t>Open</t>
        </is>
      </c>
      <c r="H92">
        <f>IFERROR(HYPERLINK("#Main!A"&amp;MATCH(A92,Main!A:A,0),"Open"),HYPERLINK("#Main!A1","Open"))</f>
        <v/>
      </c>
    </row>
    <row r="93" ht="30" customHeight="1">
      <c r="A93" s="33" t="inlineStr">
        <is>
          <t>https://africanmarketingconfederation.org/news-articles/</t>
        </is>
      </c>
      <c r="B93" s="26" t="inlineStr">
        <is>
          <t>No Compression Header</t>
        </is>
      </c>
      <c r="C93" s="6" t="inlineStr">
        <is>
          <t>https://africanmarketingconfederation.org/news-articles/::no_compression_header</t>
        </is>
      </c>
      <c r="D93" s="29" t="inlineStr">
        <is>
          <t>Info</t>
        </is>
      </c>
      <c r="E93" s="6" t="inlineStr">
        <is>
          <t>Server/Host</t>
        </is>
      </c>
      <c r="F93" s="6" t="inlineStr"/>
      <c r="G93" s="25" t="inlineStr">
        <is>
          <t>Open</t>
        </is>
      </c>
      <c r="H93">
        <f>IFERROR(HYPERLINK("#Main!A"&amp;MATCH(A93,Main!A:A,0),"Open"),HYPERLINK("#Main!A1","Open"))</f>
        <v/>
      </c>
    </row>
    <row r="94" ht="30" customHeight="1">
      <c r="A94" s="33" t="inlineStr">
        <is>
          <t>https://africanmarketingconfederation.org/news-articles/</t>
        </is>
      </c>
      <c r="B94" s="26" t="inlineStr">
        <is>
          <t>No Cache-Control Header</t>
        </is>
      </c>
      <c r="C94" s="24" t="inlineStr">
        <is>
          <t>https://africanmarketingconfederation.org/news-articles/::no_cache-control_header</t>
        </is>
      </c>
      <c r="D94" s="29" t="inlineStr">
        <is>
          <t>Info</t>
        </is>
      </c>
      <c r="E94" s="24" t="inlineStr">
        <is>
          <t>Server/Host</t>
        </is>
      </c>
      <c r="F94" s="24" t="inlineStr"/>
      <c r="G94" s="25" t="inlineStr">
        <is>
          <t>Open</t>
        </is>
      </c>
      <c r="H94">
        <f>IFERROR(HYPERLINK("#Main!A"&amp;MATCH(A94,Main!A:A,0),"Open"),HYPERLINK("#Main!A1","Open"))</f>
        <v/>
      </c>
    </row>
    <row r="95" ht="30" customHeight="1">
      <c r="A95" s="33" t="inlineStr">
        <is>
          <t>https://africanmarketingconfederation.org/news-articles/</t>
        </is>
      </c>
      <c r="B95" s="26" t="inlineStr">
        <is>
          <t>No ETag Header</t>
        </is>
      </c>
      <c r="C95" s="6" t="inlineStr">
        <is>
          <t>https://africanmarketingconfederation.org/news-articles/::no_etag_header</t>
        </is>
      </c>
      <c r="D95" s="29" t="inlineStr">
        <is>
          <t>Info</t>
        </is>
      </c>
      <c r="E95" s="6" t="inlineStr">
        <is>
          <t>Server/Host</t>
        </is>
      </c>
      <c r="F95" s="6" t="inlineStr"/>
      <c r="G95" s="25" t="inlineStr">
        <is>
          <t>Open</t>
        </is>
      </c>
      <c r="H95">
        <f>IFERROR(HYPERLINK("#Main!A"&amp;MATCH(A95,Main!A:A,0),"Open"),HYPERLINK("#Main!A1","Open"))</f>
        <v/>
      </c>
    </row>
    <row r="96" ht="30" customHeight="1">
      <c r="A96" s="33" t="inlineStr">
        <is>
          <t>https://africanmarketingconfederation.org/news-articles/</t>
        </is>
      </c>
      <c r="B96" s="26" t="inlineStr">
        <is>
          <t>No FAQ/QA Schema</t>
        </is>
      </c>
      <c r="C96" s="24" t="inlineStr">
        <is>
          <t>https://africanmarketingconfederation.org/news-articles/::no_faq_qa_schema</t>
        </is>
      </c>
      <c r="D96" s="29" t="inlineStr">
        <is>
          <t>Info</t>
        </is>
      </c>
      <c r="E96" s="24" t="inlineStr">
        <is>
          <t>Dev</t>
        </is>
      </c>
      <c r="F96" s="24" t="inlineStr"/>
      <c r="G96" s="25" t="inlineStr">
        <is>
          <t>Open</t>
        </is>
      </c>
      <c r="H96">
        <f>IFERROR(HYPERLINK("#Main!A"&amp;MATCH(A96,Main!A:A,0),"Open"),HYPERLINK("#Main!A1","Open"))</f>
        <v/>
      </c>
    </row>
    <row r="97" ht="30" customHeight="1">
      <c r="A97" s="33" t="inlineStr">
        <is>
          <t>https://africanmarketingconfederation.org/news-articles/</t>
        </is>
      </c>
      <c r="B97" s="26" t="inlineStr">
        <is>
          <t>No Question Headings</t>
        </is>
      </c>
      <c r="C97" s="6" t="inlineStr">
        <is>
          <t>https://africanmarketingconfederation.org/news-articles/::no_question_headings</t>
        </is>
      </c>
      <c r="D97" s="29" t="inlineStr">
        <is>
          <t>Info</t>
        </is>
      </c>
      <c r="E97" s="6" t="inlineStr">
        <is>
          <t>Copy Writer</t>
        </is>
      </c>
      <c r="F97" s="6" t="inlineStr"/>
      <c r="G97" s="25" t="inlineStr">
        <is>
          <t>Open</t>
        </is>
      </c>
      <c r="H97">
        <f>IFERROR(HYPERLINK("#Main!A"&amp;MATCH(A97,Main!A:A,0),"Open"),HYPERLINK("#Main!A1","Open"))</f>
        <v/>
      </c>
    </row>
    <row r="98" ht="30" customHeight="1">
      <c r="A98" s="33" t="inlineStr">
        <is>
          <t>https://africanmarketingconfederation.org/news-articles/</t>
        </is>
      </c>
      <c r="B98" s="26" t="inlineStr">
        <is>
          <t>No Answer-Friendly Structure</t>
        </is>
      </c>
      <c r="C98" s="24" t="inlineStr">
        <is>
          <t>https://africanmarketingconfederation.org/news-articles/::no_answer-friendly_structure</t>
        </is>
      </c>
      <c r="D98" s="29" t="inlineStr">
        <is>
          <t>Info</t>
        </is>
      </c>
      <c r="E98" s="24" t="inlineStr">
        <is>
          <t>Copy Writer</t>
        </is>
      </c>
      <c r="F98" s="24" t="inlineStr"/>
      <c r="G98" s="25" t="inlineStr">
        <is>
          <t>Open</t>
        </is>
      </c>
      <c r="H98">
        <f>IFERROR(HYPERLINK("#Main!A"&amp;MATCH(A98,Main!A:A,0),"Open"),HYPERLINK("#Main!A1","Open"))</f>
        <v/>
      </c>
    </row>
    <row r="99" ht="30" customHeight="1">
      <c r="A99" s="33" t="inlineStr">
        <is>
          <t>https://africanmarketingconfederation.org/news-articles/</t>
        </is>
      </c>
      <c r="B99" s="26" t="inlineStr">
        <is>
          <t>No 40-60 Word Answer Paragraphs</t>
        </is>
      </c>
      <c r="C99" s="6" t="inlineStr">
        <is>
          <t>https://africanmarketingconfederation.org/news-articles/::no_40-60_word_answer_paragraphs</t>
        </is>
      </c>
      <c r="D99" s="29" t="inlineStr">
        <is>
          <t>Info</t>
        </is>
      </c>
      <c r="E99" s="6" t="inlineStr">
        <is>
          <t>Copy Writer</t>
        </is>
      </c>
      <c r="F99" s="6" t="inlineStr"/>
      <c r="G99" s="25" t="inlineStr">
        <is>
          <t>Open</t>
        </is>
      </c>
      <c r="H99">
        <f>IFERROR(HYPERLINK("#Main!A"&amp;MATCH(A99,Main!A:A,0),"Open"),HYPERLINK("#Main!A1","Open"))</f>
        <v/>
      </c>
    </row>
    <row r="100" ht="30" customHeight="1">
      <c r="A100" s="33" t="inlineStr">
        <is>
          <t>https://africanmarketingconfederation.org/african-marketing-confederation-tourism-chapter/</t>
        </is>
      </c>
      <c r="B100" s="26" t="inlineStr">
        <is>
          <t>Multiple H1</t>
        </is>
      </c>
      <c r="C100" s="24" t="inlineStr">
        <is>
          <t>https://africanmarketingconfederation.org/african-marketing-confederation-tourism-chapter/::multiple_h1</t>
        </is>
      </c>
      <c r="D100" s="25" t="inlineStr">
        <is>
          <t>Warning</t>
        </is>
      </c>
      <c r="E100" s="24" t="inlineStr">
        <is>
          <t>Copy Writer</t>
        </is>
      </c>
      <c r="F100" s="24" t="inlineStr"/>
      <c r="G100" s="25" t="inlineStr">
        <is>
          <t>Open</t>
        </is>
      </c>
      <c r="H100">
        <f>IFERROR(HYPERLINK("#Main!A"&amp;MATCH(A100,Main!A:A,0),"Open"),HYPERLINK("#Main!A1","Open"))</f>
        <v/>
      </c>
    </row>
    <row r="101" ht="30" customHeight="1">
      <c r="A101" s="33" t="inlineStr">
        <is>
          <t>https://africanmarketingconfederation.org/african-marketing-confederation-tourism-chapter/</t>
        </is>
      </c>
      <c r="B101" s="26" t="inlineStr">
        <is>
          <t>Low AEO Readiness Score</t>
        </is>
      </c>
      <c r="C101" s="6" t="inlineStr">
        <is>
          <t>https://africanmarketingconfederation.org/african-marketing-confederation-tourism-chapter/::low_aeo_readiness_score</t>
        </is>
      </c>
      <c r="D101" s="25" t="inlineStr">
        <is>
          <t>Warning</t>
        </is>
      </c>
      <c r="E101" s="6" t="inlineStr">
        <is>
          <t>Copy Writer</t>
        </is>
      </c>
      <c r="F101" s="6" t="inlineStr"/>
      <c r="G101" s="25" t="inlineStr">
        <is>
          <t>Open</t>
        </is>
      </c>
      <c r="H101">
        <f>IFERROR(HYPERLINK("#Main!A"&amp;MATCH(A101,Main!A:A,0),"Open"),HYPERLINK("#Main!A1","Open"))</f>
        <v/>
      </c>
    </row>
    <row r="102" ht="30" customHeight="1">
      <c r="A102" s="33" t="inlineStr">
        <is>
          <t>https://africanmarketingconfederation.org/african-marketing-confederation-tourism-chapter/</t>
        </is>
      </c>
      <c r="B102" s="26" t="inlineStr">
        <is>
          <t>No Compression Header</t>
        </is>
      </c>
      <c r="C102" s="24" t="inlineStr">
        <is>
          <t>https://africanmarketingconfederation.org/african-marketing-confederation-tourism-chapter/::no_compression_header</t>
        </is>
      </c>
      <c r="D102" s="29" t="inlineStr">
        <is>
          <t>Info</t>
        </is>
      </c>
      <c r="E102" s="24" t="inlineStr">
        <is>
          <t>Server/Host</t>
        </is>
      </c>
      <c r="F102" s="24" t="inlineStr"/>
      <c r="G102" s="25" t="inlineStr">
        <is>
          <t>Open</t>
        </is>
      </c>
      <c r="H102">
        <f>IFERROR(HYPERLINK("#Main!A"&amp;MATCH(A102,Main!A:A,0),"Open"),HYPERLINK("#Main!A1","Open"))</f>
        <v/>
      </c>
    </row>
    <row r="103" ht="30" customHeight="1">
      <c r="A103" s="33" t="inlineStr">
        <is>
          <t>https://africanmarketingconfederation.org/african-marketing-confederation-tourism-chapter/</t>
        </is>
      </c>
      <c r="B103" s="26" t="inlineStr">
        <is>
          <t>No Cache-Control Header</t>
        </is>
      </c>
      <c r="C103" s="6" t="inlineStr">
        <is>
          <t>https://africanmarketingconfederation.org/african-marketing-confederation-tourism-chapter/::no_cache-control_header</t>
        </is>
      </c>
      <c r="D103" s="29" t="inlineStr">
        <is>
          <t>Info</t>
        </is>
      </c>
      <c r="E103" s="6" t="inlineStr">
        <is>
          <t>Server/Host</t>
        </is>
      </c>
      <c r="F103" s="6" t="inlineStr"/>
      <c r="G103" s="25" t="inlineStr">
        <is>
          <t>Open</t>
        </is>
      </c>
      <c r="H103">
        <f>IFERROR(HYPERLINK("#Main!A"&amp;MATCH(A103,Main!A:A,0),"Open"),HYPERLINK("#Main!A1","Open"))</f>
        <v/>
      </c>
    </row>
    <row r="104" ht="30" customHeight="1">
      <c r="A104" s="33" t="inlineStr">
        <is>
          <t>https://africanmarketingconfederation.org/african-marketing-confederation-tourism-chapter/</t>
        </is>
      </c>
      <c r="B104" s="26" t="inlineStr">
        <is>
          <t>No ETag Header</t>
        </is>
      </c>
      <c r="C104" s="24" t="inlineStr">
        <is>
          <t>https://africanmarketingconfederation.org/african-marketing-confederation-tourism-chapter/::no_etag_header</t>
        </is>
      </c>
      <c r="D104" s="29" t="inlineStr">
        <is>
          <t>Info</t>
        </is>
      </c>
      <c r="E104" s="24" t="inlineStr">
        <is>
          <t>Server/Host</t>
        </is>
      </c>
      <c r="F104" s="24" t="inlineStr"/>
      <c r="G104" s="25" t="inlineStr">
        <is>
          <t>Open</t>
        </is>
      </c>
      <c r="H104">
        <f>IFERROR(HYPERLINK("#Main!A"&amp;MATCH(A104,Main!A:A,0),"Open"),HYPERLINK("#Main!A1","Open"))</f>
        <v/>
      </c>
    </row>
    <row r="105" ht="30" customHeight="1">
      <c r="A105" s="33" t="inlineStr">
        <is>
          <t>https://africanmarketingconfederation.org/african-marketing-confederation-tourism-chapter/</t>
        </is>
      </c>
      <c r="B105" s="26" t="inlineStr">
        <is>
          <t>No FAQ/QA Schema</t>
        </is>
      </c>
      <c r="C105" s="6" t="inlineStr">
        <is>
          <t>https://africanmarketingconfederation.org/african-marketing-confederation-tourism-chapter/::no_faq_qa_schema</t>
        </is>
      </c>
      <c r="D105" s="29" t="inlineStr">
        <is>
          <t>Info</t>
        </is>
      </c>
      <c r="E105" s="6" t="inlineStr">
        <is>
          <t>Dev</t>
        </is>
      </c>
      <c r="F105" s="6" t="inlineStr"/>
      <c r="G105" s="25" t="inlineStr">
        <is>
          <t>Open</t>
        </is>
      </c>
      <c r="H105">
        <f>IFERROR(HYPERLINK("#Main!A"&amp;MATCH(A105,Main!A:A,0),"Open"),HYPERLINK("#Main!A1","Open"))</f>
        <v/>
      </c>
    </row>
    <row r="106" ht="30" customHeight="1">
      <c r="A106" s="33" t="inlineStr">
        <is>
          <t>https://africanmarketingconfederation.org/african-marketing-confederation-tourism-chapter/</t>
        </is>
      </c>
      <c r="B106" s="26" t="inlineStr">
        <is>
          <t>No Question Headings</t>
        </is>
      </c>
      <c r="C106" s="24" t="inlineStr">
        <is>
          <t>https://africanmarketingconfederation.org/african-marketing-confederation-tourism-chapter/::no_question_headings</t>
        </is>
      </c>
      <c r="D106" s="29" t="inlineStr">
        <is>
          <t>Info</t>
        </is>
      </c>
      <c r="E106" s="24" t="inlineStr">
        <is>
          <t>Copy Writer</t>
        </is>
      </c>
      <c r="F106" s="24" t="inlineStr"/>
      <c r="G106" s="25" t="inlineStr">
        <is>
          <t>Open</t>
        </is>
      </c>
      <c r="H106">
        <f>IFERROR(HYPERLINK("#Main!A"&amp;MATCH(A106,Main!A:A,0),"Open"),HYPERLINK("#Main!A1","Open"))</f>
        <v/>
      </c>
    </row>
    <row r="107" ht="30" customHeight="1">
      <c r="A107" s="33" t="inlineStr">
        <is>
          <t>https://africanmarketingconfederation.org/african-marketing-confederation-tourism-chapter/</t>
        </is>
      </c>
      <c r="B107" s="26" t="inlineStr">
        <is>
          <t>No Answer-Friendly Structure</t>
        </is>
      </c>
      <c r="C107" s="6" t="inlineStr">
        <is>
          <t>https://africanmarketingconfederation.org/african-marketing-confederation-tourism-chapter/::no_answer-friendly_structure</t>
        </is>
      </c>
      <c r="D107" s="29" t="inlineStr">
        <is>
          <t>Info</t>
        </is>
      </c>
      <c r="E107" s="6" t="inlineStr">
        <is>
          <t>Copy Writer</t>
        </is>
      </c>
      <c r="F107" s="6" t="inlineStr"/>
      <c r="G107" s="25" t="inlineStr">
        <is>
          <t>Open</t>
        </is>
      </c>
      <c r="H107">
        <f>IFERROR(HYPERLINK("#Main!A"&amp;MATCH(A107,Main!A:A,0),"Open"),HYPERLINK("#Main!A1","Open"))</f>
        <v/>
      </c>
    </row>
    <row r="108" ht="30" customHeight="1">
      <c r="A108" s="33" t="inlineStr">
        <is>
          <t>https://africanmarketingconfederation.org/african-marketing-confederation-tourism-chapter/</t>
        </is>
      </c>
      <c r="B108" s="26" t="inlineStr">
        <is>
          <t>No 40-60 Word Answer Paragraphs</t>
        </is>
      </c>
      <c r="C108" s="24" t="inlineStr">
        <is>
          <t>https://africanmarketingconfederation.org/african-marketing-confederation-tourism-chapter/::no_40-60_word_answer_paragraphs</t>
        </is>
      </c>
      <c r="D108" s="29" t="inlineStr">
        <is>
          <t>Info</t>
        </is>
      </c>
      <c r="E108" s="24" t="inlineStr">
        <is>
          <t>Copy Writer</t>
        </is>
      </c>
      <c r="F108" s="24" t="inlineStr"/>
      <c r="G108" s="25" t="inlineStr">
        <is>
          <t>Open</t>
        </is>
      </c>
      <c r="H108">
        <f>IFERROR(HYPERLINK("#Main!A"&amp;MATCH(A108,Main!A:A,0),"Open"),HYPERLINK("#Main!A1","Open"))</f>
        <v/>
      </c>
    </row>
    <row r="109" ht="30" customHeight="1">
      <c r="A109" s="33" t="inlineStr">
        <is>
          <t>https://africanmarketingconfederation.org/sub-committees/</t>
        </is>
      </c>
      <c r="B109" s="26" t="inlineStr">
        <is>
          <t>Low AEO Readiness Score</t>
        </is>
      </c>
      <c r="C109" s="6" t="inlineStr">
        <is>
          <t>https://africanmarketingconfederation.org/sub-committees/::low_aeo_readiness_score</t>
        </is>
      </c>
      <c r="D109" s="25" t="inlineStr">
        <is>
          <t>Warning</t>
        </is>
      </c>
      <c r="E109" s="6" t="inlineStr">
        <is>
          <t>Copy Writer</t>
        </is>
      </c>
      <c r="F109" s="6" t="inlineStr"/>
      <c r="G109" s="25" t="inlineStr">
        <is>
          <t>Open</t>
        </is>
      </c>
      <c r="H109">
        <f>IFERROR(HYPERLINK("#Main!A"&amp;MATCH(A109,Main!A:A,0),"Open"),HYPERLINK("#Main!A1","Open"))</f>
        <v/>
      </c>
    </row>
    <row r="110" ht="30" customHeight="1">
      <c r="A110" s="33" t="inlineStr">
        <is>
          <t>https://africanmarketingconfederation.org/sub-committees/</t>
        </is>
      </c>
      <c r="B110" s="26" t="inlineStr">
        <is>
          <t>No Compression Header</t>
        </is>
      </c>
      <c r="C110" s="24" t="inlineStr">
        <is>
          <t>https://africanmarketingconfederation.org/sub-committees/::no_compression_header</t>
        </is>
      </c>
      <c r="D110" s="29" t="inlineStr">
        <is>
          <t>Info</t>
        </is>
      </c>
      <c r="E110" s="24" t="inlineStr">
        <is>
          <t>Server/Host</t>
        </is>
      </c>
      <c r="F110" s="24" t="inlineStr"/>
      <c r="G110" s="25" t="inlineStr">
        <is>
          <t>Open</t>
        </is>
      </c>
      <c r="H110">
        <f>IFERROR(HYPERLINK("#Main!A"&amp;MATCH(A110,Main!A:A,0),"Open"),HYPERLINK("#Main!A1","Open"))</f>
        <v/>
      </c>
    </row>
    <row r="111" ht="30" customHeight="1">
      <c r="A111" s="33" t="inlineStr">
        <is>
          <t>https://africanmarketingconfederation.org/sub-committees/</t>
        </is>
      </c>
      <c r="B111" s="26" t="inlineStr">
        <is>
          <t>No Cache-Control Header</t>
        </is>
      </c>
      <c r="C111" s="6" t="inlineStr">
        <is>
          <t>https://africanmarketingconfederation.org/sub-committees/::no_cache-control_header</t>
        </is>
      </c>
      <c r="D111" s="29" t="inlineStr">
        <is>
          <t>Info</t>
        </is>
      </c>
      <c r="E111" s="6" t="inlineStr">
        <is>
          <t>Server/Host</t>
        </is>
      </c>
      <c r="F111" s="6" t="inlineStr"/>
      <c r="G111" s="25" t="inlineStr">
        <is>
          <t>Open</t>
        </is>
      </c>
      <c r="H111">
        <f>IFERROR(HYPERLINK("#Main!A"&amp;MATCH(A111,Main!A:A,0),"Open"),HYPERLINK("#Main!A1","Open"))</f>
        <v/>
      </c>
    </row>
    <row r="112" ht="30" customHeight="1">
      <c r="A112" s="33" t="inlineStr">
        <is>
          <t>https://africanmarketingconfederation.org/sub-committees/</t>
        </is>
      </c>
      <c r="B112" s="26" t="inlineStr">
        <is>
          <t>No ETag Header</t>
        </is>
      </c>
      <c r="C112" s="24" t="inlineStr">
        <is>
          <t>https://africanmarketingconfederation.org/sub-committees/::no_etag_header</t>
        </is>
      </c>
      <c r="D112" s="29" t="inlineStr">
        <is>
          <t>Info</t>
        </is>
      </c>
      <c r="E112" s="24" t="inlineStr">
        <is>
          <t>Server/Host</t>
        </is>
      </c>
      <c r="F112" s="24" t="inlineStr"/>
      <c r="G112" s="25" t="inlineStr">
        <is>
          <t>Open</t>
        </is>
      </c>
      <c r="H112">
        <f>IFERROR(HYPERLINK("#Main!A"&amp;MATCH(A112,Main!A:A,0),"Open"),HYPERLINK("#Main!A1","Open"))</f>
        <v/>
      </c>
    </row>
    <row r="113" ht="30" customHeight="1">
      <c r="A113" s="33" t="inlineStr">
        <is>
          <t>https://africanmarketingconfederation.org/sub-committees/</t>
        </is>
      </c>
      <c r="B113" s="26" t="inlineStr">
        <is>
          <t>No FAQ/QA Schema</t>
        </is>
      </c>
      <c r="C113" s="6" t="inlineStr">
        <is>
          <t>https://africanmarketingconfederation.org/sub-committees/::no_faq_qa_schema</t>
        </is>
      </c>
      <c r="D113" s="29" t="inlineStr">
        <is>
          <t>Info</t>
        </is>
      </c>
      <c r="E113" s="6" t="inlineStr">
        <is>
          <t>Dev</t>
        </is>
      </c>
      <c r="F113" s="6" t="inlineStr"/>
      <c r="G113" s="25" t="inlineStr">
        <is>
          <t>Open</t>
        </is>
      </c>
      <c r="H113">
        <f>IFERROR(HYPERLINK("#Main!A"&amp;MATCH(A113,Main!A:A,0),"Open"),HYPERLINK("#Main!A1","Open"))</f>
        <v/>
      </c>
    </row>
    <row r="114" ht="30" customHeight="1">
      <c r="A114" s="33" t="inlineStr">
        <is>
          <t>https://africanmarketingconfederation.org/sub-committees/</t>
        </is>
      </c>
      <c r="B114" s="26" t="inlineStr">
        <is>
          <t>No Question Headings</t>
        </is>
      </c>
      <c r="C114" s="24" t="inlineStr">
        <is>
          <t>https://africanmarketingconfederation.org/sub-committees/::no_question_headings</t>
        </is>
      </c>
      <c r="D114" s="29" t="inlineStr">
        <is>
          <t>Info</t>
        </is>
      </c>
      <c r="E114" s="24" t="inlineStr">
        <is>
          <t>Copy Writer</t>
        </is>
      </c>
      <c r="F114" s="24" t="inlineStr"/>
      <c r="G114" s="25" t="inlineStr">
        <is>
          <t>Open</t>
        </is>
      </c>
      <c r="H114">
        <f>IFERROR(HYPERLINK("#Main!A"&amp;MATCH(A114,Main!A:A,0),"Open"),HYPERLINK("#Main!A1","Open"))</f>
        <v/>
      </c>
    </row>
    <row r="115" ht="30" customHeight="1">
      <c r="A115" s="33" t="inlineStr">
        <is>
          <t>https://africanmarketingconfederation.org/sub-committees/</t>
        </is>
      </c>
      <c r="B115" s="26" t="inlineStr">
        <is>
          <t>No Answer-Friendly Structure</t>
        </is>
      </c>
      <c r="C115" s="6" t="inlineStr">
        <is>
          <t>https://africanmarketingconfederation.org/sub-committees/::no_answer-friendly_structure</t>
        </is>
      </c>
      <c r="D115" s="29" t="inlineStr">
        <is>
          <t>Info</t>
        </is>
      </c>
      <c r="E115" s="6" t="inlineStr">
        <is>
          <t>Copy Writer</t>
        </is>
      </c>
      <c r="F115" s="6" t="inlineStr"/>
      <c r="G115" s="25" t="inlineStr">
        <is>
          <t>Open</t>
        </is>
      </c>
      <c r="H115">
        <f>IFERROR(HYPERLINK("#Main!A"&amp;MATCH(A115,Main!A:A,0),"Open"),HYPERLINK("#Main!A1","Open"))</f>
        <v/>
      </c>
    </row>
    <row r="116" ht="30" customHeight="1">
      <c r="A116" s="33" t="inlineStr">
        <is>
          <t>https://africanmarketingconfederation.org/sub-committees/</t>
        </is>
      </c>
      <c r="B116" s="26" t="inlineStr">
        <is>
          <t>No 40-60 Word Answer Paragraphs</t>
        </is>
      </c>
      <c r="C116" s="24" t="inlineStr">
        <is>
          <t>https://africanmarketingconfederation.org/sub-committees/::no_40-60_word_answer_paragraphs</t>
        </is>
      </c>
      <c r="D116" s="29" t="inlineStr">
        <is>
          <t>Info</t>
        </is>
      </c>
      <c r="E116" s="24" t="inlineStr">
        <is>
          <t>Copy Writer</t>
        </is>
      </c>
      <c r="F116" s="24" t="inlineStr"/>
      <c r="G116" s="25" t="inlineStr">
        <is>
          <t>Open</t>
        </is>
      </c>
      <c r="H116">
        <f>IFERROR(HYPERLINK("#Main!A"&amp;MATCH(A116,Main!A:A,0),"Open"),HYPERLINK("#Main!A1","Open"))</f>
        <v/>
      </c>
    </row>
    <row r="117" ht="30" customHeight="1">
      <c r="A117" s="33" t="inlineStr">
        <is>
          <t>https://africanmarketingconfederation.org/members/</t>
        </is>
      </c>
      <c r="B117" s="26" t="inlineStr">
        <is>
          <t>Low AEO Readiness Score</t>
        </is>
      </c>
      <c r="C117" s="6" t="inlineStr">
        <is>
          <t>https://africanmarketingconfederation.org/members/::low_aeo_readiness_score</t>
        </is>
      </c>
      <c r="D117" s="25" t="inlineStr">
        <is>
          <t>Warning</t>
        </is>
      </c>
      <c r="E117" s="6" t="inlineStr">
        <is>
          <t>Copy Writer</t>
        </is>
      </c>
      <c r="F117" s="6" t="inlineStr"/>
      <c r="G117" s="25" t="inlineStr">
        <is>
          <t>Open</t>
        </is>
      </c>
      <c r="H117">
        <f>IFERROR(HYPERLINK("#Main!A"&amp;MATCH(A117,Main!A:A,0),"Open"),HYPERLINK("#Main!A1","Open"))</f>
        <v/>
      </c>
    </row>
    <row r="118" ht="30" customHeight="1">
      <c r="A118" s="33" t="inlineStr">
        <is>
          <t>https://africanmarketingconfederation.org/members/</t>
        </is>
      </c>
      <c r="B118" s="26" t="inlineStr">
        <is>
          <t>No Compression Header</t>
        </is>
      </c>
      <c r="C118" s="24" t="inlineStr">
        <is>
          <t>https://africanmarketingconfederation.org/members/::no_compression_header</t>
        </is>
      </c>
      <c r="D118" s="29" t="inlineStr">
        <is>
          <t>Info</t>
        </is>
      </c>
      <c r="E118" s="24" t="inlineStr">
        <is>
          <t>Server/Host</t>
        </is>
      </c>
      <c r="F118" s="24" t="inlineStr"/>
      <c r="G118" s="25" t="inlineStr">
        <is>
          <t>Open</t>
        </is>
      </c>
      <c r="H118">
        <f>IFERROR(HYPERLINK("#Main!A"&amp;MATCH(A118,Main!A:A,0),"Open"),HYPERLINK("#Main!A1","Open"))</f>
        <v/>
      </c>
    </row>
    <row r="119" ht="30" customHeight="1">
      <c r="A119" s="33" t="inlineStr">
        <is>
          <t>https://africanmarketingconfederation.org/members/</t>
        </is>
      </c>
      <c r="B119" s="26" t="inlineStr">
        <is>
          <t>No Cache-Control Header</t>
        </is>
      </c>
      <c r="C119" s="6" t="inlineStr">
        <is>
          <t>https://africanmarketingconfederation.org/members/::no_cache-control_header</t>
        </is>
      </c>
      <c r="D119" s="29" t="inlineStr">
        <is>
          <t>Info</t>
        </is>
      </c>
      <c r="E119" s="6" t="inlineStr">
        <is>
          <t>Server/Host</t>
        </is>
      </c>
      <c r="F119" s="6" t="inlineStr"/>
      <c r="G119" s="25" t="inlineStr">
        <is>
          <t>Open</t>
        </is>
      </c>
      <c r="H119">
        <f>IFERROR(HYPERLINK("#Main!A"&amp;MATCH(A119,Main!A:A,0),"Open"),HYPERLINK("#Main!A1","Open"))</f>
        <v/>
      </c>
    </row>
    <row r="120" ht="30" customHeight="1">
      <c r="A120" s="33" t="inlineStr">
        <is>
          <t>https://africanmarketingconfederation.org/members/</t>
        </is>
      </c>
      <c r="B120" s="26" t="inlineStr">
        <is>
          <t>No ETag Header</t>
        </is>
      </c>
      <c r="C120" s="24" t="inlineStr">
        <is>
          <t>https://africanmarketingconfederation.org/members/::no_etag_header</t>
        </is>
      </c>
      <c r="D120" s="29" t="inlineStr">
        <is>
          <t>Info</t>
        </is>
      </c>
      <c r="E120" s="24" t="inlineStr">
        <is>
          <t>Server/Host</t>
        </is>
      </c>
      <c r="F120" s="24" t="inlineStr"/>
      <c r="G120" s="25" t="inlineStr">
        <is>
          <t>Open</t>
        </is>
      </c>
      <c r="H120">
        <f>IFERROR(HYPERLINK("#Main!A"&amp;MATCH(A120,Main!A:A,0),"Open"),HYPERLINK("#Main!A1","Open"))</f>
        <v/>
      </c>
    </row>
    <row r="121" ht="30" customHeight="1">
      <c r="A121" s="33" t="inlineStr">
        <is>
          <t>https://africanmarketingconfederation.org/members/</t>
        </is>
      </c>
      <c r="B121" s="26" t="inlineStr">
        <is>
          <t>No FAQ/QA Schema</t>
        </is>
      </c>
      <c r="C121" s="6" t="inlineStr">
        <is>
          <t>https://africanmarketingconfederation.org/members/::no_faq_qa_schema</t>
        </is>
      </c>
      <c r="D121" s="29" t="inlineStr">
        <is>
          <t>Info</t>
        </is>
      </c>
      <c r="E121" s="6" t="inlineStr">
        <is>
          <t>Dev</t>
        </is>
      </c>
      <c r="F121" s="6" t="inlineStr"/>
      <c r="G121" s="25" t="inlineStr">
        <is>
          <t>Open</t>
        </is>
      </c>
      <c r="H121">
        <f>IFERROR(HYPERLINK("#Main!A"&amp;MATCH(A121,Main!A:A,0),"Open"),HYPERLINK("#Main!A1","Open"))</f>
        <v/>
      </c>
    </row>
    <row r="122" ht="30" customHeight="1">
      <c r="A122" s="33" t="inlineStr">
        <is>
          <t>https://africanmarketingconfederation.org/members/</t>
        </is>
      </c>
      <c r="B122" s="26" t="inlineStr">
        <is>
          <t>No Question Headings</t>
        </is>
      </c>
      <c r="C122" s="24" t="inlineStr">
        <is>
          <t>https://africanmarketingconfederation.org/members/::no_question_headings</t>
        </is>
      </c>
      <c r="D122" s="29" t="inlineStr">
        <is>
          <t>Info</t>
        </is>
      </c>
      <c r="E122" s="24" t="inlineStr">
        <is>
          <t>Copy Writer</t>
        </is>
      </c>
      <c r="F122" s="24" t="inlineStr"/>
      <c r="G122" s="25" t="inlineStr">
        <is>
          <t>Open</t>
        </is>
      </c>
      <c r="H122">
        <f>IFERROR(HYPERLINK("#Main!A"&amp;MATCH(A122,Main!A:A,0),"Open"),HYPERLINK("#Main!A1","Open"))</f>
        <v/>
      </c>
    </row>
    <row r="123" ht="30" customHeight="1">
      <c r="A123" s="33" t="inlineStr">
        <is>
          <t>https://africanmarketingconfederation.org/members/</t>
        </is>
      </c>
      <c r="B123" s="26" t="inlineStr">
        <is>
          <t>No Answer-Friendly Structure</t>
        </is>
      </c>
      <c r="C123" s="6" t="inlineStr">
        <is>
          <t>https://africanmarketingconfederation.org/members/::no_answer-friendly_structure</t>
        </is>
      </c>
      <c r="D123" s="29" t="inlineStr">
        <is>
          <t>Info</t>
        </is>
      </c>
      <c r="E123" s="6" t="inlineStr">
        <is>
          <t>Copy Writer</t>
        </is>
      </c>
      <c r="F123" s="6" t="inlineStr"/>
      <c r="G123" s="25" t="inlineStr">
        <is>
          <t>Open</t>
        </is>
      </c>
      <c r="H123">
        <f>IFERROR(HYPERLINK("#Main!A"&amp;MATCH(A123,Main!A:A,0),"Open"),HYPERLINK("#Main!A1","Open"))</f>
        <v/>
      </c>
    </row>
    <row r="124" ht="30" customHeight="1">
      <c r="A124" s="33" t="inlineStr">
        <is>
          <t>https://africanmarketingconfederation.org/members/</t>
        </is>
      </c>
      <c r="B124" s="26" t="inlineStr">
        <is>
          <t>No 40-60 Word Answer Paragraphs</t>
        </is>
      </c>
      <c r="C124" s="24" t="inlineStr">
        <is>
          <t>https://africanmarketingconfederation.org/members/::no_40-60_word_answer_paragraphs</t>
        </is>
      </c>
      <c r="D124" s="29" t="inlineStr">
        <is>
          <t>Info</t>
        </is>
      </c>
      <c r="E124" s="24" t="inlineStr">
        <is>
          <t>Copy Writer</t>
        </is>
      </c>
      <c r="F124" s="24" t="inlineStr"/>
      <c r="G124" s="25" t="inlineStr">
        <is>
          <t>Open</t>
        </is>
      </c>
      <c r="H124">
        <f>IFERROR(HYPERLINK("#Main!A"&amp;MATCH(A124,Main!A:A,0),"Open"),HYPERLINK("#Main!A1","Open"))</f>
        <v/>
      </c>
    </row>
    <row r="125" ht="30" customHeight="1">
      <c r="A125" s="33" t="inlineStr">
        <is>
          <t>https://africanmarketingconfederation.org/about-us/</t>
        </is>
      </c>
      <c r="B125" s="26" t="inlineStr">
        <is>
          <t>Thin Content</t>
        </is>
      </c>
      <c r="C125" s="6" t="inlineStr">
        <is>
          <t>https://africanmarketingconfederation.org/about-us/::thin_content</t>
        </is>
      </c>
      <c r="D125" s="25" t="inlineStr">
        <is>
          <t>Warning</t>
        </is>
      </c>
      <c r="E125" s="6" t="inlineStr">
        <is>
          <t>Copy Writer</t>
        </is>
      </c>
      <c r="F125" s="6" t="inlineStr"/>
      <c r="G125" s="25" t="inlineStr">
        <is>
          <t>Open</t>
        </is>
      </c>
      <c r="H125">
        <f>IFERROR(HYPERLINK("#Main!A"&amp;MATCH(A125,Main!A:A,0),"Open"),HYPERLINK("#Main!A1","Open"))</f>
        <v/>
      </c>
    </row>
    <row r="126" ht="30" customHeight="1">
      <c r="A126" s="33" t="inlineStr">
        <is>
          <t>https://africanmarketingconfederation.org/about-us/</t>
        </is>
      </c>
      <c r="B126" s="26" t="inlineStr">
        <is>
          <t>Low AEO Readiness Score</t>
        </is>
      </c>
      <c r="C126" s="24" t="inlineStr">
        <is>
          <t>https://africanmarketingconfederation.org/about-us/::low_aeo_readiness_score</t>
        </is>
      </c>
      <c r="D126" s="25" t="inlineStr">
        <is>
          <t>Warning</t>
        </is>
      </c>
      <c r="E126" s="24" t="inlineStr">
        <is>
          <t>Copy Writer</t>
        </is>
      </c>
      <c r="F126" s="24" t="inlineStr"/>
      <c r="G126" s="25" t="inlineStr">
        <is>
          <t>Open</t>
        </is>
      </c>
      <c r="H126">
        <f>IFERROR(HYPERLINK("#Main!A"&amp;MATCH(A126,Main!A:A,0),"Open"),HYPERLINK("#Main!A1","Open"))</f>
        <v/>
      </c>
    </row>
    <row r="127" ht="30" customHeight="1">
      <c r="A127" s="33" t="inlineStr">
        <is>
          <t>https://africanmarketingconfederation.org/about-us/</t>
        </is>
      </c>
      <c r="B127" s="26" t="inlineStr">
        <is>
          <t>No Compression Header</t>
        </is>
      </c>
      <c r="C127" s="6" t="inlineStr">
        <is>
          <t>https://africanmarketingconfederation.org/about-us/::no_compression_header</t>
        </is>
      </c>
      <c r="D127" s="29" t="inlineStr">
        <is>
          <t>Info</t>
        </is>
      </c>
      <c r="E127" s="6" t="inlineStr">
        <is>
          <t>Server/Host</t>
        </is>
      </c>
      <c r="F127" s="6" t="inlineStr"/>
      <c r="G127" s="25" t="inlineStr">
        <is>
          <t>Open</t>
        </is>
      </c>
      <c r="H127">
        <f>IFERROR(HYPERLINK("#Main!A"&amp;MATCH(A127,Main!A:A,0),"Open"),HYPERLINK("#Main!A1","Open"))</f>
        <v/>
      </c>
    </row>
    <row r="128" ht="30" customHeight="1">
      <c r="A128" s="33" t="inlineStr">
        <is>
          <t>https://africanmarketingconfederation.org/about-us/</t>
        </is>
      </c>
      <c r="B128" s="26" t="inlineStr">
        <is>
          <t>No Cache-Control Header</t>
        </is>
      </c>
      <c r="C128" s="24" t="inlineStr">
        <is>
          <t>https://africanmarketingconfederation.org/about-us/::no_cache-control_header</t>
        </is>
      </c>
      <c r="D128" s="29" t="inlineStr">
        <is>
          <t>Info</t>
        </is>
      </c>
      <c r="E128" s="24" t="inlineStr">
        <is>
          <t>Server/Host</t>
        </is>
      </c>
      <c r="F128" s="24" t="inlineStr"/>
      <c r="G128" s="25" t="inlineStr">
        <is>
          <t>Open</t>
        </is>
      </c>
      <c r="H128">
        <f>IFERROR(HYPERLINK("#Main!A"&amp;MATCH(A128,Main!A:A,0),"Open"),HYPERLINK("#Main!A1","Open"))</f>
        <v/>
      </c>
    </row>
    <row r="129" ht="30" customHeight="1">
      <c r="A129" s="33" t="inlineStr">
        <is>
          <t>https://africanmarketingconfederation.org/about-us/</t>
        </is>
      </c>
      <c r="B129" s="26" t="inlineStr">
        <is>
          <t>No ETag Header</t>
        </is>
      </c>
      <c r="C129" s="6" t="inlineStr">
        <is>
          <t>https://africanmarketingconfederation.org/about-us/::no_etag_header</t>
        </is>
      </c>
      <c r="D129" s="29" t="inlineStr">
        <is>
          <t>Info</t>
        </is>
      </c>
      <c r="E129" s="6" t="inlineStr">
        <is>
          <t>Server/Host</t>
        </is>
      </c>
      <c r="F129" s="6" t="inlineStr"/>
      <c r="G129" s="25" t="inlineStr">
        <is>
          <t>Open</t>
        </is>
      </c>
      <c r="H129">
        <f>IFERROR(HYPERLINK("#Main!A"&amp;MATCH(A129,Main!A:A,0),"Open"),HYPERLINK("#Main!A1","Open"))</f>
        <v/>
      </c>
    </row>
    <row r="130" ht="30" customHeight="1">
      <c r="A130" s="33" t="inlineStr">
        <is>
          <t>https://africanmarketingconfederation.org/about-us/</t>
        </is>
      </c>
      <c r="B130" s="26" t="inlineStr">
        <is>
          <t>No FAQ/QA Schema</t>
        </is>
      </c>
      <c r="C130" s="24" t="inlineStr">
        <is>
          <t>https://africanmarketingconfederation.org/about-us/::no_faq_qa_schema</t>
        </is>
      </c>
      <c r="D130" s="29" t="inlineStr">
        <is>
          <t>Info</t>
        </is>
      </c>
      <c r="E130" s="24" t="inlineStr">
        <is>
          <t>Dev</t>
        </is>
      </c>
      <c r="F130" s="24" t="inlineStr"/>
      <c r="G130" s="25" t="inlineStr">
        <is>
          <t>Open</t>
        </is>
      </c>
      <c r="H130">
        <f>IFERROR(HYPERLINK("#Main!A"&amp;MATCH(A130,Main!A:A,0),"Open"),HYPERLINK("#Main!A1","Open"))</f>
        <v/>
      </c>
    </row>
    <row r="131" ht="30" customHeight="1">
      <c r="A131" s="33" t="inlineStr">
        <is>
          <t>https://africanmarketingconfederation.org/about-us/</t>
        </is>
      </c>
      <c r="B131" s="26" t="inlineStr">
        <is>
          <t>No Question Headings</t>
        </is>
      </c>
      <c r="C131" s="6" t="inlineStr">
        <is>
          <t>https://africanmarketingconfederation.org/about-us/::no_question_headings</t>
        </is>
      </c>
      <c r="D131" s="29" t="inlineStr">
        <is>
          <t>Info</t>
        </is>
      </c>
      <c r="E131" s="6" t="inlineStr">
        <is>
          <t>Copy Writer</t>
        </is>
      </c>
      <c r="F131" s="6" t="inlineStr"/>
      <c r="G131" s="25" t="inlineStr">
        <is>
          <t>Open</t>
        </is>
      </c>
      <c r="H131">
        <f>IFERROR(HYPERLINK("#Main!A"&amp;MATCH(A131,Main!A:A,0),"Open"),HYPERLINK("#Main!A1","Open"))</f>
        <v/>
      </c>
    </row>
    <row r="132" ht="30" customHeight="1">
      <c r="A132" s="33" t="inlineStr">
        <is>
          <t>https://africanmarketingconfederation.org/about-us/</t>
        </is>
      </c>
      <c r="B132" s="26" t="inlineStr">
        <is>
          <t>No Answer-Friendly Structure</t>
        </is>
      </c>
      <c r="C132" s="24" t="inlineStr">
        <is>
          <t>https://africanmarketingconfederation.org/about-us/::no_answer-friendly_structure</t>
        </is>
      </c>
      <c r="D132" s="29" t="inlineStr">
        <is>
          <t>Info</t>
        </is>
      </c>
      <c r="E132" s="24" t="inlineStr">
        <is>
          <t>Copy Writer</t>
        </is>
      </c>
      <c r="F132" s="24" t="inlineStr"/>
      <c r="G132" s="25" t="inlineStr">
        <is>
          <t>Open</t>
        </is>
      </c>
      <c r="H132">
        <f>IFERROR(HYPERLINK("#Main!A"&amp;MATCH(A132,Main!A:A,0),"Open"),HYPERLINK("#Main!A1","Open"))</f>
        <v/>
      </c>
    </row>
    <row r="133" ht="30" customHeight="1">
      <c r="A133" s="33" t="inlineStr">
        <is>
          <t>https://africanmarketingconfederation.org/about-us/</t>
        </is>
      </c>
      <c r="B133" s="26" t="inlineStr">
        <is>
          <t>No 40-60 Word Answer Paragraphs</t>
        </is>
      </c>
      <c r="C133" s="6" t="inlineStr">
        <is>
          <t>https://africanmarketingconfederation.org/about-us/::no_40-60_word_answer_paragraphs</t>
        </is>
      </c>
      <c r="D133" s="29" t="inlineStr">
        <is>
          <t>Info</t>
        </is>
      </c>
      <c r="E133" s="6" t="inlineStr">
        <is>
          <t>Copy Writer</t>
        </is>
      </c>
      <c r="F133" s="6" t="inlineStr"/>
      <c r="G133" s="25" t="inlineStr">
        <is>
          <t>Open</t>
        </is>
      </c>
      <c r="H133">
        <f>IFERROR(HYPERLINK("#Main!A"&amp;MATCH(A133,Main!A:A,0),"Open"),HYPERLINK("#Main!A1","Open"))</f>
        <v/>
      </c>
    </row>
    <row r="134" ht="30" customHeight="1">
      <c r="A134" s="33" t="inlineStr">
        <is>
          <t>https://africanmarketingconfederation.org/awards-2026-1/</t>
        </is>
      </c>
      <c r="B134" s="26" t="inlineStr">
        <is>
          <t>Multiple H1</t>
        </is>
      </c>
      <c r="C134" s="24" t="inlineStr">
        <is>
          <t>https://africanmarketingconfederation.org/awards-2026-1/::multiple_h1</t>
        </is>
      </c>
      <c r="D134" s="25" t="inlineStr">
        <is>
          <t>Warning</t>
        </is>
      </c>
      <c r="E134" s="24" t="inlineStr">
        <is>
          <t>Copy Writer</t>
        </is>
      </c>
      <c r="F134" s="24" t="inlineStr"/>
      <c r="G134" s="25" t="inlineStr">
        <is>
          <t>Open</t>
        </is>
      </c>
      <c r="H134">
        <f>IFERROR(HYPERLINK("#Main!A"&amp;MATCH(A134,Main!A:A,0),"Open"),HYPERLINK("#Main!A1","Open"))</f>
        <v/>
      </c>
    </row>
    <row r="135" ht="30" customHeight="1">
      <c r="A135" s="33" t="inlineStr">
        <is>
          <t>https://africanmarketingconfederation.org/awards-2026-1/</t>
        </is>
      </c>
      <c r="B135" s="26" t="inlineStr">
        <is>
          <t>Low AEO Readiness Score</t>
        </is>
      </c>
      <c r="C135" s="6" t="inlineStr">
        <is>
          <t>https://africanmarketingconfederation.org/awards-2026-1/::low_aeo_readiness_score</t>
        </is>
      </c>
      <c r="D135" s="25" t="inlineStr">
        <is>
          <t>Warning</t>
        </is>
      </c>
      <c r="E135" s="6" t="inlineStr">
        <is>
          <t>Copy Writer</t>
        </is>
      </c>
      <c r="F135" s="6" t="inlineStr"/>
      <c r="G135" s="25" t="inlineStr">
        <is>
          <t>Open</t>
        </is>
      </c>
      <c r="H135">
        <f>IFERROR(HYPERLINK("#Main!A"&amp;MATCH(A135,Main!A:A,0),"Open"),HYPERLINK("#Main!A1","Open"))</f>
        <v/>
      </c>
    </row>
    <row r="136" ht="30" customHeight="1">
      <c r="A136" s="33" t="inlineStr">
        <is>
          <t>https://africanmarketingconfederation.org/awards-2026-1/</t>
        </is>
      </c>
      <c r="B136" s="26" t="inlineStr">
        <is>
          <t>No Compression Header</t>
        </is>
      </c>
      <c r="C136" s="24" t="inlineStr">
        <is>
          <t>https://africanmarketingconfederation.org/awards-2026-1/::no_compression_header</t>
        </is>
      </c>
      <c r="D136" s="29" t="inlineStr">
        <is>
          <t>Info</t>
        </is>
      </c>
      <c r="E136" s="24" t="inlineStr">
        <is>
          <t>Server/Host</t>
        </is>
      </c>
      <c r="F136" s="24" t="inlineStr"/>
      <c r="G136" s="25" t="inlineStr">
        <is>
          <t>Open</t>
        </is>
      </c>
      <c r="H136">
        <f>IFERROR(HYPERLINK("#Main!A"&amp;MATCH(A136,Main!A:A,0),"Open"),HYPERLINK("#Main!A1","Open"))</f>
        <v/>
      </c>
    </row>
    <row r="137" ht="30" customHeight="1">
      <c r="A137" s="33" t="inlineStr">
        <is>
          <t>https://africanmarketingconfederation.org/awards-2026-1/</t>
        </is>
      </c>
      <c r="B137" s="26" t="inlineStr">
        <is>
          <t>No Cache-Control Header</t>
        </is>
      </c>
      <c r="C137" s="6" t="inlineStr">
        <is>
          <t>https://africanmarketingconfederation.org/awards-2026-1/::no_cache-control_header</t>
        </is>
      </c>
      <c r="D137" s="29" t="inlineStr">
        <is>
          <t>Info</t>
        </is>
      </c>
      <c r="E137" s="6" t="inlineStr">
        <is>
          <t>Server/Host</t>
        </is>
      </c>
      <c r="F137" s="6" t="inlineStr"/>
      <c r="G137" s="25" t="inlineStr">
        <is>
          <t>Open</t>
        </is>
      </c>
      <c r="H137">
        <f>IFERROR(HYPERLINK("#Main!A"&amp;MATCH(A137,Main!A:A,0),"Open"),HYPERLINK("#Main!A1","Open"))</f>
        <v/>
      </c>
    </row>
    <row r="138" ht="30" customHeight="1">
      <c r="A138" s="33" t="inlineStr">
        <is>
          <t>https://africanmarketingconfederation.org/awards-2026-1/</t>
        </is>
      </c>
      <c r="B138" s="26" t="inlineStr">
        <is>
          <t>No ETag Header</t>
        </is>
      </c>
      <c r="C138" s="24" t="inlineStr">
        <is>
          <t>https://africanmarketingconfederation.org/awards-2026-1/::no_etag_header</t>
        </is>
      </c>
      <c r="D138" s="29" t="inlineStr">
        <is>
          <t>Info</t>
        </is>
      </c>
      <c r="E138" s="24" t="inlineStr">
        <is>
          <t>Server/Host</t>
        </is>
      </c>
      <c r="F138" s="24" t="inlineStr"/>
      <c r="G138" s="25" t="inlineStr">
        <is>
          <t>Open</t>
        </is>
      </c>
      <c r="H138">
        <f>IFERROR(HYPERLINK("#Main!A"&amp;MATCH(A138,Main!A:A,0),"Open"),HYPERLINK("#Main!A1","Open"))</f>
        <v/>
      </c>
    </row>
    <row r="139" ht="30" customHeight="1">
      <c r="A139" s="33" t="inlineStr">
        <is>
          <t>https://africanmarketingconfederation.org/awards-2026-1/</t>
        </is>
      </c>
      <c r="B139" s="26" t="inlineStr">
        <is>
          <t>No FAQ/QA Schema</t>
        </is>
      </c>
      <c r="C139" s="6" t="inlineStr">
        <is>
          <t>https://africanmarketingconfederation.org/awards-2026-1/::no_faq_qa_schema</t>
        </is>
      </c>
      <c r="D139" s="29" t="inlineStr">
        <is>
          <t>Info</t>
        </is>
      </c>
      <c r="E139" s="6" t="inlineStr">
        <is>
          <t>Dev</t>
        </is>
      </c>
      <c r="F139" s="6" t="inlineStr"/>
      <c r="G139" s="25" t="inlineStr">
        <is>
          <t>Open</t>
        </is>
      </c>
      <c r="H139">
        <f>IFERROR(HYPERLINK("#Main!A"&amp;MATCH(A139,Main!A:A,0),"Open"),HYPERLINK("#Main!A1","Open"))</f>
        <v/>
      </c>
    </row>
    <row r="140" ht="30" customHeight="1">
      <c r="A140" s="33" t="inlineStr">
        <is>
          <t>https://africanmarketingconfederation.org/awards-2026-1/</t>
        </is>
      </c>
      <c r="B140" s="26" t="inlineStr">
        <is>
          <t>No Question Headings</t>
        </is>
      </c>
      <c r="C140" s="24" t="inlineStr">
        <is>
          <t>https://africanmarketingconfederation.org/awards-2026-1/::no_question_headings</t>
        </is>
      </c>
      <c r="D140" s="29" t="inlineStr">
        <is>
          <t>Info</t>
        </is>
      </c>
      <c r="E140" s="24" t="inlineStr">
        <is>
          <t>Copy Writer</t>
        </is>
      </c>
      <c r="F140" s="24" t="inlineStr"/>
      <c r="G140" s="25" t="inlineStr">
        <is>
          <t>Open</t>
        </is>
      </c>
      <c r="H140">
        <f>IFERROR(HYPERLINK("#Main!A"&amp;MATCH(A140,Main!A:A,0),"Open"),HYPERLINK("#Main!A1","Open"))</f>
        <v/>
      </c>
    </row>
    <row r="141" ht="30" customHeight="1">
      <c r="A141" s="33" t="inlineStr">
        <is>
          <t>https://africanmarketingconfederation.org/awards-2026-1/</t>
        </is>
      </c>
      <c r="B141" s="26" t="inlineStr">
        <is>
          <t>No Answer-Friendly Structure</t>
        </is>
      </c>
      <c r="C141" s="6" t="inlineStr">
        <is>
          <t>https://africanmarketingconfederation.org/awards-2026-1/::no_answer-friendly_structure</t>
        </is>
      </c>
      <c r="D141" s="29" t="inlineStr">
        <is>
          <t>Info</t>
        </is>
      </c>
      <c r="E141" s="6" t="inlineStr">
        <is>
          <t>Copy Writer</t>
        </is>
      </c>
      <c r="F141" s="6" t="inlineStr"/>
      <c r="G141" s="25" t="inlineStr">
        <is>
          <t>Open</t>
        </is>
      </c>
      <c r="H141">
        <f>IFERROR(HYPERLINK("#Main!A"&amp;MATCH(A141,Main!A:A,0),"Open"),HYPERLINK("#Main!A1","Open"))</f>
        <v/>
      </c>
    </row>
    <row r="142" ht="30" customHeight="1">
      <c r="A142" s="33" t="inlineStr">
        <is>
          <t>https://africanmarketingconfederation.org/awards-2026-1/</t>
        </is>
      </c>
      <c r="B142" s="26" t="inlineStr">
        <is>
          <t>No 40-60 Word Answer Paragraphs</t>
        </is>
      </c>
      <c r="C142" s="24" t="inlineStr">
        <is>
          <t>https://africanmarketingconfederation.org/awards-2026-1/::no_40-60_word_answer_paragraphs</t>
        </is>
      </c>
      <c r="D142" s="29" t="inlineStr">
        <is>
          <t>Info</t>
        </is>
      </c>
      <c r="E142" s="24" t="inlineStr">
        <is>
          <t>Copy Writer</t>
        </is>
      </c>
      <c r="F142" s="24" t="inlineStr"/>
      <c r="G142" s="25" t="inlineStr">
        <is>
          <t>Open</t>
        </is>
      </c>
      <c r="H142">
        <f>IFERROR(HYPERLINK("#Main!A"&amp;MATCH(A142,Main!A:A,0),"Open"),HYPERLINK("#Main!A1","Open"))</f>
        <v/>
      </c>
    </row>
    <row r="143" ht="30" customHeight="1">
      <c r="A143" s="33" t="inlineStr">
        <is>
          <t>https://africanmarketingconfederation.org/awards-2026-test/</t>
        </is>
      </c>
      <c r="B143" s="26" t="inlineStr">
        <is>
          <t>Multiple H1</t>
        </is>
      </c>
      <c r="C143" s="6" t="inlineStr">
        <is>
          <t>https://africanmarketingconfederation.org/awards-2026-test/::multiple_h1</t>
        </is>
      </c>
      <c r="D143" s="25" t="inlineStr">
        <is>
          <t>Warning</t>
        </is>
      </c>
      <c r="E143" s="6" t="inlineStr">
        <is>
          <t>Copy Writer</t>
        </is>
      </c>
      <c r="F143" s="6" t="inlineStr"/>
      <c r="G143" s="25" t="inlineStr">
        <is>
          <t>Open</t>
        </is>
      </c>
      <c r="H143">
        <f>IFERROR(HYPERLINK("#Main!A"&amp;MATCH(A143,Main!A:A,0),"Open"),HYPERLINK("#Main!A1","Open"))</f>
        <v/>
      </c>
    </row>
    <row r="144" ht="30" customHeight="1">
      <c r="A144" s="33" t="inlineStr">
        <is>
          <t>https://africanmarketingconfederation.org/awards-2026-test/</t>
        </is>
      </c>
      <c r="B144" s="26" t="inlineStr">
        <is>
          <t>Low AEO Readiness Score</t>
        </is>
      </c>
      <c r="C144" s="24" t="inlineStr">
        <is>
          <t>https://africanmarketingconfederation.org/awards-2026-test/::low_aeo_readiness_score</t>
        </is>
      </c>
      <c r="D144" s="25" t="inlineStr">
        <is>
          <t>Warning</t>
        </is>
      </c>
      <c r="E144" s="24" t="inlineStr">
        <is>
          <t>Copy Writer</t>
        </is>
      </c>
      <c r="F144" s="24" t="inlineStr"/>
      <c r="G144" s="25" t="inlineStr">
        <is>
          <t>Open</t>
        </is>
      </c>
      <c r="H144">
        <f>IFERROR(HYPERLINK("#Main!A"&amp;MATCH(A144,Main!A:A,0),"Open"),HYPERLINK("#Main!A1","Open"))</f>
        <v/>
      </c>
    </row>
    <row r="145" ht="30" customHeight="1">
      <c r="A145" s="33" t="inlineStr">
        <is>
          <t>https://africanmarketingconfederation.org/awards-2026-test/</t>
        </is>
      </c>
      <c r="B145" s="26" t="inlineStr">
        <is>
          <t>No Compression Header</t>
        </is>
      </c>
      <c r="C145" s="6" t="inlineStr">
        <is>
          <t>https://africanmarketingconfederation.org/awards-2026-test/::no_compression_header</t>
        </is>
      </c>
      <c r="D145" s="29" t="inlineStr">
        <is>
          <t>Info</t>
        </is>
      </c>
      <c r="E145" s="6" t="inlineStr">
        <is>
          <t>Server/Host</t>
        </is>
      </c>
      <c r="F145" s="6" t="inlineStr"/>
      <c r="G145" s="25" t="inlineStr">
        <is>
          <t>Open</t>
        </is>
      </c>
      <c r="H145">
        <f>IFERROR(HYPERLINK("#Main!A"&amp;MATCH(A145,Main!A:A,0),"Open"),HYPERLINK("#Main!A1","Open"))</f>
        <v/>
      </c>
    </row>
    <row r="146" ht="30" customHeight="1">
      <c r="A146" s="33" t="inlineStr">
        <is>
          <t>https://africanmarketingconfederation.org/awards-2026-test/</t>
        </is>
      </c>
      <c r="B146" s="26" t="inlineStr">
        <is>
          <t>No Cache-Control Header</t>
        </is>
      </c>
      <c r="C146" s="24" t="inlineStr">
        <is>
          <t>https://africanmarketingconfederation.org/awards-2026-test/::no_cache-control_header</t>
        </is>
      </c>
      <c r="D146" s="29" t="inlineStr">
        <is>
          <t>Info</t>
        </is>
      </c>
      <c r="E146" s="24" t="inlineStr">
        <is>
          <t>Server/Host</t>
        </is>
      </c>
      <c r="F146" s="24" t="inlineStr"/>
      <c r="G146" s="25" t="inlineStr">
        <is>
          <t>Open</t>
        </is>
      </c>
      <c r="H146">
        <f>IFERROR(HYPERLINK("#Main!A"&amp;MATCH(A146,Main!A:A,0),"Open"),HYPERLINK("#Main!A1","Open"))</f>
        <v/>
      </c>
    </row>
    <row r="147" ht="30" customHeight="1">
      <c r="A147" s="33" t="inlineStr">
        <is>
          <t>https://africanmarketingconfederation.org/awards-2026-test/</t>
        </is>
      </c>
      <c r="B147" s="26" t="inlineStr">
        <is>
          <t>No ETag Header</t>
        </is>
      </c>
      <c r="C147" s="6" t="inlineStr">
        <is>
          <t>https://africanmarketingconfederation.org/awards-2026-test/::no_etag_header</t>
        </is>
      </c>
      <c r="D147" s="29" t="inlineStr">
        <is>
          <t>Info</t>
        </is>
      </c>
      <c r="E147" s="6" t="inlineStr">
        <is>
          <t>Server/Host</t>
        </is>
      </c>
      <c r="F147" s="6" t="inlineStr"/>
      <c r="G147" s="25" t="inlineStr">
        <is>
          <t>Open</t>
        </is>
      </c>
      <c r="H147">
        <f>IFERROR(HYPERLINK("#Main!A"&amp;MATCH(A147,Main!A:A,0),"Open"),HYPERLINK("#Main!A1","Open"))</f>
        <v/>
      </c>
    </row>
    <row r="148" ht="30" customHeight="1">
      <c r="A148" s="33" t="inlineStr">
        <is>
          <t>https://africanmarketingconfederation.org/awards-2026-test/</t>
        </is>
      </c>
      <c r="B148" s="26" t="inlineStr">
        <is>
          <t>No FAQ/QA Schema</t>
        </is>
      </c>
      <c r="C148" s="24" t="inlineStr">
        <is>
          <t>https://africanmarketingconfederation.org/awards-2026-test/::no_faq_qa_schema</t>
        </is>
      </c>
      <c r="D148" s="29" t="inlineStr">
        <is>
          <t>Info</t>
        </is>
      </c>
      <c r="E148" s="24" t="inlineStr">
        <is>
          <t>Dev</t>
        </is>
      </c>
      <c r="F148" s="24" t="inlineStr"/>
      <c r="G148" s="25" t="inlineStr">
        <is>
          <t>Open</t>
        </is>
      </c>
      <c r="H148">
        <f>IFERROR(HYPERLINK("#Main!A"&amp;MATCH(A148,Main!A:A,0),"Open"),HYPERLINK("#Main!A1","Open"))</f>
        <v/>
      </c>
    </row>
    <row r="149" ht="30" customHeight="1">
      <c r="A149" s="33" t="inlineStr">
        <is>
          <t>https://africanmarketingconfederation.org/awards-2026-test/</t>
        </is>
      </c>
      <c r="B149" s="26" t="inlineStr">
        <is>
          <t>No Question Headings</t>
        </is>
      </c>
      <c r="C149" s="6" t="inlineStr">
        <is>
          <t>https://africanmarketingconfederation.org/awards-2026-test/::no_question_headings</t>
        </is>
      </c>
      <c r="D149" s="29" t="inlineStr">
        <is>
          <t>Info</t>
        </is>
      </c>
      <c r="E149" s="6" t="inlineStr">
        <is>
          <t>Copy Writer</t>
        </is>
      </c>
      <c r="F149" s="6" t="inlineStr"/>
      <c r="G149" s="25" t="inlineStr">
        <is>
          <t>Open</t>
        </is>
      </c>
      <c r="H149">
        <f>IFERROR(HYPERLINK("#Main!A"&amp;MATCH(A149,Main!A:A,0),"Open"),HYPERLINK("#Main!A1","Open"))</f>
        <v/>
      </c>
    </row>
    <row r="150" ht="30" customHeight="1">
      <c r="A150" s="33" t="inlineStr">
        <is>
          <t>https://africanmarketingconfederation.org/awards-2026-test/</t>
        </is>
      </c>
      <c r="B150" s="26" t="inlineStr">
        <is>
          <t>No Answer-Friendly Structure</t>
        </is>
      </c>
      <c r="C150" s="24" t="inlineStr">
        <is>
          <t>https://africanmarketingconfederation.org/awards-2026-test/::no_answer-friendly_structure</t>
        </is>
      </c>
      <c r="D150" s="29" t="inlineStr">
        <is>
          <t>Info</t>
        </is>
      </c>
      <c r="E150" s="24" t="inlineStr">
        <is>
          <t>Copy Writer</t>
        </is>
      </c>
      <c r="F150" s="24" t="inlineStr"/>
      <c r="G150" s="25" t="inlineStr">
        <is>
          <t>Open</t>
        </is>
      </c>
      <c r="H150">
        <f>IFERROR(HYPERLINK("#Main!A"&amp;MATCH(A150,Main!A:A,0),"Open"),HYPERLINK("#Main!A1","Open"))</f>
        <v/>
      </c>
    </row>
    <row r="151" ht="30" customHeight="1">
      <c r="A151" s="33" t="inlineStr">
        <is>
          <t>https://africanmarketingconfederation.org/awards-2026-test/</t>
        </is>
      </c>
      <c r="B151" s="26" t="inlineStr">
        <is>
          <t>No 40-60 Word Answer Paragraphs</t>
        </is>
      </c>
      <c r="C151" s="6" t="inlineStr">
        <is>
          <t>https://africanmarketingconfederation.org/awards-2026-test/::no_40-60_word_answer_paragraphs</t>
        </is>
      </c>
      <c r="D151" s="29" t="inlineStr">
        <is>
          <t>Info</t>
        </is>
      </c>
      <c r="E151" s="6" t="inlineStr">
        <is>
          <t>Copy Writer</t>
        </is>
      </c>
      <c r="F151" s="6" t="inlineStr"/>
      <c r="G151" s="25" t="inlineStr">
        <is>
          <t>Open</t>
        </is>
      </c>
      <c r="H151">
        <f>IFERROR(HYPERLINK("#Main!A"&amp;MATCH(A151,Main!A:A,0),"Open"),HYPERLINK("#Main!A1","Open"))</f>
        <v/>
      </c>
    </row>
    <row r="152" ht="30" customHeight="1">
      <c r="A152" s="33" t="inlineStr">
        <is>
          <t>https://africanmarketingconfederation.org/amc-conference-2026-awards-nominations-thank-you/</t>
        </is>
      </c>
      <c r="B152" s="26" t="inlineStr">
        <is>
          <t>Multiple H1</t>
        </is>
      </c>
      <c r="C152" s="24" t="inlineStr">
        <is>
          <t>https://africanmarketingconfederation.org/amc-conference-2026-awards-nominations-thank-you/::multiple_h1</t>
        </is>
      </c>
      <c r="D152" s="25" t="inlineStr">
        <is>
          <t>Warning</t>
        </is>
      </c>
      <c r="E152" s="24" t="inlineStr">
        <is>
          <t>Copy Writer</t>
        </is>
      </c>
      <c r="F152" s="24" t="inlineStr"/>
      <c r="G152" s="25" t="inlineStr">
        <is>
          <t>Open</t>
        </is>
      </c>
      <c r="H152">
        <f>IFERROR(HYPERLINK("#Main!A"&amp;MATCH(A152,Main!A:A,0),"Open"),HYPERLINK("#Main!A1","Open"))</f>
        <v/>
      </c>
    </row>
    <row r="153" ht="30" customHeight="1">
      <c r="A153" s="33" t="inlineStr">
        <is>
          <t>https://africanmarketingconfederation.org/amc-conference-2026-awards-nominations-thank-you/</t>
        </is>
      </c>
      <c r="B153" s="26" t="inlineStr">
        <is>
          <t>Thin Content</t>
        </is>
      </c>
      <c r="C153" s="6" t="inlineStr">
        <is>
          <t>https://africanmarketingconfederation.org/amc-conference-2026-awards-nominations-thank-you/::thin_content</t>
        </is>
      </c>
      <c r="D153" s="25" t="inlineStr">
        <is>
          <t>Warning</t>
        </is>
      </c>
      <c r="E153" s="6" t="inlineStr">
        <is>
          <t>Copy Writer</t>
        </is>
      </c>
      <c r="F153" s="6" t="inlineStr"/>
      <c r="G153" s="25" t="inlineStr">
        <is>
          <t>Open</t>
        </is>
      </c>
      <c r="H153">
        <f>IFERROR(HYPERLINK("#Main!A"&amp;MATCH(A153,Main!A:A,0),"Open"),HYPERLINK("#Main!A1","Open"))</f>
        <v/>
      </c>
    </row>
    <row r="154" ht="30" customHeight="1">
      <c r="A154" s="33" t="inlineStr">
        <is>
          <t>https://africanmarketingconfederation.org/amc-conference-2026-awards-nominations-thank-you/</t>
        </is>
      </c>
      <c r="B154" s="26" t="inlineStr">
        <is>
          <t>Low AEO Readiness Score</t>
        </is>
      </c>
      <c r="C154" s="24" t="inlineStr">
        <is>
          <t>https://africanmarketingconfederation.org/amc-conference-2026-awards-nominations-thank-you/::low_aeo_readiness_score</t>
        </is>
      </c>
      <c r="D154" s="25" t="inlineStr">
        <is>
          <t>Warning</t>
        </is>
      </c>
      <c r="E154" s="24" t="inlineStr">
        <is>
          <t>Copy Writer</t>
        </is>
      </c>
      <c r="F154" s="24" t="inlineStr"/>
      <c r="G154" s="25" t="inlineStr">
        <is>
          <t>Open</t>
        </is>
      </c>
      <c r="H154">
        <f>IFERROR(HYPERLINK("#Main!A"&amp;MATCH(A154,Main!A:A,0),"Open"),HYPERLINK("#Main!A1","Open"))</f>
        <v/>
      </c>
    </row>
    <row r="155" ht="30" customHeight="1">
      <c r="A155" s="33" t="inlineStr">
        <is>
          <t>https://africanmarketingconfederation.org/amc-conference-2026-awards-nominations-thank-you/</t>
        </is>
      </c>
      <c r="B155" s="26" t="inlineStr">
        <is>
          <t>No Compression Header</t>
        </is>
      </c>
      <c r="C155" s="6" t="inlineStr">
        <is>
          <t>https://africanmarketingconfederation.org/amc-conference-2026-awards-nominations-thank-you/::no_compression_header</t>
        </is>
      </c>
      <c r="D155" s="29" t="inlineStr">
        <is>
          <t>Info</t>
        </is>
      </c>
      <c r="E155" s="6" t="inlineStr">
        <is>
          <t>Server/Host</t>
        </is>
      </c>
      <c r="F155" s="6" t="inlineStr"/>
      <c r="G155" s="25" t="inlineStr">
        <is>
          <t>Open</t>
        </is>
      </c>
      <c r="H155">
        <f>IFERROR(HYPERLINK("#Main!A"&amp;MATCH(A155,Main!A:A,0),"Open"),HYPERLINK("#Main!A1","Open"))</f>
        <v/>
      </c>
    </row>
    <row r="156" ht="30" customHeight="1">
      <c r="A156" s="33" t="inlineStr">
        <is>
          <t>https://africanmarketingconfederation.org/amc-conference-2026-awards-nominations-thank-you/</t>
        </is>
      </c>
      <c r="B156" s="26" t="inlineStr">
        <is>
          <t>No Cache-Control Header</t>
        </is>
      </c>
      <c r="C156" s="24" t="inlineStr">
        <is>
          <t>https://africanmarketingconfederation.org/amc-conference-2026-awards-nominations-thank-you/::no_cache-control_header</t>
        </is>
      </c>
      <c r="D156" s="29" t="inlineStr">
        <is>
          <t>Info</t>
        </is>
      </c>
      <c r="E156" s="24" t="inlineStr">
        <is>
          <t>Server/Host</t>
        </is>
      </c>
      <c r="F156" s="24" t="inlineStr"/>
      <c r="G156" s="25" t="inlineStr">
        <is>
          <t>Open</t>
        </is>
      </c>
      <c r="H156">
        <f>IFERROR(HYPERLINK("#Main!A"&amp;MATCH(A156,Main!A:A,0),"Open"),HYPERLINK("#Main!A1","Open"))</f>
        <v/>
      </c>
    </row>
    <row r="157" ht="30" customHeight="1">
      <c r="A157" s="33" t="inlineStr">
        <is>
          <t>https://africanmarketingconfederation.org/amc-conference-2026-awards-nominations-thank-you/</t>
        </is>
      </c>
      <c r="B157" s="26" t="inlineStr">
        <is>
          <t>No ETag Header</t>
        </is>
      </c>
      <c r="C157" s="6" t="inlineStr">
        <is>
          <t>https://africanmarketingconfederation.org/amc-conference-2026-awards-nominations-thank-you/::no_etag_header</t>
        </is>
      </c>
      <c r="D157" s="29" t="inlineStr">
        <is>
          <t>Info</t>
        </is>
      </c>
      <c r="E157" s="6" t="inlineStr">
        <is>
          <t>Server/Host</t>
        </is>
      </c>
      <c r="F157" s="6" t="inlineStr"/>
      <c r="G157" s="25" t="inlineStr">
        <is>
          <t>Open</t>
        </is>
      </c>
      <c r="H157">
        <f>IFERROR(HYPERLINK("#Main!A"&amp;MATCH(A157,Main!A:A,0),"Open"),HYPERLINK("#Main!A1","Open"))</f>
        <v/>
      </c>
    </row>
    <row r="158" ht="30" customHeight="1">
      <c r="A158" s="33" t="inlineStr">
        <is>
          <t>https://africanmarketingconfederation.org/amc-conference-2026-awards-nominations-thank-you/</t>
        </is>
      </c>
      <c r="B158" s="26" t="inlineStr">
        <is>
          <t>No FAQ/QA Schema</t>
        </is>
      </c>
      <c r="C158" s="24" t="inlineStr">
        <is>
          <t>https://africanmarketingconfederation.org/amc-conference-2026-awards-nominations-thank-you/::no_faq_qa_schema</t>
        </is>
      </c>
      <c r="D158" s="29" t="inlineStr">
        <is>
          <t>Info</t>
        </is>
      </c>
      <c r="E158" s="24" t="inlineStr">
        <is>
          <t>Dev</t>
        </is>
      </c>
      <c r="F158" s="24" t="inlineStr"/>
      <c r="G158" s="25" t="inlineStr">
        <is>
          <t>Open</t>
        </is>
      </c>
      <c r="H158">
        <f>IFERROR(HYPERLINK("#Main!A"&amp;MATCH(A158,Main!A:A,0),"Open"),HYPERLINK("#Main!A1","Open"))</f>
        <v/>
      </c>
    </row>
    <row r="159" ht="30" customHeight="1">
      <c r="A159" s="33" t="inlineStr">
        <is>
          <t>https://africanmarketingconfederation.org/amc-conference-2026-awards-nominations-thank-you/</t>
        </is>
      </c>
      <c r="B159" s="26" t="inlineStr">
        <is>
          <t>No Question Headings</t>
        </is>
      </c>
      <c r="C159" s="6" t="inlineStr">
        <is>
          <t>https://africanmarketingconfederation.org/amc-conference-2026-awards-nominations-thank-you/::no_question_headings</t>
        </is>
      </c>
      <c r="D159" s="29" t="inlineStr">
        <is>
          <t>Info</t>
        </is>
      </c>
      <c r="E159" s="6" t="inlineStr">
        <is>
          <t>Copy Writer</t>
        </is>
      </c>
      <c r="F159" s="6" t="inlineStr"/>
      <c r="G159" s="25" t="inlineStr">
        <is>
          <t>Open</t>
        </is>
      </c>
      <c r="H159">
        <f>IFERROR(HYPERLINK("#Main!A"&amp;MATCH(A159,Main!A:A,0),"Open"),HYPERLINK("#Main!A1","Open"))</f>
        <v/>
      </c>
    </row>
    <row r="160" ht="30" customHeight="1">
      <c r="A160" s="33" t="inlineStr">
        <is>
          <t>https://africanmarketingconfederation.org/amc-conference-2026-awards-nominations-thank-you/</t>
        </is>
      </c>
      <c r="B160" s="26" t="inlineStr">
        <is>
          <t>No Answer-Friendly Structure</t>
        </is>
      </c>
      <c r="C160" s="24" t="inlineStr">
        <is>
          <t>https://africanmarketingconfederation.org/amc-conference-2026-awards-nominations-thank-you/::no_answer-friendly_structure</t>
        </is>
      </c>
      <c r="D160" s="29" t="inlineStr">
        <is>
          <t>Info</t>
        </is>
      </c>
      <c r="E160" s="24" t="inlineStr">
        <is>
          <t>Copy Writer</t>
        </is>
      </c>
      <c r="F160" s="24" t="inlineStr"/>
      <c r="G160" s="25" t="inlineStr">
        <is>
          <t>Open</t>
        </is>
      </c>
      <c r="H160">
        <f>IFERROR(HYPERLINK("#Main!A"&amp;MATCH(A160,Main!A:A,0),"Open"),HYPERLINK("#Main!A1","Open"))</f>
        <v/>
      </c>
    </row>
    <row r="161" ht="30" customHeight="1">
      <c r="A161" s="33" t="inlineStr">
        <is>
          <t>https://africanmarketingconfederation.org/amc-conference-2026-awards-nominations-thank-you/</t>
        </is>
      </c>
      <c r="B161" s="26" t="inlineStr">
        <is>
          <t>No 40-60 Word Answer Paragraphs</t>
        </is>
      </c>
      <c r="C161" s="6" t="inlineStr">
        <is>
          <t>https://africanmarketingconfederation.org/amc-conference-2026-awards-nominations-thank-you/::no_40-60_word_answer_paragraphs</t>
        </is>
      </c>
      <c r="D161" s="29" t="inlineStr">
        <is>
          <t>Info</t>
        </is>
      </c>
      <c r="E161" s="6" t="inlineStr">
        <is>
          <t>Copy Writer</t>
        </is>
      </c>
      <c r="F161" s="6" t="inlineStr"/>
      <c r="G161" s="25" t="inlineStr">
        <is>
          <t>Open</t>
        </is>
      </c>
      <c r="H161">
        <f>IFERROR(HYPERLINK("#Main!A"&amp;MATCH(A161,Main!A:A,0),"Open"),HYPERLINK("#Main!A1","Open"))</f>
        <v/>
      </c>
    </row>
    <row r="162" ht="30" customHeight="1">
      <c r="A162" s="33" t="inlineStr">
        <is>
          <t>https://africanmarketingconfederation.org/speakers-2025/</t>
        </is>
      </c>
      <c r="B162" s="26" t="inlineStr">
        <is>
          <t>Multiple H1</t>
        </is>
      </c>
      <c r="C162" s="24" t="inlineStr">
        <is>
          <t>https://africanmarketingconfederation.org/speakers-2025/::multiple_h1</t>
        </is>
      </c>
      <c r="D162" s="25" t="inlineStr">
        <is>
          <t>Warning</t>
        </is>
      </c>
      <c r="E162" s="24" t="inlineStr">
        <is>
          <t>Copy Writer</t>
        </is>
      </c>
      <c r="F162" s="24" t="inlineStr"/>
      <c r="G162" s="25" t="inlineStr">
        <is>
          <t>Open</t>
        </is>
      </c>
      <c r="H162">
        <f>IFERROR(HYPERLINK("#Main!A"&amp;MATCH(A162,Main!A:A,0),"Open"),HYPERLINK("#Main!A1","Open"))</f>
        <v/>
      </c>
    </row>
    <row r="163" ht="30" customHeight="1">
      <c r="A163" s="33" t="inlineStr">
        <is>
          <t>https://africanmarketingconfederation.org/speakers-2025/</t>
        </is>
      </c>
      <c r="B163" s="26" t="inlineStr">
        <is>
          <t>Low AEO Readiness Score</t>
        </is>
      </c>
      <c r="C163" s="6" t="inlineStr">
        <is>
          <t>https://africanmarketingconfederation.org/speakers-2025/::low_aeo_readiness_score</t>
        </is>
      </c>
      <c r="D163" s="25" t="inlineStr">
        <is>
          <t>Warning</t>
        </is>
      </c>
      <c r="E163" s="6" t="inlineStr">
        <is>
          <t>Copy Writer</t>
        </is>
      </c>
      <c r="F163" s="6" t="inlineStr"/>
      <c r="G163" s="25" t="inlineStr">
        <is>
          <t>Open</t>
        </is>
      </c>
      <c r="H163">
        <f>IFERROR(HYPERLINK("#Main!A"&amp;MATCH(A163,Main!A:A,0),"Open"),HYPERLINK("#Main!A1","Open"))</f>
        <v/>
      </c>
    </row>
    <row r="164" ht="30" customHeight="1">
      <c r="A164" s="33" t="inlineStr">
        <is>
          <t>https://africanmarketingconfederation.org/speakers-2025/</t>
        </is>
      </c>
      <c r="B164" s="26" t="inlineStr">
        <is>
          <t>No Compression Header</t>
        </is>
      </c>
      <c r="C164" s="24" t="inlineStr">
        <is>
          <t>https://africanmarketingconfederation.org/speakers-2025/::no_compression_header</t>
        </is>
      </c>
      <c r="D164" s="29" t="inlineStr">
        <is>
          <t>Info</t>
        </is>
      </c>
      <c r="E164" s="24" t="inlineStr">
        <is>
          <t>Server/Host</t>
        </is>
      </c>
      <c r="F164" s="24" t="inlineStr"/>
      <c r="G164" s="25" t="inlineStr">
        <is>
          <t>Open</t>
        </is>
      </c>
      <c r="H164">
        <f>IFERROR(HYPERLINK("#Main!A"&amp;MATCH(A164,Main!A:A,0),"Open"),HYPERLINK("#Main!A1","Open"))</f>
        <v/>
      </c>
    </row>
    <row r="165" ht="30" customHeight="1">
      <c r="A165" s="33" t="inlineStr">
        <is>
          <t>https://africanmarketingconfederation.org/speakers-2025/</t>
        </is>
      </c>
      <c r="B165" s="26" t="inlineStr">
        <is>
          <t>No Cache-Control Header</t>
        </is>
      </c>
      <c r="C165" s="6" t="inlineStr">
        <is>
          <t>https://africanmarketingconfederation.org/speakers-2025/::no_cache-control_header</t>
        </is>
      </c>
      <c r="D165" s="29" t="inlineStr">
        <is>
          <t>Info</t>
        </is>
      </c>
      <c r="E165" s="6" t="inlineStr">
        <is>
          <t>Server/Host</t>
        </is>
      </c>
      <c r="F165" s="6" t="inlineStr"/>
      <c r="G165" s="25" t="inlineStr">
        <is>
          <t>Open</t>
        </is>
      </c>
      <c r="H165">
        <f>IFERROR(HYPERLINK("#Main!A"&amp;MATCH(A165,Main!A:A,0),"Open"),HYPERLINK("#Main!A1","Open"))</f>
        <v/>
      </c>
    </row>
    <row r="166" ht="30" customHeight="1">
      <c r="A166" s="33" t="inlineStr">
        <is>
          <t>https://africanmarketingconfederation.org/speakers-2025/</t>
        </is>
      </c>
      <c r="B166" s="26" t="inlineStr">
        <is>
          <t>No ETag Header</t>
        </is>
      </c>
      <c r="C166" s="24" t="inlineStr">
        <is>
          <t>https://africanmarketingconfederation.org/speakers-2025/::no_etag_header</t>
        </is>
      </c>
      <c r="D166" s="29" t="inlineStr">
        <is>
          <t>Info</t>
        </is>
      </c>
      <c r="E166" s="24" t="inlineStr">
        <is>
          <t>Server/Host</t>
        </is>
      </c>
      <c r="F166" s="24" t="inlineStr"/>
      <c r="G166" s="25" t="inlineStr">
        <is>
          <t>Open</t>
        </is>
      </c>
      <c r="H166">
        <f>IFERROR(HYPERLINK("#Main!A"&amp;MATCH(A166,Main!A:A,0),"Open"),HYPERLINK("#Main!A1","Open"))</f>
        <v/>
      </c>
    </row>
    <row r="167" ht="30" customHeight="1">
      <c r="A167" s="33" t="inlineStr">
        <is>
          <t>https://africanmarketingconfederation.org/speakers-2025/</t>
        </is>
      </c>
      <c r="B167" s="26" t="inlineStr">
        <is>
          <t>No FAQ/QA Schema</t>
        </is>
      </c>
      <c r="C167" s="6" t="inlineStr">
        <is>
          <t>https://africanmarketingconfederation.org/speakers-2025/::no_faq_qa_schema</t>
        </is>
      </c>
      <c r="D167" s="29" t="inlineStr">
        <is>
          <t>Info</t>
        </is>
      </c>
      <c r="E167" s="6" t="inlineStr">
        <is>
          <t>Dev</t>
        </is>
      </c>
      <c r="F167" s="6" t="inlineStr"/>
      <c r="G167" s="25" t="inlineStr">
        <is>
          <t>Open</t>
        </is>
      </c>
      <c r="H167">
        <f>IFERROR(HYPERLINK("#Main!A"&amp;MATCH(A167,Main!A:A,0),"Open"),HYPERLINK("#Main!A1","Open"))</f>
        <v/>
      </c>
    </row>
    <row r="168" ht="30" customHeight="1">
      <c r="A168" s="33" t="inlineStr">
        <is>
          <t>https://africanmarketingconfederation.org/speakers-2025/</t>
        </is>
      </c>
      <c r="B168" s="26" t="inlineStr">
        <is>
          <t>No Question Headings</t>
        </is>
      </c>
      <c r="C168" s="24" t="inlineStr">
        <is>
          <t>https://africanmarketingconfederation.org/speakers-2025/::no_question_headings</t>
        </is>
      </c>
      <c r="D168" s="29" t="inlineStr">
        <is>
          <t>Info</t>
        </is>
      </c>
      <c r="E168" s="24" t="inlineStr">
        <is>
          <t>Copy Writer</t>
        </is>
      </c>
      <c r="F168" s="24" t="inlineStr"/>
      <c r="G168" s="25" t="inlineStr">
        <is>
          <t>Open</t>
        </is>
      </c>
      <c r="H168">
        <f>IFERROR(HYPERLINK("#Main!A"&amp;MATCH(A168,Main!A:A,0),"Open"),HYPERLINK("#Main!A1","Open"))</f>
        <v/>
      </c>
    </row>
    <row r="169" ht="30" customHeight="1">
      <c r="A169" s="33" t="inlineStr">
        <is>
          <t>https://africanmarketingconfederation.org/speakers-2025/</t>
        </is>
      </c>
      <c r="B169" s="26" t="inlineStr">
        <is>
          <t>No Answer-Friendly Structure</t>
        </is>
      </c>
      <c r="C169" s="6" t="inlineStr">
        <is>
          <t>https://africanmarketingconfederation.org/speakers-2025/::no_answer-friendly_structure</t>
        </is>
      </c>
      <c r="D169" s="29" t="inlineStr">
        <is>
          <t>Info</t>
        </is>
      </c>
      <c r="E169" s="6" t="inlineStr">
        <is>
          <t>Copy Writer</t>
        </is>
      </c>
      <c r="F169" s="6" t="inlineStr"/>
      <c r="G169" s="25" t="inlineStr">
        <is>
          <t>Open</t>
        </is>
      </c>
      <c r="H169">
        <f>IFERROR(HYPERLINK("#Main!A"&amp;MATCH(A169,Main!A:A,0),"Open"),HYPERLINK("#Main!A1","Open"))</f>
        <v/>
      </c>
    </row>
    <row r="170" ht="30" customHeight="1">
      <c r="A170" s="33" t="inlineStr">
        <is>
          <t>https://africanmarketingconfederation.org/speakers-2025/</t>
        </is>
      </c>
      <c r="B170" s="26" t="inlineStr">
        <is>
          <t>No 40-60 Word Answer Paragraphs</t>
        </is>
      </c>
      <c r="C170" s="24" t="inlineStr">
        <is>
          <t>https://africanmarketingconfederation.org/speakers-2025/::no_40-60_word_answer_paragraphs</t>
        </is>
      </c>
      <c r="D170" s="29" t="inlineStr">
        <is>
          <t>Info</t>
        </is>
      </c>
      <c r="E170" s="24" t="inlineStr">
        <is>
          <t>Copy Writer</t>
        </is>
      </c>
      <c r="F170" s="24" t="inlineStr"/>
      <c r="G170" s="25" t="inlineStr">
        <is>
          <t>Open</t>
        </is>
      </c>
      <c r="H170">
        <f>IFERROR(HYPERLINK("#Main!A"&amp;MATCH(A170,Main!A:A,0),"Open"),HYPERLINK("#Main!A1","Open"))</f>
        <v/>
      </c>
    </row>
    <row r="171" ht="30" customHeight="1">
      <c r="A171" s="33" t="inlineStr">
        <is>
          <t>https://africanmarketingconfederation.org/amc-conference-2026-zambia-thank-you/</t>
        </is>
      </c>
      <c r="B171" s="26" t="inlineStr">
        <is>
          <t>Multiple H1</t>
        </is>
      </c>
      <c r="C171" s="6" t="inlineStr">
        <is>
          <t>https://africanmarketingconfederation.org/amc-conference-2026-zambia-thank-you/::multiple_h1</t>
        </is>
      </c>
      <c r="D171" s="25" t="inlineStr">
        <is>
          <t>Warning</t>
        </is>
      </c>
      <c r="E171" s="6" t="inlineStr">
        <is>
          <t>Copy Writer</t>
        </is>
      </c>
      <c r="F171" s="6" t="inlineStr"/>
      <c r="G171" s="25" t="inlineStr">
        <is>
          <t>Open</t>
        </is>
      </c>
      <c r="H171">
        <f>IFERROR(HYPERLINK("#Main!A"&amp;MATCH(A171,Main!A:A,0),"Open"),HYPERLINK("#Main!A1","Open"))</f>
        <v/>
      </c>
    </row>
    <row r="172" ht="30" customHeight="1">
      <c r="A172" s="33" t="inlineStr">
        <is>
          <t>https://africanmarketingconfederation.org/amc-conference-2026-zambia-thank-you/</t>
        </is>
      </c>
      <c r="B172" s="26" t="inlineStr">
        <is>
          <t>Thin Content</t>
        </is>
      </c>
      <c r="C172" s="24" t="inlineStr">
        <is>
          <t>https://africanmarketingconfederation.org/amc-conference-2026-zambia-thank-you/::thin_content</t>
        </is>
      </c>
      <c r="D172" s="25" t="inlineStr">
        <is>
          <t>Warning</t>
        </is>
      </c>
      <c r="E172" s="24" t="inlineStr">
        <is>
          <t>Copy Writer</t>
        </is>
      </c>
      <c r="F172" s="24" t="inlineStr"/>
      <c r="G172" s="25" t="inlineStr">
        <is>
          <t>Open</t>
        </is>
      </c>
      <c r="H172">
        <f>IFERROR(HYPERLINK("#Main!A"&amp;MATCH(A172,Main!A:A,0),"Open"),HYPERLINK("#Main!A1","Open"))</f>
        <v/>
      </c>
    </row>
    <row r="173" ht="30" customHeight="1">
      <c r="A173" s="33" t="inlineStr">
        <is>
          <t>https://africanmarketingconfederation.org/amc-conference-2026-zambia-thank-you/</t>
        </is>
      </c>
      <c r="B173" s="26" t="inlineStr">
        <is>
          <t>Low AEO Readiness Score</t>
        </is>
      </c>
      <c r="C173" s="6" t="inlineStr">
        <is>
          <t>https://africanmarketingconfederation.org/amc-conference-2026-zambia-thank-you/::low_aeo_readiness_score</t>
        </is>
      </c>
      <c r="D173" s="25" t="inlineStr">
        <is>
          <t>Warning</t>
        </is>
      </c>
      <c r="E173" s="6" t="inlineStr">
        <is>
          <t>Copy Writer</t>
        </is>
      </c>
      <c r="F173" s="6" t="inlineStr"/>
      <c r="G173" s="25" t="inlineStr">
        <is>
          <t>Open</t>
        </is>
      </c>
      <c r="H173">
        <f>IFERROR(HYPERLINK("#Main!A"&amp;MATCH(A173,Main!A:A,0),"Open"),HYPERLINK("#Main!A1","Open"))</f>
        <v/>
      </c>
    </row>
    <row r="174" ht="30" customHeight="1">
      <c r="A174" s="33" t="inlineStr">
        <is>
          <t>https://africanmarketingconfederation.org/amc-conference-2026-zambia-thank-you/</t>
        </is>
      </c>
      <c r="B174" s="26" t="inlineStr">
        <is>
          <t>No Compression Header</t>
        </is>
      </c>
      <c r="C174" s="24" t="inlineStr">
        <is>
          <t>https://africanmarketingconfederation.org/amc-conference-2026-zambia-thank-you/::no_compression_header</t>
        </is>
      </c>
      <c r="D174" s="29" t="inlineStr">
        <is>
          <t>Info</t>
        </is>
      </c>
      <c r="E174" s="24" t="inlineStr">
        <is>
          <t>Server/Host</t>
        </is>
      </c>
      <c r="F174" s="24" t="inlineStr"/>
      <c r="G174" s="25" t="inlineStr">
        <is>
          <t>Open</t>
        </is>
      </c>
      <c r="H174">
        <f>IFERROR(HYPERLINK("#Main!A"&amp;MATCH(A174,Main!A:A,0),"Open"),HYPERLINK("#Main!A1","Open"))</f>
        <v/>
      </c>
    </row>
    <row r="175" ht="30" customHeight="1">
      <c r="A175" s="33" t="inlineStr">
        <is>
          <t>https://africanmarketingconfederation.org/amc-conference-2026-zambia-thank-you/</t>
        </is>
      </c>
      <c r="B175" s="26" t="inlineStr">
        <is>
          <t>No Cache-Control Header</t>
        </is>
      </c>
      <c r="C175" s="6" t="inlineStr">
        <is>
          <t>https://africanmarketingconfederation.org/amc-conference-2026-zambia-thank-you/::no_cache-control_header</t>
        </is>
      </c>
      <c r="D175" s="29" t="inlineStr">
        <is>
          <t>Info</t>
        </is>
      </c>
      <c r="E175" s="6" t="inlineStr">
        <is>
          <t>Server/Host</t>
        </is>
      </c>
      <c r="F175" s="6" t="inlineStr"/>
      <c r="G175" s="25" t="inlineStr">
        <is>
          <t>Open</t>
        </is>
      </c>
      <c r="H175">
        <f>IFERROR(HYPERLINK("#Main!A"&amp;MATCH(A175,Main!A:A,0),"Open"),HYPERLINK("#Main!A1","Open"))</f>
        <v/>
      </c>
    </row>
    <row r="176" ht="30" customHeight="1">
      <c r="A176" s="33" t="inlineStr">
        <is>
          <t>https://africanmarketingconfederation.org/amc-conference-2026-zambia-thank-you/</t>
        </is>
      </c>
      <c r="B176" s="26" t="inlineStr">
        <is>
          <t>No ETag Header</t>
        </is>
      </c>
      <c r="C176" s="24" t="inlineStr">
        <is>
          <t>https://africanmarketingconfederation.org/amc-conference-2026-zambia-thank-you/::no_etag_header</t>
        </is>
      </c>
      <c r="D176" s="29" t="inlineStr">
        <is>
          <t>Info</t>
        </is>
      </c>
      <c r="E176" s="24" t="inlineStr">
        <is>
          <t>Server/Host</t>
        </is>
      </c>
      <c r="F176" s="24" t="inlineStr"/>
      <c r="G176" s="25" t="inlineStr">
        <is>
          <t>Open</t>
        </is>
      </c>
      <c r="H176">
        <f>IFERROR(HYPERLINK("#Main!A"&amp;MATCH(A176,Main!A:A,0),"Open"),HYPERLINK("#Main!A1","Open"))</f>
        <v/>
      </c>
    </row>
    <row r="177" ht="30" customHeight="1">
      <c r="A177" s="33" t="inlineStr">
        <is>
          <t>https://africanmarketingconfederation.org/amc-conference-2026-zambia-thank-you/</t>
        </is>
      </c>
      <c r="B177" s="26" t="inlineStr">
        <is>
          <t>No FAQ/QA Schema</t>
        </is>
      </c>
      <c r="C177" s="6" t="inlineStr">
        <is>
          <t>https://africanmarketingconfederation.org/amc-conference-2026-zambia-thank-you/::no_faq_qa_schema</t>
        </is>
      </c>
      <c r="D177" s="29" t="inlineStr">
        <is>
          <t>Info</t>
        </is>
      </c>
      <c r="E177" s="6" t="inlineStr">
        <is>
          <t>Dev</t>
        </is>
      </c>
      <c r="F177" s="6" t="inlineStr"/>
      <c r="G177" s="25" t="inlineStr">
        <is>
          <t>Open</t>
        </is>
      </c>
      <c r="H177">
        <f>IFERROR(HYPERLINK("#Main!A"&amp;MATCH(A177,Main!A:A,0),"Open"),HYPERLINK("#Main!A1","Open"))</f>
        <v/>
      </c>
    </row>
    <row r="178" ht="30" customHeight="1">
      <c r="A178" s="33" t="inlineStr">
        <is>
          <t>https://africanmarketingconfederation.org/amc-conference-2026-zambia-thank-you/</t>
        </is>
      </c>
      <c r="B178" s="26" t="inlineStr">
        <is>
          <t>No Question Headings</t>
        </is>
      </c>
      <c r="C178" s="24" t="inlineStr">
        <is>
          <t>https://africanmarketingconfederation.org/amc-conference-2026-zambia-thank-you/::no_question_headings</t>
        </is>
      </c>
      <c r="D178" s="29" t="inlineStr">
        <is>
          <t>Info</t>
        </is>
      </c>
      <c r="E178" s="24" t="inlineStr">
        <is>
          <t>Copy Writer</t>
        </is>
      </c>
      <c r="F178" s="24" t="inlineStr"/>
      <c r="G178" s="25" t="inlineStr">
        <is>
          <t>Open</t>
        </is>
      </c>
      <c r="H178">
        <f>IFERROR(HYPERLINK("#Main!A"&amp;MATCH(A178,Main!A:A,0),"Open"),HYPERLINK("#Main!A1","Open"))</f>
        <v/>
      </c>
    </row>
    <row r="179" ht="30" customHeight="1">
      <c r="A179" s="33" t="inlineStr">
        <is>
          <t>https://africanmarketingconfederation.org/amc-conference-2026-zambia-thank-you/</t>
        </is>
      </c>
      <c r="B179" s="26" t="inlineStr">
        <is>
          <t>No Answer-Friendly Structure</t>
        </is>
      </c>
      <c r="C179" s="6" t="inlineStr">
        <is>
          <t>https://africanmarketingconfederation.org/amc-conference-2026-zambia-thank-you/::no_answer-friendly_structure</t>
        </is>
      </c>
      <c r="D179" s="29" t="inlineStr">
        <is>
          <t>Info</t>
        </is>
      </c>
      <c r="E179" s="6" t="inlineStr">
        <is>
          <t>Copy Writer</t>
        </is>
      </c>
      <c r="F179" s="6" t="inlineStr"/>
      <c r="G179" s="25" t="inlineStr">
        <is>
          <t>Open</t>
        </is>
      </c>
      <c r="H179">
        <f>IFERROR(HYPERLINK("#Main!A"&amp;MATCH(A179,Main!A:A,0),"Open"),HYPERLINK("#Main!A1","Open"))</f>
        <v/>
      </c>
    </row>
    <row r="180" ht="30" customHeight="1">
      <c r="A180" s="33" t="inlineStr">
        <is>
          <t>https://africanmarketingconfederation.org/amc-conference-2026-zambia-thank-you/</t>
        </is>
      </c>
      <c r="B180" s="26" t="inlineStr">
        <is>
          <t>No 40-60 Word Answer Paragraphs</t>
        </is>
      </c>
      <c r="C180" s="24" t="inlineStr">
        <is>
          <t>https://africanmarketingconfederation.org/amc-conference-2026-zambia-thank-you/::no_40-60_word_answer_paragraphs</t>
        </is>
      </c>
      <c r="D180" s="29" t="inlineStr">
        <is>
          <t>Info</t>
        </is>
      </c>
      <c r="E180" s="24" t="inlineStr">
        <is>
          <t>Copy Writer</t>
        </is>
      </c>
      <c r="F180" s="24" t="inlineStr"/>
      <c r="G180" s="25" t="inlineStr">
        <is>
          <t>Open</t>
        </is>
      </c>
      <c r="H180">
        <f>IFERROR(HYPERLINK("#Main!A"&amp;MATCH(A180,Main!A:A,0),"Open"),HYPERLINK("#Main!A1","Open"))</f>
        <v/>
      </c>
    </row>
    <row r="181" ht="30" customHeight="1">
      <c r="A181" s="33" t="inlineStr">
        <is>
          <t>https://africanmarketingconfederation.org/amc-launch-event-zambia-thank-you-2026/</t>
        </is>
      </c>
      <c r="B181" s="26" t="inlineStr">
        <is>
          <t>Multiple H1</t>
        </is>
      </c>
      <c r="C181" s="6" t="inlineStr">
        <is>
          <t>https://africanmarketingconfederation.org/amc-launch-event-zambia-thank-you-2026/::multiple_h1</t>
        </is>
      </c>
      <c r="D181" s="25" t="inlineStr">
        <is>
          <t>Warning</t>
        </is>
      </c>
      <c r="E181" s="6" t="inlineStr">
        <is>
          <t>Copy Writer</t>
        </is>
      </c>
      <c r="F181" s="6" t="inlineStr"/>
      <c r="G181" s="25" t="inlineStr">
        <is>
          <t>Open</t>
        </is>
      </c>
      <c r="H181">
        <f>IFERROR(HYPERLINK("#Main!A"&amp;MATCH(A181,Main!A:A,0),"Open"),HYPERLINK("#Main!A1","Open"))</f>
        <v/>
      </c>
    </row>
    <row r="182" ht="30" customHeight="1">
      <c r="A182" s="33" t="inlineStr">
        <is>
          <t>https://africanmarketingconfederation.org/amc-launch-event-zambia-thank-you-2026/</t>
        </is>
      </c>
      <c r="B182" s="26" t="inlineStr">
        <is>
          <t>Thin Content</t>
        </is>
      </c>
      <c r="C182" s="24" t="inlineStr">
        <is>
          <t>https://africanmarketingconfederation.org/amc-launch-event-zambia-thank-you-2026/::thin_content</t>
        </is>
      </c>
      <c r="D182" s="25" t="inlineStr">
        <is>
          <t>Warning</t>
        </is>
      </c>
      <c r="E182" s="24" t="inlineStr">
        <is>
          <t>Copy Writer</t>
        </is>
      </c>
      <c r="F182" s="24" t="inlineStr"/>
      <c r="G182" s="25" t="inlineStr">
        <is>
          <t>Open</t>
        </is>
      </c>
      <c r="H182">
        <f>IFERROR(HYPERLINK("#Main!A"&amp;MATCH(A182,Main!A:A,0),"Open"),HYPERLINK("#Main!A1","Open"))</f>
        <v/>
      </c>
    </row>
    <row r="183" ht="30" customHeight="1">
      <c r="A183" s="33" t="inlineStr">
        <is>
          <t>https://africanmarketingconfederation.org/amc-launch-event-zambia-thank-you-2026/</t>
        </is>
      </c>
      <c r="B183" s="26" t="inlineStr">
        <is>
          <t>Low AEO Readiness Score</t>
        </is>
      </c>
      <c r="C183" s="6" t="inlineStr">
        <is>
          <t>https://africanmarketingconfederation.org/amc-launch-event-zambia-thank-you-2026/::low_aeo_readiness_score</t>
        </is>
      </c>
      <c r="D183" s="25" t="inlineStr">
        <is>
          <t>Warning</t>
        </is>
      </c>
      <c r="E183" s="6" t="inlineStr">
        <is>
          <t>Copy Writer</t>
        </is>
      </c>
      <c r="F183" s="6" t="inlineStr"/>
      <c r="G183" s="25" t="inlineStr">
        <is>
          <t>Open</t>
        </is>
      </c>
      <c r="H183">
        <f>IFERROR(HYPERLINK("#Main!A"&amp;MATCH(A183,Main!A:A,0),"Open"),HYPERLINK("#Main!A1","Open"))</f>
        <v/>
      </c>
    </row>
    <row r="184" ht="30" customHeight="1">
      <c r="A184" s="33" t="inlineStr">
        <is>
          <t>https://africanmarketingconfederation.org/amc-launch-event-zambia-thank-you-2026/</t>
        </is>
      </c>
      <c r="B184" s="26" t="inlineStr">
        <is>
          <t>No Compression Header</t>
        </is>
      </c>
      <c r="C184" s="24" t="inlineStr">
        <is>
          <t>https://africanmarketingconfederation.org/amc-launch-event-zambia-thank-you-2026/::no_compression_header</t>
        </is>
      </c>
      <c r="D184" s="29" t="inlineStr">
        <is>
          <t>Info</t>
        </is>
      </c>
      <c r="E184" s="24" t="inlineStr">
        <is>
          <t>Server/Host</t>
        </is>
      </c>
      <c r="F184" s="24" t="inlineStr"/>
      <c r="G184" s="25" t="inlineStr">
        <is>
          <t>Open</t>
        </is>
      </c>
      <c r="H184">
        <f>IFERROR(HYPERLINK("#Main!A"&amp;MATCH(A184,Main!A:A,0),"Open"),HYPERLINK("#Main!A1","Open"))</f>
        <v/>
      </c>
    </row>
    <row r="185" ht="30" customHeight="1">
      <c r="A185" s="33" t="inlineStr">
        <is>
          <t>https://africanmarketingconfederation.org/amc-launch-event-zambia-thank-you-2026/</t>
        </is>
      </c>
      <c r="B185" s="26" t="inlineStr">
        <is>
          <t>No Cache-Control Header</t>
        </is>
      </c>
      <c r="C185" s="6" t="inlineStr">
        <is>
          <t>https://africanmarketingconfederation.org/amc-launch-event-zambia-thank-you-2026/::no_cache-control_header</t>
        </is>
      </c>
      <c r="D185" s="29" t="inlineStr">
        <is>
          <t>Info</t>
        </is>
      </c>
      <c r="E185" s="6" t="inlineStr">
        <is>
          <t>Server/Host</t>
        </is>
      </c>
      <c r="F185" s="6" t="inlineStr"/>
      <c r="G185" s="25" t="inlineStr">
        <is>
          <t>Open</t>
        </is>
      </c>
      <c r="H185">
        <f>IFERROR(HYPERLINK("#Main!A"&amp;MATCH(A185,Main!A:A,0),"Open"),HYPERLINK("#Main!A1","Open"))</f>
        <v/>
      </c>
    </row>
    <row r="186" ht="30" customHeight="1">
      <c r="A186" s="33" t="inlineStr">
        <is>
          <t>https://africanmarketingconfederation.org/amc-launch-event-zambia-thank-you-2026/</t>
        </is>
      </c>
      <c r="B186" s="26" t="inlineStr">
        <is>
          <t>No ETag Header</t>
        </is>
      </c>
      <c r="C186" s="24" t="inlineStr">
        <is>
          <t>https://africanmarketingconfederation.org/amc-launch-event-zambia-thank-you-2026/::no_etag_header</t>
        </is>
      </c>
      <c r="D186" s="29" t="inlineStr">
        <is>
          <t>Info</t>
        </is>
      </c>
      <c r="E186" s="24" t="inlineStr">
        <is>
          <t>Server/Host</t>
        </is>
      </c>
      <c r="F186" s="24" t="inlineStr"/>
      <c r="G186" s="25" t="inlineStr">
        <is>
          <t>Open</t>
        </is>
      </c>
      <c r="H186">
        <f>IFERROR(HYPERLINK("#Main!A"&amp;MATCH(A186,Main!A:A,0),"Open"),HYPERLINK("#Main!A1","Open"))</f>
        <v/>
      </c>
    </row>
    <row r="187" ht="30" customHeight="1">
      <c r="A187" s="33" t="inlineStr">
        <is>
          <t>https://africanmarketingconfederation.org/amc-launch-event-zambia-thank-you-2026/</t>
        </is>
      </c>
      <c r="B187" s="26" t="inlineStr">
        <is>
          <t>No FAQ/QA Schema</t>
        </is>
      </c>
      <c r="C187" s="6" t="inlineStr">
        <is>
          <t>https://africanmarketingconfederation.org/amc-launch-event-zambia-thank-you-2026/::no_faq_qa_schema</t>
        </is>
      </c>
      <c r="D187" s="29" t="inlineStr">
        <is>
          <t>Info</t>
        </is>
      </c>
      <c r="E187" s="6" t="inlineStr">
        <is>
          <t>Dev</t>
        </is>
      </c>
      <c r="F187" s="6" t="inlineStr"/>
      <c r="G187" s="25" t="inlineStr">
        <is>
          <t>Open</t>
        </is>
      </c>
      <c r="H187">
        <f>IFERROR(HYPERLINK("#Main!A"&amp;MATCH(A187,Main!A:A,0),"Open"),HYPERLINK("#Main!A1","Open"))</f>
        <v/>
      </c>
    </row>
    <row r="188" ht="30" customHeight="1">
      <c r="A188" s="33" t="inlineStr">
        <is>
          <t>https://africanmarketingconfederation.org/amc-launch-event-zambia-thank-you-2026/</t>
        </is>
      </c>
      <c r="B188" s="26" t="inlineStr">
        <is>
          <t>No Question Headings</t>
        </is>
      </c>
      <c r="C188" s="24" t="inlineStr">
        <is>
          <t>https://africanmarketingconfederation.org/amc-launch-event-zambia-thank-you-2026/::no_question_headings</t>
        </is>
      </c>
      <c r="D188" s="29" t="inlineStr">
        <is>
          <t>Info</t>
        </is>
      </c>
      <c r="E188" s="24" t="inlineStr">
        <is>
          <t>Copy Writer</t>
        </is>
      </c>
      <c r="F188" s="24" t="inlineStr"/>
      <c r="G188" s="25" t="inlineStr">
        <is>
          <t>Open</t>
        </is>
      </c>
      <c r="H188">
        <f>IFERROR(HYPERLINK("#Main!A"&amp;MATCH(A188,Main!A:A,0),"Open"),HYPERLINK("#Main!A1","Open"))</f>
        <v/>
      </c>
    </row>
    <row r="189" ht="30" customHeight="1">
      <c r="A189" s="33" t="inlineStr">
        <is>
          <t>https://africanmarketingconfederation.org/amc-launch-event-zambia-thank-you-2026/</t>
        </is>
      </c>
      <c r="B189" s="26" t="inlineStr">
        <is>
          <t>No Answer-Friendly Structure</t>
        </is>
      </c>
      <c r="C189" s="6" t="inlineStr">
        <is>
          <t>https://africanmarketingconfederation.org/amc-launch-event-zambia-thank-you-2026/::no_answer-friendly_structure</t>
        </is>
      </c>
      <c r="D189" s="29" t="inlineStr">
        <is>
          <t>Info</t>
        </is>
      </c>
      <c r="E189" s="6" t="inlineStr">
        <is>
          <t>Copy Writer</t>
        </is>
      </c>
      <c r="F189" s="6" t="inlineStr"/>
      <c r="G189" s="25" t="inlineStr">
        <is>
          <t>Open</t>
        </is>
      </c>
      <c r="H189">
        <f>IFERROR(HYPERLINK("#Main!A"&amp;MATCH(A189,Main!A:A,0),"Open"),HYPERLINK("#Main!A1","Open"))</f>
        <v/>
      </c>
    </row>
    <row r="190" ht="30" customHeight="1">
      <c r="A190" s="33" t="inlineStr">
        <is>
          <t>https://africanmarketingconfederation.org/amc-launch-event-zambia-thank-you-2026/</t>
        </is>
      </c>
      <c r="B190" s="26" t="inlineStr">
        <is>
          <t>No 40-60 Word Answer Paragraphs</t>
        </is>
      </c>
      <c r="C190" s="24" t="inlineStr">
        <is>
          <t>https://africanmarketingconfederation.org/amc-launch-event-zambia-thank-you-2026/::no_40-60_word_answer_paragraphs</t>
        </is>
      </c>
      <c r="D190" s="29" t="inlineStr">
        <is>
          <t>Info</t>
        </is>
      </c>
      <c r="E190" s="24" t="inlineStr">
        <is>
          <t>Copy Writer</t>
        </is>
      </c>
      <c r="F190" s="24" t="inlineStr"/>
      <c r="G190" s="25" t="inlineStr">
        <is>
          <t>Open</t>
        </is>
      </c>
      <c r="H190">
        <f>IFERROR(HYPERLINK("#Main!A"&amp;MATCH(A190,Main!A:A,0),"Open"),HYPERLINK("#Main!A1","Open"))</f>
        <v/>
      </c>
    </row>
    <row r="191" ht="30" customHeight="1">
      <c r="A191" s="33" t="inlineStr">
        <is>
          <t>https://africanmarketingconfederation.org/amc-marketing-conference-2024/awards-2025/</t>
        </is>
      </c>
      <c r="B191" s="26" t="inlineStr">
        <is>
          <t>Low AEO Readiness Score</t>
        </is>
      </c>
      <c r="C191" s="6" t="inlineStr">
        <is>
          <t>https://africanmarketingconfederation.org/amc-marketing-conference-2024/awards-2025/::low_aeo_readiness_score</t>
        </is>
      </c>
      <c r="D191" s="25" t="inlineStr">
        <is>
          <t>Warning</t>
        </is>
      </c>
      <c r="E191" s="6" t="inlineStr">
        <is>
          <t>Copy Writer</t>
        </is>
      </c>
      <c r="F191" s="6" t="inlineStr"/>
      <c r="G191" s="25" t="inlineStr">
        <is>
          <t>Open</t>
        </is>
      </c>
      <c r="H191">
        <f>IFERROR(HYPERLINK("#Main!A"&amp;MATCH(A191,Main!A:A,0),"Open"),HYPERLINK("#Main!A1","Open"))</f>
        <v/>
      </c>
    </row>
    <row r="192" ht="30" customHeight="1">
      <c r="A192" s="33" t="inlineStr">
        <is>
          <t>https://africanmarketingconfederation.org/amc-marketing-conference-2024/awards-2025/</t>
        </is>
      </c>
      <c r="B192" s="26" t="inlineStr">
        <is>
          <t>No Compression Header</t>
        </is>
      </c>
      <c r="C192" s="24" t="inlineStr">
        <is>
          <t>https://africanmarketingconfederation.org/amc-marketing-conference-2024/awards-2025/::no_compression_header</t>
        </is>
      </c>
      <c r="D192" s="29" t="inlineStr">
        <is>
          <t>Info</t>
        </is>
      </c>
      <c r="E192" s="24" t="inlineStr">
        <is>
          <t>Server/Host</t>
        </is>
      </c>
      <c r="F192" s="24" t="inlineStr"/>
      <c r="G192" s="25" t="inlineStr">
        <is>
          <t>Open</t>
        </is>
      </c>
      <c r="H192">
        <f>IFERROR(HYPERLINK("#Main!A"&amp;MATCH(A192,Main!A:A,0),"Open"),HYPERLINK("#Main!A1","Open"))</f>
        <v/>
      </c>
    </row>
    <row r="193" ht="30" customHeight="1">
      <c r="A193" s="33" t="inlineStr">
        <is>
          <t>https://africanmarketingconfederation.org/amc-marketing-conference-2024/awards-2025/</t>
        </is>
      </c>
      <c r="B193" s="26" t="inlineStr">
        <is>
          <t>No Cache-Control Header</t>
        </is>
      </c>
      <c r="C193" s="6" t="inlineStr">
        <is>
          <t>https://africanmarketingconfederation.org/amc-marketing-conference-2024/awards-2025/::no_cache-control_header</t>
        </is>
      </c>
      <c r="D193" s="29" t="inlineStr">
        <is>
          <t>Info</t>
        </is>
      </c>
      <c r="E193" s="6" t="inlineStr">
        <is>
          <t>Server/Host</t>
        </is>
      </c>
      <c r="F193" s="6" t="inlineStr"/>
      <c r="G193" s="25" t="inlineStr">
        <is>
          <t>Open</t>
        </is>
      </c>
      <c r="H193">
        <f>IFERROR(HYPERLINK("#Main!A"&amp;MATCH(A193,Main!A:A,0),"Open"),HYPERLINK("#Main!A1","Open"))</f>
        <v/>
      </c>
    </row>
    <row r="194" ht="30" customHeight="1">
      <c r="A194" s="33" t="inlineStr">
        <is>
          <t>https://africanmarketingconfederation.org/amc-marketing-conference-2024/awards-2025/</t>
        </is>
      </c>
      <c r="B194" s="26" t="inlineStr">
        <is>
          <t>No ETag Header</t>
        </is>
      </c>
      <c r="C194" s="24" t="inlineStr">
        <is>
          <t>https://africanmarketingconfederation.org/amc-marketing-conference-2024/awards-2025/::no_etag_header</t>
        </is>
      </c>
      <c r="D194" s="29" t="inlineStr">
        <is>
          <t>Info</t>
        </is>
      </c>
      <c r="E194" s="24" t="inlineStr">
        <is>
          <t>Server/Host</t>
        </is>
      </c>
      <c r="F194" s="24" t="inlineStr"/>
      <c r="G194" s="25" t="inlineStr">
        <is>
          <t>Open</t>
        </is>
      </c>
      <c r="H194">
        <f>IFERROR(HYPERLINK("#Main!A"&amp;MATCH(A194,Main!A:A,0),"Open"),HYPERLINK("#Main!A1","Open"))</f>
        <v/>
      </c>
    </row>
    <row r="195" ht="30" customHeight="1">
      <c r="A195" s="33" t="inlineStr">
        <is>
          <t>https://africanmarketingconfederation.org/amc-marketing-conference-2024/awards-2025/</t>
        </is>
      </c>
      <c r="B195" s="26" t="inlineStr">
        <is>
          <t>No FAQ/QA Schema</t>
        </is>
      </c>
      <c r="C195" s="6" t="inlineStr">
        <is>
          <t>https://africanmarketingconfederation.org/amc-marketing-conference-2024/awards-2025/::no_faq_qa_schema</t>
        </is>
      </c>
      <c r="D195" s="29" t="inlineStr">
        <is>
          <t>Info</t>
        </is>
      </c>
      <c r="E195" s="6" t="inlineStr">
        <is>
          <t>Dev</t>
        </is>
      </c>
      <c r="F195" s="6" t="inlineStr"/>
      <c r="G195" s="25" t="inlineStr">
        <is>
          <t>Open</t>
        </is>
      </c>
      <c r="H195">
        <f>IFERROR(HYPERLINK("#Main!A"&amp;MATCH(A195,Main!A:A,0),"Open"),HYPERLINK("#Main!A1","Open"))</f>
        <v/>
      </c>
    </row>
    <row r="196" ht="30" customHeight="1">
      <c r="A196" s="33" t="inlineStr">
        <is>
          <t>https://africanmarketingconfederation.org/amc-marketing-conference-2024/awards-2025/</t>
        </is>
      </c>
      <c r="B196" s="26" t="inlineStr">
        <is>
          <t>No Question Headings</t>
        </is>
      </c>
      <c r="C196" s="24" t="inlineStr">
        <is>
          <t>https://africanmarketingconfederation.org/amc-marketing-conference-2024/awards-2025/::no_question_headings</t>
        </is>
      </c>
      <c r="D196" s="29" t="inlineStr">
        <is>
          <t>Info</t>
        </is>
      </c>
      <c r="E196" s="24" t="inlineStr">
        <is>
          <t>Copy Writer</t>
        </is>
      </c>
      <c r="F196" s="24" t="inlineStr"/>
      <c r="G196" s="25" t="inlineStr">
        <is>
          <t>Open</t>
        </is>
      </c>
      <c r="H196">
        <f>IFERROR(HYPERLINK("#Main!A"&amp;MATCH(A196,Main!A:A,0),"Open"),HYPERLINK("#Main!A1","Open"))</f>
        <v/>
      </c>
    </row>
    <row r="197" ht="30" customHeight="1">
      <c r="A197" s="33" t="inlineStr">
        <is>
          <t>https://africanmarketingconfederation.org/amc-marketing-conference-2024/awards-2025/</t>
        </is>
      </c>
      <c r="B197" s="26" t="inlineStr">
        <is>
          <t>No Answer-Friendly Structure</t>
        </is>
      </c>
      <c r="C197" s="6" t="inlineStr">
        <is>
          <t>https://africanmarketingconfederation.org/amc-marketing-conference-2024/awards-2025/::no_answer-friendly_structure</t>
        </is>
      </c>
      <c r="D197" s="29" t="inlineStr">
        <is>
          <t>Info</t>
        </is>
      </c>
      <c r="E197" s="6" t="inlineStr">
        <is>
          <t>Copy Writer</t>
        </is>
      </c>
      <c r="F197" s="6" t="inlineStr"/>
      <c r="G197" s="25" t="inlineStr">
        <is>
          <t>Open</t>
        </is>
      </c>
      <c r="H197">
        <f>IFERROR(HYPERLINK("#Main!A"&amp;MATCH(A197,Main!A:A,0),"Open"),HYPERLINK("#Main!A1","Open"))</f>
        <v/>
      </c>
    </row>
    <row r="198" ht="30" customHeight="1">
      <c r="A198" s="33" t="inlineStr">
        <is>
          <t>https://africanmarketingconfederation.org/amc-marketing-conference-2024/awards-2025/</t>
        </is>
      </c>
      <c r="B198" s="26" t="inlineStr">
        <is>
          <t>No 40-60 Word Answer Paragraphs</t>
        </is>
      </c>
      <c r="C198" s="24" t="inlineStr">
        <is>
          <t>https://africanmarketingconfederation.org/amc-marketing-conference-2024/awards-2025/::no_40-60_word_answer_paragraphs</t>
        </is>
      </c>
      <c r="D198" s="29" t="inlineStr">
        <is>
          <t>Info</t>
        </is>
      </c>
      <c r="E198" s="24" t="inlineStr">
        <is>
          <t>Copy Writer</t>
        </is>
      </c>
      <c r="F198" s="24" t="inlineStr"/>
      <c r="G198" s="25" t="inlineStr">
        <is>
          <t>Open</t>
        </is>
      </c>
      <c r="H198">
        <f>IFERROR(HYPERLINK("#Main!A"&amp;MATCH(A198,Main!A:A,0),"Open"),HYPERLINK("#Main!A1","Open"))</f>
        <v/>
      </c>
    </row>
    <row r="199" ht="30" customHeight="1">
      <c r="A199" s="33" t="inlineStr">
        <is>
          <t>https://africanmarketingconfederation.org/amc-conference-2025-highlights/</t>
        </is>
      </c>
      <c r="B199" s="26" t="inlineStr">
        <is>
          <t>Multiple H1</t>
        </is>
      </c>
      <c r="C199" s="6" t="inlineStr">
        <is>
          <t>https://africanmarketingconfederation.org/amc-conference-2025-highlights/::multiple_h1</t>
        </is>
      </c>
      <c r="D199" s="25" t="inlineStr">
        <is>
          <t>Warning</t>
        </is>
      </c>
      <c r="E199" s="6" t="inlineStr">
        <is>
          <t>Copy Writer</t>
        </is>
      </c>
      <c r="F199" s="6" t="inlineStr"/>
      <c r="G199" s="25" t="inlineStr">
        <is>
          <t>Open</t>
        </is>
      </c>
      <c r="H199">
        <f>IFERROR(HYPERLINK("#Main!A"&amp;MATCH(A199,Main!A:A,0),"Open"),HYPERLINK("#Main!A1","Open"))</f>
        <v/>
      </c>
    </row>
    <row r="200" ht="30" customHeight="1">
      <c r="A200" s="33" t="inlineStr">
        <is>
          <t>https://africanmarketingconfederation.org/amc-conference-2025-highlights/</t>
        </is>
      </c>
      <c r="B200" s="26" t="inlineStr">
        <is>
          <t>Low AEO Readiness Score</t>
        </is>
      </c>
      <c r="C200" s="24" t="inlineStr">
        <is>
          <t>https://africanmarketingconfederation.org/amc-conference-2025-highlights/::low_aeo_readiness_score</t>
        </is>
      </c>
      <c r="D200" s="25" t="inlineStr">
        <is>
          <t>Warning</t>
        </is>
      </c>
      <c r="E200" s="24" t="inlineStr">
        <is>
          <t>Copy Writer</t>
        </is>
      </c>
      <c r="F200" s="24" t="inlineStr"/>
      <c r="G200" s="25" t="inlineStr">
        <is>
          <t>Open</t>
        </is>
      </c>
      <c r="H200">
        <f>IFERROR(HYPERLINK("#Main!A"&amp;MATCH(A200,Main!A:A,0),"Open"),HYPERLINK("#Main!A1","Open"))</f>
        <v/>
      </c>
    </row>
    <row r="201" ht="30" customHeight="1">
      <c r="A201" s="33" t="inlineStr">
        <is>
          <t>https://africanmarketingconfederation.org/amc-conference-2025-highlights/</t>
        </is>
      </c>
      <c r="B201" s="26" t="inlineStr">
        <is>
          <t>Image Filename Quality Issues</t>
        </is>
      </c>
      <c r="C201" s="6" t="inlineStr">
        <is>
          <t>https://africanmarketingconfederation.org/amc-conference-2025-highlights/::image_filename_quality_issues</t>
        </is>
      </c>
      <c r="D201" s="29" t="inlineStr">
        <is>
          <t>Info</t>
        </is>
      </c>
      <c r="E201" s="6" t="inlineStr">
        <is>
          <t>Copy Writer</t>
        </is>
      </c>
      <c r="F201" s="6" t="inlineStr"/>
      <c r="G201" s="25" t="inlineStr">
        <is>
          <t>Open</t>
        </is>
      </c>
      <c r="H201">
        <f>IFERROR(HYPERLINK("#Main!A"&amp;MATCH(A201,Main!A:A,0),"Open"),HYPERLINK("#Main!A1","Open"))</f>
        <v/>
      </c>
    </row>
    <row r="202" ht="30" customHeight="1">
      <c r="A202" s="33" t="inlineStr">
        <is>
          <t>https://africanmarketingconfederation.org/amc-conference-2025-highlights/</t>
        </is>
      </c>
      <c r="B202" s="26" t="inlineStr">
        <is>
          <t>No Compression Header</t>
        </is>
      </c>
      <c r="C202" s="24" t="inlineStr">
        <is>
          <t>https://africanmarketingconfederation.org/amc-conference-2025-highlights/::no_compression_header</t>
        </is>
      </c>
      <c r="D202" s="29" t="inlineStr">
        <is>
          <t>Info</t>
        </is>
      </c>
      <c r="E202" s="24" t="inlineStr">
        <is>
          <t>Server/Host</t>
        </is>
      </c>
      <c r="F202" s="24" t="inlineStr"/>
      <c r="G202" s="25" t="inlineStr">
        <is>
          <t>Open</t>
        </is>
      </c>
      <c r="H202">
        <f>IFERROR(HYPERLINK("#Main!A"&amp;MATCH(A202,Main!A:A,0),"Open"),HYPERLINK("#Main!A1","Open"))</f>
        <v/>
      </c>
    </row>
    <row r="203" ht="30" customHeight="1">
      <c r="A203" s="33" t="inlineStr">
        <is>
          <t>https://africanmarketingconfederation.org/amc-conference-2025-highlights/</t>
        </is>
      </c>
      <c r="B203" s="26" t="inlineStr">
        <is>
          <t>No Cache-Control Header</t>
        </is>
      </c>
      <c r="C203" s="6" t="inlineStr">
        <is>
          <t>https://africanmarketingconfederation.org/amc-conference-2025-highlights/::no_cache-control_header</t>
        </is>
      </c>
      <c r="D203" s="29" t="inlineStr">
        <is>
          <t>Info</t>
        </is>
      </c>
      <c r="E203" s="6" t="inlineStr">
        <is>
          <t>Server/Host</t>
        </is>
      </c>
      <c r="F203" s="6" t="inlineStr"/>
      <c r="G203" s="25" t="inlineStr">
        <is>
          <t>Open</t>
        </is>
      </c>
      <c r="H203">
        <f>IFERROR(HYPERLINK("#Main!A"&amp;MATCH(A203,Main!A:A,0),"Open"),HYPERLINK("#Main!A1","Open"))</f>
        <v/>
      </c>
    </row>
    <row r="204" ht="30" customHeight="1">
      <c r="A204" s="33" t="inlineStr">
        <is>
          <t>https://africanmarketingconfederation.org/amc-conference-2025-highlights/</t>
        </is>
      </c>
      <c r="B204" s="26" t="inlineStr">
        <is>
          <t>No ETag Header</t>
        </is>
      </c>
      <c r="C204" s="24" t="inlineStr">
        <is>
          <t>https://africanmarketingconfederation.org/amc-conference-2025-highlights/::no_etag_header</t>
        </is>
      </c>
      <c r="D204" s="29" t="inlineStr">
        <is>
          <t>Info</t>
        </is>
      </c>
      <c r="E204" s="24" t="inlineStr">
        <is>
          <t>Server/Host</t>
        </is>
      </c>
      <c r="F204" s="24" t="inlineStr"/>
      <c r="G204" s="25" t="inlineStr">
        <is>
          <t>Open</t>
        </is>
      </c>
      <c r="H204">
        <f>IFERROR(HYPERLINK("#Main!A"&amp;MATCH(A204,Main!A:A,0),"Open"),HYPERLINK("#Main!A1","Open"))</f>
        <v/>
      </c>
    </row>
    <row r="205" ht="30" customHeight="1">
      <c r="A205" s="33" t="inlineStr">
        <is>
          <t>https://africanmarketingconfederation.org/amc-conference-2025-highlights/</t>
        </is>
      </c>
      <c r="B205" s="26" t="inlineStr">
        <is>
          <t>No FAQ/QA Schema</t>
        </is>
      </c>
      <c r="C205" s="6" t="inlineStr">
        <is>
          <t>https://africanmarketingconfederation.org/amc-conference-2025-highlights/::no_faq_qa_schema</t>
        </is>
      </c>
      <c r="D205" s="29" t="inlineStr">
        <is>
          <t>Info</t>
        </is>
      </c>
      <c r="E205" s="6" t="inlineStr">
        <is>
          <t>Dev</t>
        </is>
      </c>
      <c r="F205" s="6" t="inlineStr"/>
      <c r="G205" s="25" t="inlineStr">
        <is>
          <t>Open</t>
        </is>
      </c>
      <c r="H205">
        <f>IFERROR(HYPERLINK("#Main!A"&amp;MATCH(A205,Main!A:A,0),"Open"),HYPERLINK("#Main!A1","Open"))</f>
        <v/>
      </c>
    </row>
    <row r="206" ht="30" customHeight="1">
      <c r="A206" s="33" t="inlineStr">
        <is>
          <t>https://africanmarketingconfederation.org/amc-conference-2025-highlights/</t>
        </is>
      </c>
      <c r="B206" s="26" t="inlineStr">
        <is>
          <t>No Question Headings</t>
        </is>
      </c>
      <c r="C206" s="24" t="inlineStr">
        <is>
          <t>https://africanmarketingconfederation.org/amc-conference-2025-highlights/::no_question_headings</t>
        </is>
      </c>
      <c r="D206" s="29" t="inlineStr">
        <is>
          <t>Info</t>
        </is>
      </c>
      <c r="E206" s="24" t="inlineStr">
        <is>
          <t>Copy Writer</t>
        </is>
      </c>
      <c r="F206" s="24" t="inlineStr"/>
      <c r="G206" s="25" t="inlineStr">
        <is>
          <t>Open</t>
        </is>
      </c>
      <c r="H206">
        <f>IFERROR(HYPERLINK("#Main!A"&amp;MATCH(A206,Main!A:A,0),"Open"),HYPERLINK("#Main!A1","Open"))</f>
        <v/>
      </c>
    </row>
    <row r="207" ht="30" customHeight="1">
      <c r="A207" s="33" t="inlineStr">
        <is>
          <t>https://africanmarketingconfederation.org/amc-conference-2025-highlights/</t>
        </is>
      </c>
      <c r="B207" s="26" t="inlineStr">
        <is>
          <t>No Answer-Friendly Structure</t>
        </is>
      </c>
      <c r="C207" s="6" t="inlineStr">
        <is>
          <t>https://africanmarketingconfederation.org/amc-conference-2025-highlights/::no_answer-friendly_structure</t>
        </is>
      </c>
      <c r="D207" s="29" t="inlineStr">
        <is>
          <t>Info</t>
        </is>
      </c>
      <c r="E207" s="6" t="inlineStr">
        <is>
          <t>Copy Writer</t>
        </is>
      </c>
      <c r="F207" s="6" t="inlineStr"/>
      <c r="G207" s="25" t="inlineStr">
        <is>
          <t>Open</t>
        </is>
      </c>
      <c r="H207">
        <f>IFERROR(HYPERLINK("#Main!A"&amp;MATCH(A207,Main!A:A,0),"Open"),HYPERLINK("#Main!A1","Open"))</f>
        <v/>
      </c>
    </row>
    <row r="208" ht="30" customHeight="1">
      <c r="A208" s="33" t="inlineStr">
        <is>
          <t>https://africanmarketingconfederation.org/amc-conference-2025-highlights/</t>
        </is>
      </c>
      <c r="B208" s="26" t="inlineStr">
        <is>
          <t>No 40-60 Word Answer Paragraphs</t>
        </is>
      </c>
      <c r="C208" s="24" t="inlineStr">
        <is>
          <t>https://africanmarketingconfederation.org/amc-conference-2025-highlights/::no_40-60_word_answer_paragraphs</t>
        </is>
      </c>
      <c r="D208" s="29" t="inlineStr">
        <is>
          <t>Info</t>
        </is>
      </c>
      <c r="E208" s="24" t="inlineStr">
        <is>
          <t>Copy Writer</t>
        </is>
      </c>
      <c r="F208" s="24" t="inlineStr"/>
      <c r="G208" s="25" t="inlineStr">
        <is>
          <t>Open</t>
        </is>
      </c>
      <c r="H208">
        <f>IFERROR(HYPERLINK("#Main!A"&amp;MATCH(A208,Main!A:A,0),"Open"),HYPERLINK("#Main!A1","Open"))</f>
        <v/>
      </c>
    </row>
    <row r="209" ht="30" customHeight="1">
      <c r="A209" s="33" t="inlineStr">
        <is>
          <t>https://africanmarketingconfederation.org/amc-conference-2022/</t>
        </is>
      </c>
      <c r="B209" s="26" t="inlineStr">
        <is>
          <t>Missing H1</t>
        </is>
      </c>
      <c r="C209" s="6" t="inlineStr">
        <is>
          <t>https://africanmarketingconfederation.org/amc-conference-2022/::missing_h1</t>
        </is>
      </c>
      <c r="D209" s="25" t="inlineStr">
        <is>
          <t>Warning</t>
        </is>
      </c>
      <c r="E209" s="6" t="inlineStr">
        <is>
          <t>Copy Writer</t>
        </is>
      </c>
      <c r="F209" s="6" t="inlineStr"/>
      <c r="G209" s="25" t="inlineStr">
        <is>
          <t>Open</t>
        </is>
      </c>
      <c r="H209">
        <f>IFERROR(HYPERLINK("#Main!A"&amp;MATCH(A209,Main!A:A,0),"Open"),HYPERLINK("#Main!A1","Open"))</f>
        <v/>
      </c>
    </row>
    <row r="210" ht="30" customHeight="1">
      <c r="A210" s="33" t="inlineStr">
        <is>
          <t>https://africanmarketingconfederation.org/amc-conference-2022/</t>
        </is>
      </c>
      <c r="B210" s="26" t="inlineStr">
        <is>
          <t>Low AEO Readiness Score</t>
        </is>
      </c>
      <c r="C210" s="24" t="inlineStr">
        <is>
          <t>https://africanmarketingconfederation.org/amc-conference-2022/::low_aeo_readiness_score</t>
        </is>
      </c>
      <c r="D210" s="25" t="inlineStr">
        <is>
          <t>Warning</t>
        </is>
      </c>
      <c r="E210" s="24" t="inlineStr">
        <is>
          <t>Copy Writer</t>
        </is>
      </c>
      <c r="F210" s="24" t="inlineStr"/>
      <c r="G210" s="25" t="inlineStr">
        <is>
          <t>Open</t>
        </is>
      </c>
      <c r="H210">
        <f>IFERROR(HYPERLINK("#Main!A"&amp;MATCH(A210,Main!A:A,0),"Open"),HYPERLINK("#Main!A1","Open"))</f>
        <v/>
      </c>
    </row>
    <row r="211" ht="30" customHeight="1">
      <c r="A211" s="33" t="inlineStr">
        <is>
          <t>https://africanmarketingconfederation.org/amc-conference-2022/</t>
        </is>
      </c>
      <c r="B211" s="26" t="inlineStr">
        <is>
          <t>No Compression Header</t>
        </is>
      </c>
      <c r="C211" s="6" t="inlineStr">
        <is>
          <t>https://africanmarketingconfederation.org/amc-conference-2022/::no_compression_header</t>
        </is>
      </c>
      <c r="D211" s="29" t="inlineStr">
        <is>
          <t>Info</t>
        </is>
      </c>
      <c r="E211" s="6" t="inlineStr">
        <is>
          <t>Server/Host</t>
        </is>
      </c>
      <c r="F211" s="6" t="inlineStr"/>
      <c r="G211" s="25" t="inlineStr">
        <is>
          <t>Open</t>
        </is>
      </c>
      <c r="H211">
        <f>IFERROR(HYPERLINK("#Main!A"&amp;MATCH(A211,Main!A:A,0),"Open"),HYPERLINK("#Main!A1","Open"))</f>
        <v/>
      </c>
    </row>
    <row r="212" ht="30" customHeight="1">
      <c r="A212" s="33" t="inlineStr">
        <is>
          <t>https://africanmarketingconfederation.org/amc-conference-2022/</t>
        </is>
      </c>
      <c r="B212" s="26" t="inlineStr">
        <is>
          <t>No Cache-Control Header</t>
        </is>
      </c>
      <c r="C212" s="24" t="inlineStr">
        <is>
          <t>https://africanmarketingconfederation.org/amc-conference-2022/::no_cache-control_header</t>
        </is>
      </c>
      <c r="D212" s="29" t="inlineStr">
        <is>
          <t>Info</t>
        </is>
      </c>
      <c r="E212" s="24" t="inlineStr">
        <is>
          <t>Server/Host</t>
        </is>
      </c>
      <c r="F212" s="24" t="inlineStr"/>
      <c r="G212" s="25" t="inlineStr">
        <is>
          <t>Open</t>
        </is>
      </c>
      <c r="H212">
        <f>IFERROR(HYPERLINK("#Main!A"&amp;MATCH(A212,Main!A:A,0),"Open"),HYPERLINK("#Main!A1","Open"))</f>
        <v/>
      </c>
    </row>
    <row r="213" ht="30" customHeight="1">
      <c r="A213" s="33" t="inlineStr">
        <is>
          <t>https://africanmarketingconfederation.org/amc-conference-2022/</t>
        </is>
      </c>
      <c r="B213" s="26" t="inlineStr">
        <is>
          <t>No ETag Header</t>
        </is>
      </c>
      <c r="C213" s="6" t="inlineStr">
        <is>
          <t>https://africanmarketingconfederation.org/amc-conference-2022/::no_etag_header</t>
        </is>
      </c>
      <c r="D213" s="29" t="inlineStr">
        <is>
          <t>Info</t>
        </is>
      </c>
      <c r="E213" s="6" t="inlineStr">
        <is>
          <t>Server/Host</t>
        </is>
      </c>
      <c r="F213" s="6" t="inlineStr"/>
      <c r="G213" s="25" t="inlineStr">
        <is>
          <t>Open</t>
        </is>
      </c>
      <c r="H213">
        <f>IFERROR(HYPERLINK("#Main!A"&amp;MATCH(A213,Main!A:A,0),"Open"),HYPERLINK("#Main!A1","Open"))</f>
        <v/>
      </c>
    </row>
    <row r="214" ht="30" customHeight="1">
      <c r="A214" s="33" t="inlineStr">
        <is>
          <t>https://africanmarketingconfederation.org/amc-conference-2022/</t>
        </is>
      </c>
      <c r="B214" s="26" t="inlineStr">
        <is>
          <t>No FAQ/QA Schema</t>
        </is>
      </c>
      <c r="C214" s="24" t="inlineStr">
        <is>
          <t>https://africanmarketingconfederation.org/amc-conference-2022/::no_faq_qa_schema</t>
        </is>
      </c>
      <c r="D214" s="29" t="inlineStr">
        <is>
          <t>Info</t>
        </is>
      </c>
      <c r="E214" s="24" t="inlineStr">
        <is>
          <t>Dev</t>
        </is>
      </c>
      <c r="F214" s="24" t="inlineStr"/>
      <c r="G214" s="25" t="inlineStr">
        <is>
          <t>Open</t>
        </is>
      </c>
      <c r="H214">
        <f>IFERROR(HYPERLINK("#Main!A"&amp;MATCH(A214,Main!A:A,0),"Open"),HYPERLINK("#Main!A1","Open"))</f>
        <v/>
      </c>
    </row>
    <row r="215" ht="30" customHeight="1">
      <c r="A215" s="33" t="inlineStr">
        <is>
          <t>https://africanmarketingconfederation.org/amc-conference-2022/</t>
        </is>
      </c>
      <c r="B215" s="26" t="inlineStr">
        <is>
          <t>No Question Headings</t>
        </is>
      </c>
      <c r="C215" s="6" t="inlineStr">
        <is>
          <t>https://africanmarketingconfederation.org/amc-conference-2022/::no_question_headings</t>
        </is>
      </c>
      <c r="D215" s="29" t="inlineStr">
        <is>
          <t>Info</t>
        </is>
      </c>
      <c r="E215" s="6" t="inlineStr">
        <is>
          <t>Copy Writer</t>
        </is>
      </c>
      <c r="F215" s="6" t="inlineStr"/>
      <c r="G215" s="25" t="inlineStr">
        <is>
          <t>Open</t>
        </is>
      </c>
      <c r="H215">
        <f>IFERROR(HYPERLINK("#Main!A"&amp;MATCH(A215,Main!A:A,0),"Open"),HYPERLINK("#Main!A1","Open"))</f>
        <v/>
      </c>
    </row>
    <row r="216" ht="30" customHeight="1">
      <c r="A216" s="33" t="inlineStr">
        <is>
          <t>https://africanmarketingconfederation.org/amc-conference-2022/</t>
        </is>
      </c>
      <c r="B216" s="26" t="inlineStr">
        <is>
          <t>No Answer-Friendly Structure</t>
        </is>
      </c>
      <c r="C216" s="24" t="inlineStr">
        <is>
          <t>https://africanmarketingconfederation.org/amc-conference-2022/::no_answer-friendly_structure</t>
        </is>
      </c>
      <c r="D216" s="29" t="inlineStr">
        <is>
          <t>Info</t>
        </is>
      </c>
      <c r="E216" s="24" t="inlineStr">
        <is>
          <t>Copy Writer</t>
        </is>
      </c>
      <c r="F216" s="24" t="inlineStr"/>
      <c r="G216" s="25" t="inlineStr">
        <is>
          <t>Open</t>
        </is>
      </c>
      <c r="H216">
        <f>IFERROR(HYPERLINK("#Main!A"&amp;MATCH(A216,Main!A:A,0),"Open"),HYPERLINK("#Main!A1","Open"))</f>
        <v/>
      </c>
    </row>
    <row r="217" ht="30" customHeight="1">
      <c r="A217" s="33" t="inlineStr">
        <is>
          <t>https://africanmarketingconfederation.org/amc-conference-2022/</t>
        </is>
      </c>
      <c r="B217" s="26" t="inlineStr">
        <is>
          <t>No 40-60 Word Answer Paragraphs</t>
        </is>
      </c>
      <c r="C217" s="6" t="inlineStr">
        <is>
          <t>https://africanmarketingconfederation.org/amc-conference-2022/::no_40-60_word_answer_paragraphs</t>
        </is>
      </c>
      <c r="D217" s="29" t="inlineStr">
        <is>
          <t>Info</t>
        </is>
      </c>
      <c r="E217" s="6" t="inlineStr">
        <is>
          <t>Copy Writer</t>
        </is>
      </c>
      <c r="F217" s="6" t="inlineStr"/>
      <c r="G217" s="25" t="inlineStr">
        <is>
          <t>Open</t>
        </is>
      </c>
      <c r="H217">
        <f>IFERROR(HYPERLINK("#Main!A"&amp;MATCH(A217,Main!A:A,0),"Open"),HYPERLINK("#Main!A1","Open"))</f>
        <v/>
      </c>
    </row>
    <row r="218" ht="30" customHeight="1">
      <c r="A218" s="33" t="inlineStr">
        <is>
          <t>https://africanmarketingconfederation.org/amc-conference-2023/gallery/</t>
        </is>
      </c>
      <c r="B218" s="26" t="inlineStr">
        <is>
          <t>Thin Content</t>
        </is>
      </c>
      <c r="C218" s="24" t="inlineStr">
        <is>
          <t>https://africanmarketingconfederation.org/amc-conference-2023/gallery/::thin_content</t>
        </is>
      </c>
      <c r="D218" s="25" t="inlineStr">
        <is>
          <t>Warning</t>
        </is>
      </c>
      <c r="E218" s="24" t="inlineStr">
        <is>
          <t>Copy Writer</t>
        </is>
      </c>
      <c r="F218" s="24" t="inlineStr"/>
      <c r="G218" s="25" t="inlineStr">
        <is>
          <t>Open</t>
        </is>
      </c>
      <c r="H218">
        <f>IFERROR(HYPERLINK("#Main!A"&amp;MATCH(A218,Main!A:A,0),"Open"),HYPERLINK("#Main!A1","Open"))</f>
        <v/>
      </c>
    </row>
    <row r="219" ht="30" customHeight="1">
      <c r="A219" s="33" t="inlineStr">
        <is>
          <t>https://africanmarketingconfederation.org/amc-conference-2023/gallery/</t>
        </is>
      </c>
      <c r="B219" s="26" t="inlineStr">
        <is>
          <t>Low AEO Readiness Score</t>
        </is>
      </c>
      <c r="C219" s="6" t="inlineStr">
        <is>
          <t>https://africanmarketingconfederation.org/amc-conference-2023/gallery/::low_aeo_readiness_score</t>
        </is>
      </c>
      <c r="D219" s="25" t="inlineStr">
        <is>
          <t>Warning</t>
        </is>
      </c>
      <c r="E219" s="6" t="inlineStr">
        <is>
          <t>Copy Writer</t>
        </is>
      </c>
      <c r="F219" s="6" t="inlineStr"/>
      <c r="G219" s="25" t="inlineStr">
        <is>
          <t>Open</t>
        </is>
      </c>
      <c r="H219">
        <f>IFERROR(HYPERLINK("#Main!A"&amp;MATCH(A219,Main!A:A,0),"Open"),HYPERLINK("#Main!A1","Open"))</f>
        <v/>
      </c>
    </row>
    <row r="220" ht="30" customHeight="1">
      <c r="A220" s="33" t="inlineStr">
        <is>
          <t>https://africanmarketingconfederation.org/amc-conference-2023/gallery/</t>
        </is>
      </c>
      <c r="B220" s="26" t="inlineStr">
        <is>
          <t>No Compression Header</t>
        </is>
      </c>
      <c r="C220" s="24" t="inlineStr">
        <is>
          <t>https://africanmarketingconfederation.org/amc-conference-2023/gallery/::no_compression_header</t>
        </is>
      </c>
      <c r="D220" s="29" t="inlineStr">
        <is>
          <t>Info</t>
        </is>
      </c>
      <c r="E220" s="24" t="inlineStr">
        <is>
          <t>Server/Host</t>
        </is>
      </c>
      <c r="F220" s="24" t="inlineStr"/>
      <c r="G220" s="25" t="inlineStr">
        <is>
          <t>Open</t>
        </is>
      </c>
      <c r="H220">
        <f>IFERROR(HYPERLINK("#Main!A"&amp;MATCH(A220,Main!A:A,0),"Open"),HYPERLINK("#Main!A1","Open"))</f>
        <v/>
      </c>
    </row>
    <row r="221" ht="30" customHeight="1">
      <c r="A221" s="33" t="inlineStr">
        <is>
          <t>https://africanmarketingconfederation.org/amc-conference-2023/gallery/</t>
        </is>
      </c>
      <c r="B221" s="26" t="inlineStr">
        <is>
          <t>No Cache-Control Header</t>
        </is>
      </c>
      <c r="C221" s="6" t="inlineStr">
        <is>
          <t>https://africanmarketingconfederation.org/amc-conference-2023/gallery/::no_cache-control_header</t>
        </is>
      </c>
      <c r="D221" s="29" t="inlineStr">
        <is>
          <t>Info</t>
        </is>
      </c>
      <c r="E221" s="6" t="inlineStr">
        <is>
          <t>Server/Host</t>
        </is>
      </c>
      <c r="F221" s="6" t="inlineStr"/>
      <c r="G221" s="25" t="inlineStr">
        <is>
          <t>Open</t>
        </is>
      </c>
      <c r="H221">
        <f>IFERROR(HYPERLINK("#Main!A"&amp;MATCH(A221,Main!A:A,0),"Open"),HYPERLINK("#Main!A1","Open"))</f>
        <v/>
      </c>
    </row>
    <row r="222" ht="30" customHeight="1">
      <c r="A222" s="33" t="inlineStr">
        <is>
          <t>https://africanmarketingconfederation.org/amc-conference-2023/gallery/</t>
        </is>
      </c>
      <c r="B222" s="26" t="inlineStr">
        <is>
          <t>No ETag Header</t>
        </is>
      </c>
      <c r="C222" s="24" t="inlineStr">
        <is>
          <t>https://africanmarketingconfederation.org/amc-conference-2023/gallery/::no_etag_header</t>
        </is>
      </c>
      <c r="D222" s="29" t="inlineStr">
        <is>
          <t>Info</t>
        </is>
      </c>
      <c r="E222" s="24" t="inlineStr">
        <is>
          <t>Server/Host</t>
        </is>
      </c>
      <c r="F222" s="24" t="inlineStr"/>
      <c r="G222" s="25" t="inlineStr">
        <is>
          <t>Open</t>
        </is>
      </c>
      <c r="H222">
        <f>IFERROR(HYPERLINK("#Main!A"&amp;MATCH(A222,Main!A:A,0),"Open"),HYPERLINK("#Main!A1","Open"))</f>
        <v/>
      </c>
    </row>
    <row r="223" ht="30" customHeight="1">
      <c r="A223" s="33" t="inlineStr">
        <is>
          <t>https://africanmarketingconfederation.org/amc-conference-2023/gallery/</t>
        </is>
      </c>
      <c r="B223" s="26" t="inlineStr">
        <is>
          <t>No FAQ/QA Schema</t>
        </is>
      </c>
      <c r="C223" s="6" t="inlineStr">
        <is>
          <t>https://africanmarketingconfederation.org/amc-conference-2023/gallery/::no_faq_qa_schema</t>
        </is>
      </c>
      <c r="D223" s="29" t="inlineStr">
        <is>
          <t>Info</t>
        </is>
      </c>
      <c r="E223" s="6" t="inlineStr">
        <is>
          <t>Dev</t>
        </is>
      </c>
      <c r="F223" s="6" t="inlineStr"/>
      <c r="G223" s="25" t="inlineStr">
        <is>
          <t>Open</t>
        </is>
      </c>
      <c r="H223">
        <f>IFERROR(HYPERLINK("#Main!A"&amp;MATCH(A223,Main!A:A,0),"Open"),HYPERLINK("#Main!A1","Open"))</f>
        <v/>
      </c>
    </row>
    <row r="224" ht="30" customHeight="1">
      <c r="A224" s="33" t="inlineStr">
        <is>
          <t>https://africanmarketingconfederation.org/amc-conference-2023/gallery/</t>
        </is>
      </c>
      <c r="B224" s="26" t="inlineStr">
        <is>
          <t>No Question Headings</t>
        </is>
      </c>
      <c r="C224" s="24" t="inlineStr">
        <is>
          <t>https://africanmarketingconfederation.org/amc-conference-2023/gallery/::no_question_headings</t>
        </is>
      </c>
      <c r="D224" s="29" t="inlineStr">
        <is>
          <t>Info</t>
        </is>
      </c>
      <c r="E224" s="24" t="inlineStr">
        <is>
          <t>Copy Writer</t>
        </is>
      </c>
      <c r="F224" s="24" t="inlineStr"/>
      <c r="G224" s="25" t="inlineStr">
        <is>
          <t>Open</t>
        </is>
      </c>
      <c r="H224">
        <f>IFERROR(HYPERLINK("#Main!A"&amp;MATCH(A224,Main!A:A,0),"Open"),HYPERLINK("#Main!A1","Open"))</f>
        <v/>
      </c>
    </row>
    <row r="225" ht="30" customHeight="1">
      <c r="A225" s="33" t="inlineStr">
        <is>
          <t>https://africanmarketingconfederation.org/amc-conference-2023/gallery/</t>
        </is>
      </c>
      <c r="B225" s="26" t="inlineStr">
        <is>
          <t>No Answer-Friendly Structure</t>
        </is>
      </c>
      <c r="C225" s="6" t="inlineStr">
        <is>
          <t>https://africanmarketingconfederation.org/amc-conference-2023/gallery/::no_answer-friendly_structure</t>
        </is>
      </c>
      <c r="D225" s="29" t="inlineStr">
        <is>
          <t>Info</t>
        </is>
      </c>
      <c r="E225" s="6" t="inlineStr">
        <is>
          <t>Copy Writer</t>
        </is>
      </c>
      <c r="F225" s="6" t="inlineStr"/>
      <c r="G225" s="25" t="inlineStr">
        <is>
          <t>Open</t>
        </is>
      </c>
      <c r="H225">
        <f>IFERROR(HYPERLINK("#Main!A"&amp;MATCH(A225,Main!A:A,0),"Open"),HYPERLINK("#Main!A1","Open"))</f>
        <v/>
      </c>
    </row>
    <row r="226" ht="30" customHeight="1">
      <c r="A226" s="33" t="inlineStr">
        <is>
          <t>https://africanmarketingconfederation.org/amc-conference-2023/gallery/</t>
        </is>
      </c>
      <c r="B226" s="26" t="inlineStr">
        <is>
          <t>No 40-60 Word Answer Paragraphs</t>
        </is>
      </c>
      <c r="C226" s="24" t="inlineStr">
        <is>
          <t>https://africanmarketingconfederation.org/amc-conference-2023/gallery/::no_40-60_word_answer_paragraphs</t>
        </is>
      </c>
      <c r="D226" s="29" t="inlineStr">
        <is>
          <t>Info</t>
        </is>
      </c>
      <c r="E226" s="24" t="inlineStr">
        <is>
          <t>Copy Writer</t>
        </is>
      </c>
      <c r="F226" s="24" t="inlineStr"/>
      <c r="G226" s="25" t="inlineStr">
        <is>
          <t>Open</t>
        </is>
      </c>
      <c r="H226">
        <f>IFERROR(HYPERLINK("#Main!A"&amp;MATCH(A226,Main!A:A,0),"Open"),HYPERLINK("#Main!A1","Open"))</f>
        <v/>
      </c>
    </row>
    <row r="227" ht="30" customHeight="1">
      <c r="A227" s="33" t="inlineStr">
        <is>
          <t>https://africanmarketingconfederation.org/conference-registrations-2024/</t>
        </is>
      </c>
      <c r="B227" s="26" t="inlineStr">
        <is>
          <t>Low AEO Readiness Score</t>
        </is>
      </c>
      <c r="C227" s="6" t="inlineStr">
        <is>
          <t>https://africanmarketingconfederation.org/conference-registrations-2024/::low_aeo_readiness_score</t>
        </is>
      </c>
      <c r="D227" s="25" t="inlineStr">
        <is>
          <t>Warning</t>
        </is>
      </c>
      <c r="E227" s="6" t="inlineStr">
        <is>
          <t>Copy Writer</t>
        </is>
      </c>
      <c r="F227" s="6" t="inlineStr"/>
      <c r="G227" s="25" t="inlineStr">
        <is>
          <t>Open</t>
        </is>
      </c>
      <c r="H227">
        <f>IFERROR(HYPERLINK("#Main!A"&amp;MATCH(A227,Main!A:A,0),"Open"),HYPERLINK("#Main!A1","Open"))</f>
        <v/>
      </c>
    </row>
    <row r="228" ht="30" customHeight="1">
      <c r="A228" s="33" t="inlineStr">
        <is>
          <t>https://africanmarketingconfederation.org/conference-registrations-2024/</t>
        </is>
      </c>
      <c r="B228" s="26" t="inlineStr">
        <is>
          <t>No Compression Header</t>
        </is>
      </c>
      <c r="C228" s="24" t="inlineStr">
        <is>
          <t>https://africanmarketingconfederation.org/conference-registrations-2024/::no_compression_header</t>
        </is>
      </c>
      <c r="D228" s="29" t="inlineStr">
        <is>
          <t>Info</t>
        </is>
      </c>
      <c r="E228" s="24" t="inlineStr">
        <is>
          <t>Server/Host</t>
        </is>
      </c>
      <c r="F228" s="24" t="inlineStr"/>
      <c r="G228" s="25" t="inlineStr">
        <is>
          <t>Open</t>
        </is>
      </c>
      <c r="H228">
        <f>IFERROR(HYPERLINK("#Main!A"&amp;MATCH(A228,Main!A:A,0),"Open"),HYPERLINK("#Main!A1","Open"))</f>
        <v/>
      </c>
    </row>
    <row r="229" ht="30" customHeight="1">
      <c r="A229" s="33" t="inlineStr">
        <is>
          <t>https://africanmarketingconfederation.org/conference-registrations-2024/</t>
        </is>
      </c>
      <c r="B229" s="26" t="inlineStr">
        <is>
          <t>No Cache-Control Header</t>
        </is>
      </c>
      <c r="C229" s="6" t="inlineStr">
        <is>
          <t>https://africanmarketingconfederation.org/conference-registrations-2024/::no_cache-control_header</t>
        </is>
      </c>
      <c r="D229" s="29" t="inlineStr">
        <is>
          <t>Info</t>
        </is>
      </c>
      <c r="E229" s="6" t="inlineStr">
        <is>
          <t>Server/Host</t>
        </is>
      </c>
      <c r="F229" s="6" t="inlineStr"/>
      <c r="G229" s="25" t="inlineStr">
        <is>
          <t>Open</t>
        </is>
      </c>
      <c r="H229">
        <f>IFERROR(HYPERLINK("#Main!A"&amp;MATCH(A229,Main!A:A,0),"Open"),HYPERLINK("#Main!A1","Open"))</f>
        <v/>
      </c>
    </row>
    <row r="230" ht="30" customHeight="1">
      <c r="A230" s="33" t="inlineStr">
        <is>
          <t>https://africanmarketingconfederation.org/conference-registrations-2024/</t>
        </is>
      </c>
      <c r="B230" s="26" t="inlineStr">
        <is>
          <t>No ETag Header</t>
        </is>
      </c>
      <c r="C230" s="24" t="inlineStr">
        <is>
          <t>https://africanmarketingconfederation.org/conference-registrations-2024/::no_etag_header</t>
        </is>
      </c>
      <c r="D230" s="29" t="inlineStr">
        <is>
          <t>Info</t>
        </is>
      </c>
      <c r="E230" s="24" t="inlineStr">
        <is>
          <t>Server/Host</t>
        </is>
      </c>
      <c r="F230" s="24" t="inlineStr"/>
      <c r="G230" s="25" t="inlineStr">
        <is>
          <t>Open</t>
        </is>
      </c>
      <c r="H230">
        <f>IFERROR(HYPERLINK("#Main!A"&amp;MATCH(A230,Main!A:A,0),"Open"),HYPERLINK("#Main!A1","Open"))</f>
        <v/>
      </c>
    </row>
    <row r="231" ht="30" customHeight="1">
      <c r="A231" s="33" t="inlineStr">
        <is>
          <t>https://africanmarketingconfederation.org/conference-registrations-2024/</t>
        </is>
      </c>
      <c r="B231" s="26" t="inlineStr">
        <is>
          <t>No FAQ/QA Schema</t>
        </is>
      </c>
      <c r="C231" s="6" t="inlineStr">
        <is>
          <t>https://africanmarketingconfederation.org/conference-registrations-2024/::no_faq_qa_schema</t>
        </is>
      </c>
      <c r="D231" s="29" t="inlineStr">
        <is>
          <t>Info</t>
        </is>
      </c>
      <c r="E231" s="6" t="inlineStr">
        <is>
          <t>Dev</t>
        </is>
      </c>
      <c r="F231" s="6" t="inlineStr"/>
      <c r="G231" s="25" t="inlineStr">
        <is>
          <t>Open</t>
        </is>
      </c>
      <c r="H231">
        <f>IFERROR(HYPERLINK("#Main!A"&amp;MATCH(A231,Main!A:A,0),"Open"),HYPERLINK("#Main!A1","Open"))</f>
        <v/>
      </c>
    </row>
    <row r="232" ht="30" customHeight="1">
      <c r="A232" s="33" t="inlineStr">
        <is>
          <t>https://africanmarketingconfederation.org/conference-registrations-2024/</t>
        </is>
      </c>
      <c r="B232" s="26" t="inlineStr">
        <is>
          <t>No Question Headings</t>
        </is>
      </c>
      <c r="C232" s="24" t="inlineStr">
        <is>
          <t>https://africanmarketingconfederation.org/conference-registrations-2024/::no_question_headings</t>
        </is>
      </c>
      <c r="D232" s="29" t="inlineStr">
        <is>
          <t>Info</t>
        </is>
      </c>
      <c r="E232" s="24" t="inlineStr">
        <is>
          <t>Copy Writer</t>
        </is>
      </c>
      <c r="F232" s="24" t="inlineStr"/>
      <c r="G232" s="25" t="inlineStr">
        <is>
          <t>Open</t>
        </is>
      </c>
      <c r="H232">
        <f>IFERROR(HYPERLINK("#Main!A"&amp;MATCH(A232,Main!A:A,0),"Open"),HYPERLINK("#Main!A1","Open"))</f>
        <v/>
      </c>
    </row>
    <row r="233" ht="30" customHeight="1">
      <c r="A233" s="33" t="inlineStr">
        <is>
          <t>https://africanmarketingconfederation.org/conference-registrations-2024/</t>
        </is>
      </c>
      <c r="B233" s="26" t="inlineStr">
        <is>
          <t>No Answer-Friendly Structure</t>
        </is>
      </c>
      <c r="C233" s="6" t="inlineStr">
        <is>
          <t>https://africanmarketingconfederation.org/conference-registrations-2024/::no_answer-friendly_structure</t>
        </is>
      </c>
      <c r="D233" s="29" t="inlineStr">
        <is>
          <t>Info</t>
        </is>
      </c>
      <c r="E233" s="6" t="inlineStr">
        <is>
          <t>Copy Writer</t>
        </is>
      </c>
      <c r="F233" s="6" t="inlineStr"/>
      <c r="G233" s="25" t="inlineStr">
        <is>
          <t>Open</t>
        </is>
      </c>
      <c r="H233">
        <f>IFERROR(HYPERLINK("#Main!A"&amp;MATCH(A233,Main!A:A,0),"Open"),HYPERLINK("#Main!A1","Open"))</f>
        <v/>
      </c>
    </row>
    <row r="234" ht="30" customHeight="1">
      <c r="A234" s="33" t="inlineStr">
        <is>
          <t>https://africanmarketingconfederation.org/conference-registrations-2024/</t>
        </is>
      </c>
      <c r="B234" s="26" t="inlineStr">
        <is>
          <t>No 40-60 Word Answer Paragraphs</t>
        </is>
      </c>
      <c r="C234" s="24" t="inlineStr">
        <is>
          <t>https://africanmarketingconfederation.org/conference-registrations-2024/::no_40-60_word_answer_paragraphs</t>
        </is>
      </c>
      <c r="D234" s="29" t="inlineStr">
        <is>
          <t>Info</t>
        </is>
      </c>
      <c r="E234" s="24" t="inlineStr">
        <is>
          <t>Copy Writer</t>
        </is>
      </c>
      <c r="F234" s="24" t="inlineStr"/>
      <c r="G234" s="25" t="inlineStr">
        <is>
          <t>Open</t>
        </is>
      </c>
      <c r="H234">
        <f>IFERROR(HYPERLINK("#Main!A"&amp;MATCH(A234,Main!A:A,0),"Open"),HYPERLINK("#Main!A1","Open"))</f>
        <v/>
      </c>
    </row>
    <row r="235" ht="30" customHeight="1">
      <c r="A235" s="33" t="inlineStr">
        <is>
          <t>https://africanmarketingconfederation.org/elementor-31820/</t>
        </is>
      </c>
      <c r="B235" s="26" t="inlineStr">
        <is>
          <t>Low AEO Readiness Score</t>
        </is>
      </c>
      <c r="C235" s="6" t="inlineStr">
        <is>
          <t>https://africanmarketingconfederation.org/elementor-31820/::low_aeo_readiness_score</t>
        </is>
      </c>
      <c r="D235" s="25" t="inlineStr">
        <is>
          <t>Warning</t>
        </is>
      </c>
      <c r="E235" s="6" t="inlineStr">
        <is>
          <t>Copy Writer</t>
        </is>
      </c>
      <c r="F235" s="6" t="inlineStr"/>
      <c r="G235" s="25" t="inlineStr">
        <is>
          <t>Open</t>
        </is>
      </c>
      <c r="H235">
        <f>IFERROR(HYPERLINK("#Main!A"&amp;MATCH(A235,Main!A:A,0),"Open"),HYPERLINK("#Main!A1","Open"))</f>
        <v/>
      </c>
    </row>
    <row r="236" ht="30" customHeight="1">
      <c r="A236" s="33" t="inlineStr">
        <is>
          <t>https://africanmarketingconfederation.org/elementor-31820/</t>
        </is>
      </c>
      <c r="B236" s="26" t="inlineStr">
        <is>
          <t>No Compression Header</t>
        </is>
      </c>
      <c r="C236" s="24" t="inlineStr">
        <is>
          <t>https://africanmarketingconfederation.org/elementor-31820/::no_compression_header</t>
        </is>
      </c>
      <c r="D236" s="29" t="inlineStr">
        <is>
          <t>Info</t>
        </is>
      </c>
      <c r="E236" s="24" t="inlineStr">
        <is>
          <t>Server/Host</t>
        </is>
      </c>
      <c r="F236" s="24" t="inlineStr"/>
      <c r="G236" s="25" t="inlineStr">
        <is>
          <t>Open</t>
        </is>
      </c>
      <c r="H236">
        <f>IFERROR(HYPERLINK("#Main!A"&amp;MATCH(A236,Main!A:A,0),"Open"),HYPERLINK("#Main!A1","Open"))</f>
        <v/>
      </c>
    </row>
    <row r="237" ht="30" customHeight="1">
      <c r="A237" s="33" t="inlineStr">
        <is>
          <t>https://africanmarketingconfederation.org/elementor-31820/</t>
        </is>
      </c>
      <c r="B237" s="26" t="inlineStr">
        <is>
          <t>No Cache-Control Header</t>
        </is>
      </c>
      <c r="C237" s="6" t="inlineStr">
        <is>
          <t>https://africanmarketingconfederation.org/elementor-31820/::no_cache-control_header</t>
        </is>
      </c>
      <c r="D237" s="29" t="inlineStr">
        <is>
          <t>Info</t>
        </is>
      </c>
      <c r="E237" s="6" t="inlineStr">
        <is>
          <t>Server/Host</t>
        </is>
      </c>
      <c r="F237" s="6" t="inlineStr"/>
      <c r="G237" s="25" t="inlineStr">
        <is>
          <t>Open</t>
        </is>
      </c>
      <c r="H237">
        <f>IFERROR(HYPERLINK("#Main!A"&amp;MATCH(A237,Main!A:A,0),"Open"),HYPERLINK("#Main!A1","Open"))</f>
        <v/>
      </c>
    </row>
    <row r="238" ht="30" customHeight="1">
      <c r="A238" s="33" t="inlineStr">
        <is>
          <t>https://africanmarketingconfederation.org/elementor-31820/</t>
        </is>
      </c>
      <c r="B238" s="26" t="inlineStr">
        <is>
          <t>No ETag Header</t>
        </is>
      </c>
      <c r="C238" s="24" t="inlineStr">
        <is>
          <t>https://africanmarketingconfederation.org/elementor-31820/::no_etag_header</t>
        </is>
      </c>
      <c r="D238" s="29" t="inlineStr">
        <is>
          <t>Info</t>
        </is>
      </c>
      <c r="E238" s="24" t="inlineStr">
        <is>
          <t>Server/Host</t>
        </is>
      </c>
      <c r="F238" s="24" t="inlineStr"/>
      <c r="G238" s="25" t="inlineStr">
        <is>
          <t>Open</t>
        </is>
      </c>
      <c r="H238">
        <f>IFERROR(HYPERLINK("#Main!A"&amp;MATCH(A238,Main!A:A,0),"Open"),HYPERLINK("#Main!A1","Open"))</f>
        <v/>
      </c>
    </row>
    <row r="239" ht="30" customHeight="1">
      <c r="A239" s="33" t="inlineStr">
        <is>
          <t>https://africanmarketingconfederation.org/elementor-31820/</t>
        </is>
      </c>
      <c r="B239" s="26" t="inlineStr">
        <is>
          <t>No FAQ/QA Schema</t>
        </is>
      </c>
      <c r="C239" s="6" t="inlineStr">
        <is>
          <t>https://africanmarketingconfederation.org/elementor-31820/::no_faq_qa_schema</t>
        </is>
      </c>
      <c r="D239" s="29" t="inlineStr">
        <is>
          <t>Info</t>
        </is>
      </c>
      <c r="E239" s="6" t="inlineStr">
        <is>
          <t>Dev</t>
        </is>
      </c>
      <c r="F239" s="6" t="inlineStr"/>
      <c r="G239" s="25" t="inlineStr">
        <is>
          <t>Open</t>
        </is>
      </c>
      <c r="H239">
        <f>IFERROR(HYPERLINK("#Main!A"&amp;MATCH(A239,Main!A:A,0),"Open"),HYPERLINK("#Main!A1","Open"))</f>
        <v/>
      </c>
    </row>
    <row r="240" ht="30" customHeight="1">
      <c r="A240" s="33" t="inlineStr">
        <is>
          <t>https://africanmarketingconfederation.org/elementor-31820/</t>
        </is>
      </c>
      <c r="B240" s="26" t="inlineStr">
        <is>
          <t>No Question Headings</t>
        </is>
      </c>
      <c r="C240" s="24" t="inlineStr">
        <is>
          <t>https://africanmarketingconfederation.org/elementor-31820/::no_question_headings</t>
        </is>
      </c>
      <c r="D240" s="29" t="inlineStr">
        <is>
          <t>Info</t>
        </is>
      </c>
      <c r="E240" s="24" t="inlineStr">
        <is>
          <t>Copy Writer</t>
        </is>
      </c>
      <c r="F240" s="24" t="inlineStr"/>
      <c r="G240" s="25" t="inlineStr">
        <is>
          <t>Open</t>
        </is>
      </c>
      <c r="H240">
        <f>IFERROR(HYPERLINK("#Main!A"&amp;MATCH(A240,Main!A:A,0),"Open"),HYPERLINK("#Main!A1","Open"))</f>
        <v/>
      </c>
    </row>
    <row r="241" ht="30" customHeight="1">
      <c r="A241" s="33" t="inlineStr">
        <is>
          <t>https://africanmarketingconfederation.org/elementor-31820/</t>
        </is>
      </c>
      <c r="B241" s="26" t="inlineStr">
        <is>
          <t>No Answer-Friendly Structure</t>
        </is>
      </c>
      <c r="C241" s="6" t="inlineStr">
        <is>
          <t>https://africanmarketingconfederation.org/elementor-31820/::no_answer-friendly_structure</t>
        </is>
      </c>
      <c r="D241" s="29" t="inlineStr">
        <is>
          <t>Info</t>
        </is>
      </c>
      <c r="E241" s="6" t="inlineStr">
        <is>
          <t>Copy Writer</t>
        </is>
      </c>
      <c r="F241" s="6" t="inlineStr"/>
      <c r="G241" s="25" t="inlineStr">
        <is>
          <t>Open</t>
        </is>
      </c>
      <c r="H241">
        <f>IFERROR(HYPERLINK("#Main!A"&amp;MATCH(A241,Main!A:A,0),"Open"),HYPERLINK("#Main!A1","Open"))</f>
        <v/>
      </c>
    </row>
    <row r="242" ht="30" customHeight="1">
      <c r="A242" s="33" t="inlineStr">
        <is>
          <t>https://africanmarketingconfederation.org/elementor-31820/</t>
        </is>
      </c>
      <c r="B242" s="26" t="inlineStr">
        <is>
          <t>No 40-60 Word Answer Paragraphs</t>
        </is>
      </c>
      <c r="C242" s="24" t="inlineStr">
        <is>
          <t>https://africanmarketingconfederation.org/elementor-31820/::no_40-60_word_answer_paragraphs</t>
        </is>
      </c>
      <c r="D242" s="29" t="inlineStr">
        <is>
          <t>Info</t>
        </is>
      </c>
      <c r="E242" s="24" t="inlineStr">
        <is>
          <t>Copy Writer</t>
        </is>
      </c>
      <c r="F242" s="24" t="inlineStr"/>
      <c r="G242" s="25" t="inlineStr">
        <is>
          <t>Open</t>
        </is>
      </c>
      <c r="H242">
        <f>IFERROR(HYPERLINK("#Main!A"&amp;MATCH(A242,Main!A:A,0),"Open"),HYPERLINK("#Main!A1","Open"))</f>
        <v/>
      </c>
    </row>
    <row r="243" ht="30" customHeight="1">
      <c r="A243" s="33" t="inlineStr">
        <is>
          <t>https://africanmarketingconfederation.org/amc-conference-2024-recap/</t>
        </is>
      </c>
      <c r="B243" s="26" t="inlineStr">
        <is>
          <t>Multiple H1</t>
        </is>
      </c>
      <c r="C243" s="6" t="inlineStr">
        <is>
          <t>https://africanmarketingconfederation.org/amc-conference-2024-recap/::multiple_h1</t>
        </is>
      </c>
      <c r="D243" s="25" t="inlineStr">
        <is>
          <t>Warning</t>
        </is>
      </c>
      <c r="E243" s="6" t="inlineStr">
        <is>
          <t>Copy Writer</t>
        </is>
      </c>
      <c r="F243" s="6" t="inlineStr"/>
      <c r="G243" s="25" t="inlineStr">
        <is>
          <t>Open</t>
        </is>
      </c>
      <c r="H243">
        <f>IFERROR(HYPERLINK("#Main!A"&amp;MATCH(A243,Main!A:A,0),"Open"),HYPERLINK("#Main!A1","Open"))</f>
        <v/>
      </c>
    </row>
    <row r="244" ht="30" customHeight="1">
      <c r="A244" s="33" t="inlineStr">
        <is>
          <t>https://africanmarketingconfederation.org/amc-conference-2024-recap/</t>
        </is>
      </c>
      <c r="B244" s="26" t="inlineStr">
        <is>
          <t>Low AEO Readiness Score</t>
        </is>
      </c>
      <c r="C244" s="24" t="inlineStr">
        <is>
          <t>https://africanmarketingconfederation.org/amc-conference-2024-recap/::low_aeo_readiness_score</t>
        </is>
      </c>
      <c r="D244" s="25" t="inlineStr">
        <is>
          <t>Warning</t>
        </is>
      </c>
      <c r="E244" s="24" t="inlineStr">
        <is>
          <t>Copy Writer</t>
        </is>
      </c>
      <c r="F244" s="24" t="inlineStr"/>
      <c r="G244" s="25" t="inlineStr">
        <is>
          <t>Open</t>
        </is>
      </c>
      <c r="H244">
        <f>IFERROR(HYPERLINK("#Main!A"&amp;MATCH(A244,Main!A:A,0),"Open"),HYPERLINK("#Main!A1","Open"))</f>
        <v/>
      </c>
    </row>
    <row r="245" ht="30" customHeight="1">
      <c r="A245" s="33" t="inlineStr">
        <is>
          <t>https://africanmarketingconfederation.org/amc-conference-2024-recap/</t>
        </is>
      </c>
      <c r="B245" s="26" t="inlineStr">
        <is>
          <t>No Compression Header</t>
        </is>
      </c>
      <c r="C245" s="6" t="inlineStr">
        <is>
          <t>https://africanmarketingconfederation.org/amc-conference-2024-recap/::no_compression_header</t>
        </is>
      </c>
      <c r="D245" s="29" t="inlineStr">
        <is>
          <t>Info</t>
        </is>
      </c>
      <c r="E245" s="6" t="inlineStr">
        <is>
          <t>Server/Host</t>
        </is>
      </c>
      <c r="F245" s="6" t="inlineStr"/>
      <c r="G245" s="25" t="inlineStr">
        <is>
          <t>Open</t>
        </is>
      </c>
      <c r="H245">
        <f>IFERROR(HYPERLINK("#Main!A"&amp;MATCH(A245,Main!A:A,0),"Open"),HYPERLINK("#Main!A1","Open"))</f>
        <v/>
      </c>
    </row>
    <row r="246" ht="30" customHeight="1">
      <c r="A246" s="33" t="inlineStr">
        <is>
          <t>https://africanmarketingconfederation.org/amc-conference-2024-recap/</t>
        </is>
      </c>
      <c r="B246" s="26" t="inlineStr">
        <is>
          <t>No Cache-Control Header</t>
        </is>
      </c>
      <c r="C246" s="24" t="inlineStr">
        <is>
          <t>https://africanmarketingconfederation.org/amc-conference-2024-recap/::no_cache-control_header</t>
        </is>
      </c>
      <c r="D246" s="29" t="inlineStr">
        <is>
          <t>Info</t>
        </is>
      </c>
      <c r="E246" s="24" t="inlineStr">
        <is>
          <t>Server/Host</t>
        </is>
      </c>
      <c r="F246" s="24" t="inlineStr"/>
      <c r="G246" s="25" t="inlineStr">
        <is>
          <t>Open</t>
        </is>
      </c>
      <c r="H246">
        <f>IFERROR(HYPERLINK("#Main!A"&amp;MATCH(A246,Main!A:A,0),"Open"),HYPERLINK("#Main!A1","Open"))</f>
        <v/>
      </c>
    </row>
    <row r="247" ht="30" customHeight="1">
      <c r="A247" s="33" t="inlineStr">
        <is>
          <t>https://africanmarketingconfederation.org/amc-conference-2024-recap/</t>
        </is>
      </c>
      <c r="B247" s="26" t="inlineStr">
        <is>
          <t>No ETag Header</t>
        </is>
      </c>
      <c r="C247" s="6" t="inlineStr">
        <is>
          <t>https://africanmarketingconfederation.org/amc-conference-2024-recap/::no_etag_header</t>
        </is>
      </c>
      <c r="D247" s="29" t="inlineStr">
        <is>
          <t>Info</t>
        </is>
      </c>
      <c r="E247" s="6" t="inlineStr">
        <is>
          <t>Server/Host</t>
        </is>
      </c>
      <c r="F247" s="6" t="inlineStr"/>
      <c r="G247" s="25" t="inlineStr">
        <is>
          <t>Open</t>
        </is>
      </c>
      <c r="H247">
        <f>IFERROR(HYPERLINK("#Main!A"&amp;MATCH(A247,Main!A:A,0),"Open"),HYPERLINK("#Main!A1","Open"))</f>
        <v/>
      </c>
    </row>
    <row r="248" ht="30" customHeight="1">
      <c r="A248" s="33" t="inlineStr">
        <is>
          <t>https://africanmarketingconfederation.org/amc-conference-2024-recap/</t>
        </is>
      </c>
      <c r="B248" s="26" t="inlineStr">
        <is>
          <t>No FAQ/QA Schema</t>
        </is>
      </c>
      <c r="C248" s="24" t="inlineStr">
        <is>
          <t>https://africanmarketingconfederation.org/amc-conference-2024-recap/::no_faq_qa_schema</t>
        </is>
      </c>
      <c r="D248" s="29" t="inlineStr">
        <is>
          <t>Info</t>
        </is>
      </c>
      <c r="E248" s="24" t="inlineStr">
        <is>
          <t>Dev</t>
        </is>
      </c>
      <c r="F248" s="24" t="inlineStr"/>
      <c r="G248" s="25" t="inlineStr">
        <is>
          <t>Open</t>
        </is>
      </c>
      <c r="H248">
        <f>IFERROR(HYPERLINK("#Main!A"&amp;MATCH(A248,Main!A:A,0),"Open"),HYPERLINK("#Main!A1","Open"))</f>
        <v/>
      </c>
    </row>
    <row r="249" ht="30" customHeight="1">
      <c r="A249" s="33" t="inlineStr">
        <is>
          <t>https://africanmarketingconfederation.org/amc-conference-2024-recap/</t>
        </is>
      </c>
      <c r="B249" s="26" t="inlineStr">
        <is>
          <t>No Question Headings</t>
        </is>
      </c>
      <c r="C249" s="6" t="inlineStr">
        <is>
          <t>https://africanmarketingconfederation.org/amc-conference-2024-recap/::no_question_headings</t>
        </is>
      </c>
      <c r="D249" s="29" t="inlineStr">
        <is>
          <t>Info</t>
        </is>
      </c>
      <c r="E249" s="6" t="inlineStr">
        <is>
          <t>Copy Writer</t>
        </is>
      </c>
      <c r="F249" s="6" t="inlineStr"/>
      <c r="G249" s="25" t="inlineStr">
        <is>
          <t>Open</t>
        </is>
      </c>
      <c r="H249">
        <f>IFERROR(HYPERLINK("#Main!A"&amp;MATCH(A249,Main!A:A,0),"Open"),HYPERLINK("#Main!A1","Open"))</f>
        <v/>
      </c>
    </row>
    <row r="250" ht="30" customHeight="1">
      <c r="A250" s="33" t="inlineStr">
        <is>
          <t>https://africanmarketingconfederation.org/amc-conference-2024-recap/</t>
        </is>
      </c>
      <c r="B250" s="26" t="inlineStr">
        <is>
          <t>No Answer-Friendly Structure</t>
        </is>
      </c>
      <c r="C250" s="24" t="inlineStr">
        <is>
          <t>https://africanmarketingconfederation.org/amc-conference-2024-recap/::no_answer-friendly_structure</t>
        </is>
      </c>
      <c r="D250" s="29" t="inlineStr">
        <is>
          <t>Info</t>
        </is>
      </c>
      <c r="E250" s="24" t="inlineStr">
        <is>
          <t>Copy Writer</t>
        </is>
      </c>
      <c r="F250" s="24" t="inlineStr"/>
      <c r="G250" s="25" t="inlineStr">
        <is>
          <t>Open</t>
        </is>
      </c>
      <c r="H250">
        <f>IFERROR(HYPERLINK("#Main!A"&amp;MATCH(A250,Main!A:A,0),"Open"),HYPERLINK("#Main!A1","Open"))</f>
        <v/>
      </c>
    </row>
    <row r="251" ht="30" customHeight="1">
      <c r="A251" s="33" t="inlineStr">
        <is>
          <t>https://africanmarketingconfederation.org/amc-conference-2024-recap/</t>
        </is>
      </c>
      <c r="B251" s="26" t="inlineStr">
        <is>
          <t>No 40-60 Word Answer Paragraphs</t>
        </is>
      </c>
      <c r="C251" s="6" t="inlineStr">
        <is>
          <t>https://africanmarketingconfederation.org/amc-conference-2024-recap/::no_40-60_word_answer_paragraphs</t>
        </is>
      </c>
      <c r="D251" s="29" t="inlineStr">
        <is>
          <t>Info</t>
        </is>
      </c>
      <c r="E251" s="6" t="inlineStr">
        <is>
          <t>Copy Writer</t>
        </is>
      </c>
      <c r="F251" s="6" t="inlineStr"/>
      <c r="G251" s="25" t="inlineStr">
        <is>
          <t>Open</t>
        </is>
      </c>
      <c r="H251">
        <f>IFERROR(HYPERLINK("#Main!A"&amp;MATCH(A251,Main!A:A,0),"Open"),HYPERLINK("#Main!A1","Open"))</f>
        <v/>
      </c>
    </row>
    <row r="252" ht="30" customHeight="1">
      <c r="A252" s="33" t="inlineStr">
        <is>
          <t>https://africanmarketingconfederation.org/amc-marketing-conference-2024/amc-programme-2025/</t>
        </is>
      </c>
      <c r="B252" s="26" t="inlineStr">
        <is>
          <t>Multiple H1</t>
        </is>
      </c>
      <c r="C252" s="24" t="inlineStr">
        <is>
          <t>https://africanmarketingconfederation.org/amc-marketing-conference-2024/amc-programme-2025/::multiple_h1</t>
        </is>
      </c>
      <c r="D252" s="25" t="inlineStr">
        <is>
          <t>Warning</t>
        </is>
      </c>
      <c r="E252" s="24" t="inlineStr">
        <is>
          <t>Copy Writer</t>
        </is>
      </c>
      <c r="F252" s="24" t="inlineStr"/>
      <c r="G252" s="25" t="inlineStr">
        <is>
          <t>Open</t>
        </is>
      </c>
      <c r="H252">
        <f>IFERROR(HYPERLINK("#Main!A"&amp;MATCH(A252,Main!A:A,0),"Open"),HYPERLINK("#Main!A1","Open"))</f>
        <v/>
      </c>
    </row>
    <row r="253" ht="30" customHeight="1">
      <c r="A253" s="33" t="inlineStr">
        <is>
          <t>https://africanmarketingconfederation.org/amc-marketing-conference-2024/amc-programme-2025/</t>
        </is>
      </c>
      <c r="B253" s="26" t="inlineStr">
        <is>
          <t>Thin Content</t>
        </is>
      </c>
      <c r="C253" s="6" t="inlineStr">
        <is>
          <t>https://africanmarketingconfederation.org/amc-marketing-conference-2024/amc-programme-2025/::thin_content</t>
        </is>
      </c>
      <c r="D253" s="25" t="inlineStr">
        <is>
          <t>Warning</t>
        </is>
      </c>
      <c r="E253" s="6" t="inlineStr">
        <is>
          <t>Copy Writer</t>
        </is>
      </c>
      <c r="F253" s="6" t="inlineStr"/>
      <c r="G253" s="25" t="inlineStr">
        <is>
          <t>Open</t>
        </is>
      </c>
      <c r="H253">
        <f>IFERROR(HYPERLINK("#Main!A"&amp;MATCH(A253,Main!A:A,0),"Open"),HYPERLINK("#Main!A1","Open"))</f>
        <v/>
      </c>
    </row>
    <row r="254" ht="30" customHeight="1">
      <c r="A254" s="33" t="inlineStr">
        <is>
          <t>https://africanmarketingconfederation.org/amc-marketing-conference-2024/amc-programme-2025/</t>
        </is>
      </c>
      <c r="B254" s="26" t="inlineStr">
        <is>
          <t>Low AEO Readiness Score</t>
        </is>
      </c>
      <c r="C254" s="24" t="inlineStr">
        <is>
          <t>https://africanmarketingconfederation.org/amc-marketing-conference-2024/amc-programme-2025/::low_aeo_readiness_score</t>
        </is>
      </c>
      <c r="D254" s="25" t="inlineStr">
        <is>
          <t>Warning</t>
        </is>
      </c>
      <c r="E254" s="24" t="inlineStr">
        <is>
          <t>Copy Writer</t>
        </is>
      </c>
      <c r="F254" s="24" t="inlineStr"/>
      <c r="G254" s="25" t="inlineStr">
        <is>
          <t>Open</t>
        </is>
      </c>
      <c r="H254">
        <f>IFERROR(HYPERLINK("#Main!A"&amp;MATCH(A254,Main!A:A,0),"Open"),HYPERLINK("#Main!A1","Open"))</f>
        <v/>
      </c>
    </row>
    <row r="255" ht="30" customHeight="1">
      <c r="A255" s="33" t="inlineStr">
        <is>
          <t>https://africanmarketingconfederation.org/amc-marketing-conference-2024/amc-programme-2025/</t>
        </is>
      </c>
      <c r="B255" s="26" t="inlineStr">
        <is>
          <t>No Compression Header</t>
        </is>
      </c>
      <c r="C255" s="6" t="inlineStr">
        <is>
          <t>https://africanmarketingconfederation.org/amc-marketing-conference-2024/amc-programme-2025/::no_compression_header</t>
        </is>
      </c>
      <c r="D255" s="29" t="inlineStr">
        <is>
          <t>Info</t>
        </is>
      </c>
      <c r="E255" s="6" t="inlineStr">
        <is>
          <t>Server/Host</t>
        </is>
      </c>
      <c r="F255" s="6" t="inlineStr"/>
      <c r="G255" s="25" t="inlineStr">
        <is>
          <t>Open</t>
        </is>
      </c>
      <c r="H255">
        <f>IFERROR(HYPERLINK("#Main!A"&amp;MATCH(A255,Main!A:A,0),"Open"),HYPERLINK("#Main!A1","Open"))</f>
        <v/>
      </c>
    </row>
    <row r="256" ht="30" customHeight="1">
      <c r="A256" s="33" t="inlineStr">
        <is>
          <t>https://africanmarketingconfederation.org/amc-marketing-conference-2024/amc-programme-2025/</t>
        </is>
      </c>
      <c r="B256" s="26" t="inlineStr">
        <is>
          <t>No Cache-Control Header</t>
        </is>
      </c>
      <c r="C256" s="24" t="inlineStr">
        <is>
          <t>https://africanmarketingconfederation.org/amc-marketing-conference-2024/amc-programme-2025/::no_cache-control_header</t>
        </is>
      </c>
      <c r="D256" s="29" t="inlineStr">
        <is>
          <t>Info</t>
        </is>
      </c>
      <c r="E256" s="24" t="inlineStr">
        <is>
          <t>Server/Host</t>
        </is>
      </c>
      <c r="F256" s="24" t="inlineStr"/>
      <c r="G256" s="25" t="inlineStr">
        <is>
          <t>Open</t>
        </is>
      </c>
      <c r="H256">
        <f>IFERROR(HYPERLINK("#Main!A"&amp;MATCH(A256,Main!A:A,0),"Open"),HYPERLINK("#Main!A1","Open"))</f>
        <v/>
      </c>
    </row>
    <row r="257" ht="30" customHeight="1">
      <c r="A257" s="33" t="inlineStr">
        <is>
          <t>https://africanmarketingconfederation.org/amc-marketing-conference-2024/amc-programme-2025/</t>
        </is>
      </c>
      <c r="B257" s="26" t="inlineStr">
        <is>
          <t>No ETag Header</t>
        </is>
      </c>
      <c r="C257" s="6" t="inlineStr">
        <is>
          <t>https://africanmarketingconfederation.org/amc-marketing-conference-2024/amc-programme-2025/::no_etag_header</t>
        </is>
      </c>
      <c r="D257" s="29" t="inlineStr">
        <is>
          <t>Info</t>
        </is>
      </c>
      <c r="E257" s="6" t="inlineStr">
        <is>
          <t>Server/Host</t>
        </is>
      </c>
      <c r="F257" s="6" t="inlineStr"/>
      <c r="G257" s="25" t="inlineStr">
        <is>
          <t>Open</t>
        </is>
      </c>
      <c r="H257">
        <f>IFERROR(HYPERLINK("#Main!A"&amp;MATCH(A257,Main!A:A,0),"Open"),HYPERLINK("#Main!A1","Open"))</f>
        <v/>
      </c>
    </row>
    <row r="258" ht="30" customHeight="1">
      <c r="A258" s="33" t="inlineStr">
        <is>
          <t>https://africanmarketingconfederation.org/amc-marketing-conference-2024/amc-programme-2025/</t>
        </is>
      </c>
      <c r="B258" s="26" t="inlineStr">
        <is>
          <t>No FAQ/QA Schema</t>
        </is>
      </c>
      <c r="C258" s="24" t="inlineStr">
        <is>
          <t>https://africanmarketingconfederation.org/amc-marketing-conference-2024/amc-programme-2025/::no_faq_qa_schema</t>
        </is>
      </c>
      <c r="D258" s="29" t="inlineStr">
        <is>
          <t>Info</t>
        </is>
      </c>
      <c r="E258" s="24" t="inlineStr">
        <is>
          <t>Dev</t>
        </is>
      </c>
      <c r="F258" s="24" t="inlineStr"/>
      <c r="G258" s="25" t="inlineStr">
        <is>
          <t>Open</t>
        </is>
      </c>
      <c r="H258">
        <f>IFERROR(HYPERLINK("#Main!A"&amp;MATCH(A258,Main!A:A,0),"Open"),HYPERLINK("#Main!A1","Open"))</f>
        <v/>
      </c>
    </row>
    <row r="259" ht="30" customHeight="1">
      <c r="A259" s="33" t="inlineStr">
        <is>
          <t>https://africanmarketingconfederation.org/amc-marketing-conference-2024/amc-programme-2025/</t>
        </is>
      </c>
      <c r="B259" s="26" t="inlineStr">
        <is>
          <t>No Question Headings</t>
        </is>
      </c>
      <c r="C259" s="6" t="inlineStr">
        <is>
          <t>https://africanmarketingconfederation.org/amc-marketing-conference-2024/amc-programme-2025/::no_question_headings</t>
        </is>
      </c>
      <c r="D259" s="29" t="inlineStr">
        <is>
          <t>Info</t>
        </is>
      </c>
      <c r="E259" s="6" t="inlineStr">
        <is>
          <t>Copy Writer</t>
        </is>
      </c>
      <c r="F259" s="6" t="inlineStr"/>
      <c r="G259" s="25" t="inlineStr">
        <is>
          <t>Open</t>
        </is>
      </c>
      <c r="H259">
        <f>IFERROR(HYPERLINK("#Main!A"&amp;MATCH(A259,Main!A:A,0),"Open"),HYPERLINK("#Main!A1","Open"))</f>
        <v/>
      </c>
    </row>
    <row r="260" ht="30" customHeight="1">
      <c r="A260" s="33" t="inlineStr">
        <is>
          <t>https://africanmarketingconfederation.org/amc-marketing-conference-2024/amc-programme-2025/</t>
        </is>
      </c>
      <c r="B260" s="26" t="inlineStr">
        <is>
          <t>No Answer-Friendly Structure</t>
        </is>
      </c>
      <c r="C260" s="24" t="inlineStr">
        <is>
          <t>https://africanmarketingconfederation.org/amc-marketing-conference-2024/amc-programme-2025/::no_answer-friendly_structure</t>
        </is>
      </c>
      <c r="D260" s="29" t="inlineStr">
        <is>
          <t>Info</t>
        </is>
      </c>
      <c r="E260" s="24" t="inlineStr">
        <is>
          <t>Copy Writer</t>
        </is>
      </c>
      <c r="F260" s="24" t="inlineStr"/>
      <c r="G260" s="25" t="inlineStr">
        <is>
          <t>Open</t>
        </is>
      </c>
      <c r="H260">
        <f>IFERROR(HYPERLINK("#Main!A"&amp;MATCH(A260,Main!A:A,0),"Open"),HYPERLINK("#Main!A1","Open"))</f>
        <v/>
      </c>
    </row>
    <row r="261" ht="30" customHeight="1">
      <c r="A261" s="33" t="inlineStr">
        <is>
          <t>https://africanmarketingconfederation.org/amc-marketing-conference-2024/amc-programme-2025/</t>
        </is>
      </c>
      <c r="B261" s="26" t="inlineStr">
        <is>
          <t>No 40-60 Word Answer Paragraphs</t>
        </is>
      </c>
      <c r="C261" s="6" t="inlineStr">
        <is>
          <t>https://africanmarketingconfederation.org/amc-marketing-conference-2024/amc-programme-2025/::no_40-60_word_answer_paragraphs</t>
        </is>
      </c>
      <c r="D261" s="29" t="inlineStr">
        <is>
          <t>Info</t>
        </is>
      </c>
      <c r="E261" s="6" t="inlineStr">
        <is>
          <t>Copy Writer</t>
        </is>
      </c>
      <c r="F261" s="6" t="inlineStr"/>
      <c r="G261" s="25" t="inlineStr">
        <is>
          <t>Open</t>
        </is>
      </c>
      <c r="H261">
        <f>IFERROR(HYPERLINK("#Main!A"&amp;MATCH(A261,Main!A:A,0),"Open"),HYPERLINK("#Main!A1","Open"))</f>
        <v/>
      </c>
    </row>
    <row r="262" ht="30" customHeight="1">
      <c r="A262" s="33" t="inlineStr">
        <is>
          <t>https://africanmarketingconfederation.org/amc-conference-2025/</t>
        </is>
      </c>
      <c r="B262" s="26" t="inlineStr">
        <is>
          <t>Multiple H1</t>
        </is>
      </c>
      <c r="C262" s="24" t="inlineStr">
        <is>
          <t>https://africanmarketingconfederation.org/amc-conference-2025/::multiple_h1</t>
        </is>
      </c>
      <c r="D262" s="25" t="inlineStr">
        <is>
          <t>Warning</t>
        </is>
      </c>
      <c r="E262" s="24" t="inlineStr">
        <is>
          <t>Copy Writer</t>
        </is>
      </c>
      <c r="F262" s="24" t="inlineStr"/>
      <c r="G262" s="25" t="inlineStr">
        <is>
          <t>Open</t>
        </is>
      </c>
      <c r="H262">
        <f>IFERROR(HYPERLINK("#Main!A"&amp;MATCH(A262,Main!A:A,0),"Open"),HYPERLINK("#Main!A1","Open"))</f>
        <v/>
      </c>
    </row>
    <row r="263" ht="30" customHeight="1">
      <c r="A263" s="33" t="inlineStr">
        <is>
          <t>https://africanmarketingconfederation.org/amc-conference-2025/</t>
        </is>
      </c>
      <c r="B263" s="26" t="inlineStr">
        <is>
          <t>Low AEO Readiness Score</t>
        </is>
      </c>
      <c r="C263" s="6" t="inlineStr">
        <is>
          <t>https://africanmarketingconfederation.org/amc-conference-2025/::low_aeo_readiness_score</t>
        </is>
      </c>
      <c r="D263" s="25" t="inlineStr">
        <is>
          <t>Warning</t>
        </is>
      </c>
      <c r="E263" s="6" t="inlineStr">
        <is>
          <t>Copy Writer</t>
        </is>
      </c>
      <c r="F263" s="6" t="inlineStr"/>
      <c r="G263" s="25" t="inlineStr">
        <is>
          <t>Open</t>
        </is>
      </c>
      <c r="H263">
        <f>IFERROR(HYPERLINK("#Main!A"&amp;MATCH(A263,Main!A:A,0),"Open"),HYPERLINK("#Main!A1","Open"))</f>
        <v/>
      </c>
    </row>
    <row r="264" ht="30" customHeight="1">
      <c r="A264" s="33" t="inlineStr">
        <is>
          <t>https://africanmarketingconfederation.org/amc-conference-2025/</t>
        </is>
      </c>
      <c r="B264" s="26" t="inlineStr">
        <is>
          <t>No Compression Header</t>
        </is>
      </c>
      <c r="C264" s="24" t="inlineStr">
        <is>
          <t>https://africanmarketingconfederation.org/amc-conference-2025/::no_compression_header</t>
        </is>
      </c>
      <c r="D264" s="29" t="inlineStr">
        <is>
          <t>Info</t>
        </is>
      </c>
      <c r="E264" s="24" t="inlineStr">
        <is>
          <t>Server/Host</t>
        </is>
      </c>
      <c r="F264" s="24" t="inlineStr"/>
      <c r="G264" s="25" t="inlineStr">
        <is>
          <t>Open</t>
        </is>
      </c>
      <c r="H264">
        <f>IFERROR(HYPERLINK("#Main!A"&amp;MATCH(A264,Main!A:A,0),"Open"),HYPERLINK("#Main!A1","Open"))</f>
        <v/>
      </c>
    </row>
    <row r="265" ht="30" customHeight="1">
      <c r="A265" s="33" t="inlineStr">
        <is>
          <t>https://africanmarketingconfederation.org/amc-conference-2025/</t>
        </is>
      </c>
      <c r="B265" s="26" t="inlineStr">
        <is>
          <t>No Cache-Control Header</t>
        </is>
      </c>
      <c r="C265" s="6" t="inlineStr">
        <is>
          <t>https://africanmarketingconfederation.org/amc-conference-2025/::no_cache-control_header</t>
        </is>
      </c>
      <c r="D265" s="29" t="inlineStr">
        <is>
          <t>Info</t>
        </is>
      </c>
      <c r="E265" s="6" t="inlineStr">
        <is>
          <t>Server/Host</t>
        </is>
      </c>
      <c r="F265" s="6" t="inlineStr"/>
      <c r="G265" s="25" t="inlineStr">
        <is>
          <t>Open</t>
        </is>
      </c>
      <c r="H265">
        <f>IFERROR(HYPERLINK("#Main!A"&amp;MATCH(A265,Main!A:A,0),"Open"),HYPERLINK("#Main!A1","Open"))</f>
        <v/>
      </c>
    </row>
    <row r="266" ht="30" customHeight="1">
      <c r="A266" s="33" t="inlineStr">
        <is>
          <t>https://africanmarketingconfederation.org/amc-conference-2025/</t>
        </is>
      </c>
      <c r="B266" s="26" t="inlineStr">
        <is>
          <t>No ETag Header</t>
        </is>
      </c>
      <c r="C266" s="24" t="inlineStr">
        <is>
          <t>https://africanmarketingconfederation.org/amc-conference-2025/::no_etag_header</t>
        </is>
      </c>
      <c r="D266" s="29" t="inlineStr">
        <is>
          <t>Info</t>
        </is>
      </c>
      <c r="E266" s="24" t="inlineStr">
        <is>
          <t>Server/Host</t>
        </is>
      </c>
      <c r="F266" s="24" t="inlineStr"/>
      <c r="G266" s="25" t="inlineStr">
        <is>
          <t>Open</t>
        </is>
      </c>
      <c r="H266">
        <f>IFERROR(HYPERLINK("#Main!A"&amp;MATCH(A266,Main!A:A,0),"Open"),HYPERLINK("#Main!A1","Open"))</f>
        <v/>
      </c>
    </row>
    <row r="267" ht="30" customHeight="1">
      <c r="A267" s="33" t="inlineStr">
        <is>
          <t>https://africanmarketingconfederation.org/amc-conference-2025/</t>
        </is>
      </c>
      <c r="B267" s="26" t="inlineStr">
        <is>
          <t>No FAQ/QA Schema</t>
        </is>
      </c>
      <c r="C267" s="6" t="inlineStr">
        <is>
          <t>https://africanmarketingconfederation.org/amc-conference-2025/::no_faq_qa_schema</t>
        </is>
      </c>
      <c r="D267" s="29" t="inlineStr">
        <is>
          <t>Info</t>
        </is>
      </c>
      <c r="E267" s="6" t="inlineStr">
        <is>
          <t>Dev</t>
        </is>
      </c>
      <c r="F267" s="6" t="inlineStr"/>
      <c r="G267" s="25" t="inlineStr">
        <is>
          <t>Open</t>
        </is>
      </c>
      <c r="H267">
        <f>IFERROR(HYPERLINK("#Main!A"&amp;MATCH(A267,Main!A:A,0),"Open"),HYPERLINK("#Main!A1","Open"))</f>
        <v/>
      </c>
    </row>
    <row r="268" ht="30" customHeight="1">
      <c r="A268" s="33" t="inlineStr">
        <is>
          <t>https://africanmarketingconfederation.org/amc-conference-2025/</t>
        </is>
      </c>
      <c r="B268" s="26" t="inlineStr">
        <is>
          <t>No Question Headings</t>
        </is>
      </c>
      <c r="C268" s="24" t="inlineStr">
        <is>
          <t>https://africanmarketingconfederation.org/amc-conference-2025/::no_question_headings</t>
        </is>
      </c>
      <c r="D268" s="29" t="inlineStr">
        <is>
          <t>Info</t>
        </is>
      </c>
      <c r="E268" s="24" t="inlineStr">
        <is>
          <t>Copy Writer</t>
        </is>
      </c>
      <c r="F268" s="24" t="inlineStr"/>
      <c r="G268" s="25" t="inlineStr">
        <is>
          <t>Open</t>
        </is>
      </c>
      <c r="H268">
        <f>IFERROR(HYPERLINK("#Main!A"&amp;MATCH(A268,Main!A:A,0),"Open"),HYPERLINK("#Main!A1","Open"))</f>
        <v/>
      </c>
    </row>
    <row r="269" ht="30" customHeight="1">
      <c r="A269" s="33" t="inlineStr">
        <is>
          <t>https://africanmarketingconfederation.org/amc-conference-2025/</t>
        </is>
      </c>
      <c r="B269" s="26" t="inlineStr">
        <is>
          <t>No Answer-Friendly Structure</t>
        </is>
      </c>
      <c r="C269" s="6" t="inlineStr">
        <is>
          <t>https://africanmarketingconfederation.org/amc-conference-2025/::no_answer-friendly_structure</t>
        </is>
      </c>
      <c r="D269" s="29" t="inlineStr">
        <is>
          <t>Info</t>
        </is>
      </c>
      <c r="E269" s="6" t="inlineStr">
        <is>
          <t>Copy Writer</t>
        </is>
      </c>
      <c r="F269" s="6" t="inlineStr"/>
      <c r="G269" s="25" t="inlineStr">
        <is>
          <t>Open</t>
        </is>
      </c>
      <c r="H269">
        <f>IFERROR(HYPERLINK("#Main!A"&amp;MATCH(A269,Main!A:A,0),"Open"),HYPERLINK("#Main!A1","Open"))</f>
        <v/>
      </c>
    </row>
    <row r="270" ht="30" customHeight="1">
      <c r="A270" s="33" t="inlineStr">
        <is>
          <t>https://africanmarketingconfederation.org/amc-conference-2025/</t>
        </is>
      </c>
      <c r="B270" s="26" t="inlineStr">
        <is>
          <t>No 40-60 Word Answer Paragraphs</t>
        </is>
      </c>
      <c r="C270" s="24" t="inlineStr">
        <is>
          <t>https://africanmarketingconfederation.org/amc-conference-2025/::no_40-60_word_answer_paragraphs</t>
        </is>
      </c>
      <c r="D270" s="29" t="inlineStr">
        <is>
          <t>Info</t>
        </is>
      </c>
      <c r="E270" s="24" t="inlineStr">
        <is>
          <t>Copy Writer</t>
        </is>
      </c>
      <c r="F270" s="24" t="inlineStr"/>
      <c r="G270" s="25" t="inlineStr">
        <is>
          <t>Open</t>
        </is>
      </c>
      <c r="H270">
        <f>IFERROR(HYPERLINK("#Main!A"&amp;MATCH(A270,Main!A:A,0),"Open"),HYPERLINK("#Main!A1","Open"))</f>
        <v/>
      </c>
    </row>
    <row r="271" ht="30" customHeight="1">
      <c r="A271" s="33" t="inlineStr">
        <is>
          <t>https://africanmarketingconfederation.org/amc-sponsors-2025/</t>
        </is>
      </c>
      <c r="B271" s="26" t="inlineStr">
        <is>
          <t>Low AEO Readiness Score</t>
        </is>
      </c>
      <c r="C271" s="6" t="inlineStr">
        <is>
          <t>https://africanmarketingconfederation.org/amc-sponsors-2025/::low_aeo_readiness_score</t>
        </is>
      </c>
      <c r="D271" s="25" t="inlineStr">
        <is>
          <t>Warning</t>
        </is>
      </c>
      <c r="E271" s="6" t="inlineStr">
        <is>
          <t>Copy Writer</t>
        </is>
      </c>
      <c r="F271" s="6" t="inlineStr"/>
      <c r="G271" s="25" t="inlineStr">
        <is>
          <t>Open</t>
        </is>
      </c>
      <c r="H271">
        <f>IFERROR(HYPERLINK("#Main!A"&amp;MATCH(A271,Main!A:A,0),"Open"),HYPERLINK("#Main!A1","Open"))</f>
        <v/>
      </c>
    </row>
    <row r="272" ht="30" customHeight="1">
      <c r="A272" s="33" t="inlineStr">
        <is>
          <t>https://africanmarketingconfederation.org/amc-sponsors-2025/</t>
        </is>
      </c>
      <c r="B272" s="26" t="inlineStr">
        <is>
          <t>No Compression Header</t>
        </is>
      </c>
      <c r="C272" s="24" t="inlineStr">
        <is>
          <t>https://africanmarketingconfederation.org/amc-sponsors-2025/::no_compression_header</t>
        </is>
      </c>
      <c r="D272" s="29" t="inlineStr">
        <is>
          <t>Info</t>
        </is>
      </c>
      <c r="E272" s="24" t="inlineStr">
        <is>
          <t>Server/Host</t>
        </is>
      </c>
      <c r="F272" s="24" t="inlineStr"/>
      <c r="G272" s="25" t="inlineStr">
        <is>
          <t>Open</t>
        </is>
      </c>
      <c r="H272">
        <f>IFERROR(HYPERLINK("#Main!A"&amp;MATCH(A272,Main!A:A,0),"Open"),HYPERLINK("#Main!A1","Open"))</f>
        <v/>
      </c>
    </row>
    <row r="273" ht="30" customHeight="1">
      <c r="A273" s="33" t="inlineStr">
        <is>
          <t>https://africanmarketingconfederation.org/amc-sponsors-2025/</t>
        </is>
      </c>
      <c r="B273" s="26" t="inlineStr">
        <is>
          <t>No Cache-Control Header</t>
        </is>
      </c>
      <c r="C273" s="6" t="inlineStr">
        <is>
          <t>https://africanmarketingconfederation.org/amc-sponsors-2025/::no_cache-control_header</t>
        </is>
      </c>
      <c r="D273" s="29" t="inlineStr">
        <is>
          <t>Info</t>
        </is>
      </c>
      <c r="E273" s="6" t="inlineStr">
        <is>
          <t>Server/Host</t>
        </is>
      </c>
      <c r="F273" s="6" t="inlineStr"/>
      <c r="G273" s="25" t="inlineStr">
        <is>
          <t>Open</t>
        </is>
      </c>
      <c r="H273">
        <f>IFERROR(HYPERLINK("#Main!A"&amp;MATCH(A273,Main!A:A,0),"Open"),HYPERLINK("#Main!A1","Open"))</f>
        <v/>
      </c>
    </row>
    <row r="274" ht="30" customHeight="1">
      <c r="A274" s="33" t="inlineStr">
        <is>
          <t>https://africanmarketingconfederation.org/amc-sponsors-2025/</t>
        </is>
      </c>
      <c r="B274" s="26" t="inlineStr">
        <is>
          <t>No ETag Header</t>
        </is>
      </c>
      <c r="C274" s="24" t="inlineStr">
        <is>
          <t>https://africanmarketingconfederation.org/amc-sponsors-2025/::no_etag_header</t>
        </is>
      </c>
      <c r="D274" s="29" t="inlineStr">
        <is>
          <t>Info</t>
        </is>
      </c>
      <c r="E274" s="24" t="inlineStr">
        <is>
          <t>Server/Host</t>
        </is>
      </c>
      <c r="F274" s="24" t="inlineStr"/>
      <c r="G274" s="25" t="inlineStr">
        <is>
          <t>Open</t>
        </is>
      </c>
      <c r="H274">
        <f>IFERROR(HYPERLINK("#Main!A"&amp;MATCH(A274,Main!A:A,0),"Open"),HYPERLINK("#Main!A1","Open"))</f>
        <v/>
      </c>
    </row>
    <row r="275" ht="30" customHeight="1">
      <c r="A275" s="33" t="inlineStr">
        <is>
          <t>https://africanmarketingconfederation.org/amc-sponsors-2025/</t>
        </is>
      </c>
      <c r="B275" s="26" t="inlineStr">
        <is>
          <t>No FAQ/QA Schema</t>
        </is>
      </c>
      <c r="C275" s="6" t="inlineStr">
        <is>
          <t>https://africanmarketingconfederation.org/amc-sponsors-2025/::no_faq_qa_schema</t>
        </is>
      </c>
      <c r="D275" s="29" t="inlineStr">
        <is>
          <t>Info</t>
        </is>
      </c>
      <c r="E275" s="6" t="inlineStr">
        <is>
          <t>Dev</t>
        </is>
      </c>
      <c r="F275" s="6" t="inlineStr"/>
      <c r="G275" s="25" t="inlineStr">
        <is>
          <t>Open</t>
        </is>
      </c>
      <c r="H275">
        <f>IFERROR(HYPERLINK("#Main!A"&amp;MATCH(A275,Main!A:A,0),"Open"),HYPERLINK("#Main!A1","Open"))</f>
        <v/>
      </c>
    </row>
    <row r="276" ht="30" customHeight="1">
      <c r="A276" s="33" t="inlineStr">
        <is>
          <t>https://africanmarketingconfederation.org/amc-sponsors-2025/</t>
        </is>
      </c>
      <c r="B276" s="26" t="inlineStr">
        <is>
          <t>No Question Headings</t>
        </is>
      </c>
      <c r="C276" s="24" t="inlineStr">
        <is>
          <t>https://africanmarketingconfederation.org/amc-sponsors-2025/::no_question_headings</t>
        </is>
      </c>
      <c r="D276" s="29" t="inlineStr">
        <is>
          <t>Info</t>
        </is>
      </c>
      <c r="E276" s="24" t="inlineStr">
        <is>
          <t>Copy Writer</t>
        </is>
      </c>
      <c r="F276" s="24" t="inlineStr"/>
      <c r="G276" s="25" t="inlineStr">
        <is>
          <t>Open</t>
        </is>
      </c>
      <c r="H276">
        <f>IFERROR(HYPERLINK("#Main!A"&amp;MATCH(A276,Main!A:A,0),"Open"),HYPERLINK("#Main!A1","Open"))</f>
        <v/>
      </c>
    </row>
    <row r="277" ht="30" customHeight="1">
      <c r="A277" s="33" t="inlineStr">
        <is>
          <t>https://africanmarketingconfederation.org/amc-sponsors-2025/</t>
        </is>
      </c>
      <c r="B277" s="26" t="inlineStr">
        <is>
          <t>No Answer-Friendly Structure</t>
        </is>
      </c>
      <c r="C277" s="6" t="inlineStr">
        <is>
          <t>https://africanmarketingconfederation.org/amc-sponsors-2025/::no_answer-friendly_structure</t>
        </is>
      </c>
      <c r="D277" s="29" t="inlineStr">
        <is>
          <t>Info</t>
        </is>
      </c>
      <c r="E277" s="6" t="inlineStr">
        <is>
          <t>Copy Writer</t>
        </is>
      </c>
      <c r="F277" s="6" t="inlineStr"/>
      <c r="G277" s="25" t="inlineStr">
        <is>
          <t>Open</t>
        </is>
      </c>
      <c r="H277">
        <f>IFERROR(HYPERLINK("#Main!A"&amp;MATCH(A277,Main!A:A,0),"Open"),HYPERLINK("#Main!A1","Open"))</f>
        <v/>
      </c>
    </row>
    <row r="278" ht="30" customHeight="1">
      <c r="A278" s="33" t="inlineStr">
        <is>
          <t>https://africanmarketingconfederation.org/amc-sponsors-2025/</t>
        </is>
      </c>
      <c r="B278" s="26" t="inlineStr">
        <is>
          <t>No 40-60 Word Answer Paragraphs</t>
        </is>
      </c>
      <c r="C278" s="24" t="inlineStr">
        <is>
          <t>https://africanmarketingconfederation.org/amc-sponsors-2025/::no_40-60_word_answer_paragraphs</t>
        </is>
      </c>
      <c r="D278" s="29" t="inlineStr">
        <is>
          <t>Info</t>
        </is>
      </c>
      <c r="E278" s="24" t="inlineStr">
        <is>
          <t>Copy Writer</t>
        </is>
      </c>
      <c r="F278" s="24" t="inlineStr"/>
      <c r="G278" s="25" t="inlineStr">
        <is>
          <t>Open</t>
        </is>
      </c>
      <c r="H278">
        <f>IFERROR(HYPERLINK("#Main!A"&amp;MATCH(A278,Main!A:A,0),"Open"),HYPERLINK("#Main!A1","Open"))</f>
        <v/>
      </c>
    </row>
    <row r="279" ht="30" customHeight="1">
      <c r="A279" s="33" t="inlineStr">
        <is>
          <t>https://africanmarketingconfederation.org/amc-conference-2022-prospectus/</t>
        </is>
      </c>
      <c r="B279" s="26" t="inlineStr">
        <is>
          <t>Missing H1</t>
        </is>
      </c>
      <c r="C279" s="6" t="inlineStr">
        <is>
          <t>https://africanmarketingconfederation.org/amc-conference-2022-prospectus/::missing_h1</t>
        </is>
      </c>
      <c r="D279" s="25" t="inlineStr">
        <is>
          <t>Warning</t>
        </is>
      </c>
      <c r="E279" s="6" t="inlineStr">
        <is>
          <t>Copy Writer</t>
        </is>
      </c>
      <c r="F279" s="6" t="inlineStr"/>
      <c r="G279" s="25" t="inlineStr">
        <is>
          <t>Open</t>
        </is>
      </c>
      <c r="H279">
        <f>IFERROR(HYPERLINK("#Main!A"&amp;MATCH(A279,Main!A:A,0),"Open"),HYPERLINK("#Main!A1","Open"))</f>
        <v/>
      </c>
    </row>
    <row r="280" ht="30" customHeight="1">
      <c r="A280" s="33" t="inlineStr">
        <is>
          <t>https://africanmarketingconfederation.org/amc-conference-2022-prospectus/</t>
        </is>
      </c>
      <c r="B280" s="26" t="inlineStr">
        <is>
          <t>Thin Content</t>
        </is>
      </c>
      <c r="C280" s="24" t="inlineStr">
        <is>
          <t>https://africanmarketingconfederation.org/amc-conference-2022-prospectus/::thin_content</t>
        </is>
      </c>
      <c r="D280" s="25" t="inlineStr">
        <is>
          <t>Warning</t>
        </is>
      </c>
      <c r="E280" s="24" t="inlineStr">
        <is>
          <t>Copy Writer</t>
        </is>
      </c>
      <c r="F280" s="24" t="inlineStr"/>
      <c r="G280" s="25" t="inlineStr">
        <is>
          <t>Open</t>
        </is>
      </c>
      <c r="H280">
        <f>IFERROR(HYPERLINK("#Main!A"&amp;MATCH(A280,Main!A:A,0),"Open"),HYPERLINK("#Main!A1","Open"))</f>
        <v/>
      </c>
    </row>
    <row r="281" ht="30" customHeight="1">
      <c r="A281" s="33" t="inlineStr">
        <is>
          <t>https://africanmarketingconfederation.org/amc-conference-2022-prospectus/</t>
        </is>
      </c>
      <c r="B281" s="26" t="inlineStr">
        <is>
          <t>Low AEO Readiness Score</t>
        </is>
      </c>
      <c r="C281" s="6" t="inlineStr">
        <is>
          <t>https://africanmarketingconfederation.org/amc-conference-2022-prospectus/::low_aeo_readiness_score</t>
        </is>
      </c>
      <c r="D281" s="25" t="inlineStr">
        <is>
          <t>Warning</t>
        </is>
      </c>
      <c r="E281" s="6" t="inlineStr">
        <is>
          <t>Copy Writer</t>
        </is>
      </c>
      <c r="F281" s="6" t="inlineStr"/>
      <c r="G281" s="25" t="inlineStr">
        <is>
          <t>Open</t>
        </is>
      </c>
      <c r="H281">
        <f>IFERROR(HYPERLINK("#Main!A"&amp;MATCH(A281,Main!A:A,0),"Open"),HYPERLINK("#Main!A1","Open"))</f>
        <v/>
      </c>
    </row>
    <row r="282" ht="30" customHeight="1">
      <c r="A282" s="33" t="inlineStr">
        <is>
          <t>https://africanmarketingconfederation.org/amc-conference-2022-prospectus/</t>
        </is>
      </c>
      <c r="B282" s="26" t="inlineStr">
        <is>
          <t>No Compression Header</t>
        </is>
      </c>
      <c r="C282" s="24" t="inlineStr">
        <is>
          <t>https://africanmarketingconfederation.org/amc-conference-2022-prospectus/::no_compression_header</t>
        </is>
      </c>
      <c r="D282" s="29" t="inlineStr">
        <is>
          <t>Info</t>
        </is>
      </c>
      <c r="E282" s="24" t="inlineStr">
        <is>
          <t>Server/Host</t>
        </is>
      </c>
      <c r="F282" s="24" t="inlineStr"/>
      <c r="G282" s="25" t="inlineStr">
        <is>
          <t>Open</t>
        </is>
      </c>
      <c r="H282">
        <f>IFERROR(HYPERLINK("#Main!A"&amp;MATCH(A282,Main!A:A,0),"Open"),HYPERLINK("#Main!A1","Open"))</f>
        <v/>
      </c>
    </row>
    <row r="283" ht="30" customHeight="1">
      <c r="A283" s="33" t="inlineStr">
        <is>
          <t>https://africanmarketingconfederation.org/amc-conference-2022-prospectus/</t>
        </is>
      </c>
      <c r="B283" s="26" t="inlineStr">
        <is>
          <t>No Cache-Control Header</t>
        </is>
      </c>
      <c r="C283" s="6" t="inlineStr">
        <is>
          <t>https://africanmarketingconfederation.org/amc-conference-2022-prospectus/::no_cache-control_header</t>
        </is>
      </c>
      <c r="D283" s="29" t="inlineStr">
        <is>
          <t>Info</t>
        </is>
      </c>
      <c r="E283" s="6" t="inlineStr">
        <is>
          <t>Server/Host</t>
        </is>
      </c>
      <c r="F283" s="6" t="inlineStr"/>
      <c r="G283" s="25" t="inlineStr">
        <is>
          <t>Open</t>
        </is>
      </c>
      <c r="H283">
        <f>IFERROR(HYPERLINK("#Main!A"&amp;MATCH(A283,Main!A:A,0),"Open"),HYPERLINK("#Main!A1","Open"))</f>
        <v/>
      </c>
    </row>
    <row r="284" ht="30" customHeight="1">
      <c r="A284" s="33" t="inlineStr">
        <is>
          <t>https://africanmarketingconfederation.org/amc-conference-2022-prospectus/</t>
        </is>
      </c>
      <c r="B284" s="26" t="inlineStr">
        <is>
          <t>No ETag Header</t>
        </is>
      </c>
      <c r="C284" s="24" t="inlineStr">
        <is>
          <t>https://africanmarketingconfederation.org/amc-conference-2022-prospectus/::no_etag_header</t>
        </is>
      </c>
      <c r="D284" s="29" t="inlineStr">
        <is>
          <t>Info</t>
        </is>
      </c>
      <c r="E284" s="24" t="inlineStr">
        <is>
          <t>Server/Host</t>
        </is>
      </c>
      <c r="F284" s="24" t="inlineStr"/>
      <c r="G284" s="25" t="inlineStr">
        <is>
          <t>Open</t>
        </is>
      </c>
      <c r="H284">
        <f>IFERROR(HYPERLINK("#Main!A"&amp;MATCH(A284,Main!A:A,0),"Open"),HYPERLINK("#Main!A1","Open"))</f>
        <v/>
      </c>
    </row>
    <row r="285" ht="30" customHeight="1">
      <c r="A285" s="33" t="inlineStr">
        <is>
          <t>https://africanmarketingconfederation.org/amc-conference-2022-prospectus/</t>
        </is>
      </c>
      <c r="B285" s="26" t="inlineStr">
        <is>
          <t>No FAQ/QA Schema</t>
        </is>
      </c>
      <c r="C285" s="6" t="inlineStr">
        <is>
          <t>https://africanmarketingconfederation.org/amc-conference-2022-prospectus/::no_faq_qa_schema</t>
        </is>
      </c>
      <c r="D285" s="29" t="inlineStr">
        <is>
          <t>Info</t>
        </is>
      </c>
      <c r="E285" s="6" t="inlineStr">
        <is>
          <t>Dev</t>
        </is>
      </c>
      <c r="F285" s="6" t="inlineStr"/>
      <c r="G285" s="25" t="inlineStr">
        <is>
          <t>Open</t>
        </is>
      </c>
      <c r="H285">
        <f>IFERROR(HYPERLINK("#Main!A"&amp;MATCH(A285,Main!A:A,0),"Open"),HYPERLINK("#Main!A1","Open"))</f>
        <v/>
      </c>
    </row>
    <row r="286" ht="30" customHeight="1">
      <c r="A286" s="33" t="inlineStr">
        <is>
          <t>https://africanmarketingconfederation.org/amc-conference-2022-prospectus/</t>
        </is>
      </c>
      <c r="B286" s="26" t="inlineStr">
        <is>
          <t>No Question Headings</t>
        </is>
      </c>
      <c r="C286" s="24" t="inlineStr">
        <is>
          <t>https://africanmarketingconfederation.org/amc-conference-2022-prospectus/::no_question_headings</t>
        </is>
      </c>
      <c r="D286" s="29" t="inlineStr">
        <is>
          <t>Info</t>
        </is>
      </c>
      <c r="E286" s="24" t="inlineStr">
        <is>
          <t>Copy Writer</t>
        </is>
      </c>
      <c r="F286" s="24" t="inlineStr"/>
      <c r="G286" s="25" t="inlineStr">
        <is>
          <t>Open</t>
        </is>
      </c>
      <c r="H286">
        <f>IFERROR(HYPERLINK("#Main!A"&amp;MATCH(A286,Main!A:A,0),"Open"),HYPERLINK("#Main!A1","Open"))</f>
        <v/>
      </c>
    </row>
    <row r="287" ht="30" customHeight="1">
      <c r="A287" s="33" t="inlineStr">
        <is>
          <t>https://africanmarketingconfederation.org/amc-conference-2022-prospectus/</t>
        </is>
      </c>
      <c r="B287" s="26" t="inlineStr">
        <is>
          <t>No Answer-Friendly Structure</t>
        </is>
      </c>
      <c r="C287" s="6" t="inlineStr">
        <is>
          <t>https://africanmarketingconfederation.org/amc-conference-2022-prospectus/::no_answer-friendly_structure</t>
        </is>
      </c>
      <c r="D287" s="29" t="inlineStr">
        <is>
          <t>Info</t>
        </is>
      </c>
      <c r="E287" s="6" t="inlineStr">
        <is>
          <t>Copy Writer</t>
        </is>
      </c>
      <c r="F287" s="6" t="inlineStr"/>
      <c r="G287" s="25" t="inlineStr">
        <is>
          <t>Open</t>
        </is>
      </c>
      <c r="H287">
        <f>IFERROR(HYPERLINK("#Main!A"&amp;MATCH(A287,Main!A:A,0),"Open"),HYPERLINK("#Main!A1","Open"))</f>
        <v/>
      </c>
    </row>
    <row r="288" ht="30" customHeight="1">
      <c r="A288" s="33" t="inlineStr">
        <is>
          <t>https://africanmarketingconfederation.org/amc-conference-2022-prospectus/</t>
        </is>
      </c>
      <c r="B288" s="26" t="inlineStr">
        <is>
          <t>No 40-60 Word Answer Paragraphs</t>
        </is>
      </c>
      <c r="C288" s="24" t="inlineStr">
        <is>
          <t>https://africanmarketingconfederation.org/amc-conference-2022-prospectus/::no_40-60_word_answer_paragraphs</t>
        </is>
      </c>
      <c r="D288" s="29" t="inlineStr">
        <is>
          <t>Info</t>
        </is>
      </c>
      <c r="E288" s="24" t="inlineStr">
        <is>
          <t>Copy Writer</t>
        </is>
      </c>
      <c r="F288" s="24" t="inlineStr"/>
      <c r="G288" s="25" t="inlineStr">
        <is>
          <t>Open</t>
        </is>
      </c>
      <c r="H288">
        <f>IFERROR(HYPERLINK("#Main!A"&amp;MATCH(A288,Main!A:A,0),"Open"),HYPERLINK("#Main!A1","Open"))</f>
        <v/>
      </c>
    </row>
    <row r="289" ht="30" customHeight="1">
      <c r="A289" s="33" t="inlineStr">
        <is>
          <t>https://africanmarketingconfederation.org/test-payment-gate/</t>
        </is>
      </c>
      <c r="B289" s="26" t="inlineStr">
        <is>
          <t>Missing H1</t>
        </is>
      </c>
      <c r="C289" s="6" t="inlineStr">
        <is>
          <t>https://africanmarketingconfederation.org/test-payment-gate/::missing_h1</t>
        </is>
      </c>
      <c r="D289" s="25" t="inlineStr">
        <is>
          <t>Warning</t>
        </is>
      </c>
      <c r="E289" s="6" t="inlineStr">
        <is>
          <t>Copy Writer</t>
        </is>
      </c>
      <c r="F289" s="6" t="inlineStr"/>
      <c r="G289" s="25" t="inlineStr">
        <is>
          <t>Open</t>
        </is>
      </c>
      <c r="H289">
        <f>IFERROR(HYPERLINK("#Main!A"&amp;MATCH(A289,Main!A:A,0),"Open"),HYPERLINK("#Main!A1","Open"))</f>
        <v/>
      </c>
    </row>
    <row r="290" ht="30" customHeight="1">
      <c r="A290" s="33" t="inlineStr">
        <is>
          <t>https://africanmarketingconfederation.org/test-payment-gate/</t>
        </is>
      </c>
      <c r="B290" s="26" t="inlineStr">
        <is>
          <t>Thin Content</t>
        </is>
      </c>
      <c r="C290" s="24" t="inlineStr">
        <is>
          <t>https://africanmarketingconfederation.org/test-payment-gate/::thin_content</t>
        </is>
      </c>
      <c r="D290" s="25" t="inlineStr">
        <is>
          <t>Warning</t>
        </is>
      </c>
      <c r="E290" s="24" t="inlineStr">
        <is>
          <t>Copy Writer</t>
        </is>
      </c>
      <c r="F290" s="24" t="inlineStr"/>
      <c r="G290" s="25" t="inlineStr">
        <is>
          <t>Open</t>
        </is>
      </c>
      <c r="H290">
        <f>IFERROR(HYPERLINK("#Main!A"&amp;MATCH(A290,Main!A:A,0),"Open"),HYPERLINK("#Main!A1","Open"))</f>
        <v/>
      </c>
    </row>
    <row r="291" ht="30" customHeight="1">
      <c r="A291" s="33" t="inlineStr">
        <is>
          <t>https://africanmarketingconfederation.org/test-payment-gate/</t>
        </is>
      </c>
      <c r="B291" s="26" t="inlineStr">
        <is>
          <t>Low AEO Readiness Score</t>
        </is>
      </c>
      <c r="C291" s="6" t="inlineStr">
        <is>
          <t>https://africanmarketingconfederation.org/test-payment-gate/::low_aeo_readiness_score</t>
        </is>
      </c>
      <c r="D291" s="25" t="inlineStr">
        <is>
          <t>Warning</t>
        </is>
      </c>
      <c r="E291" s="6" t="inlineStr">
        <is>
          <t>Copy Writer</t>
        </is>
      </c>
      <c r="F291" s="6" t="inlineStr"/>
      <c r="G291" s="25" t="inlineStr">
        <is>
          <t>Open</t>
        </is>
      </c>
      <c r="H291">
        <f>IFERROR(HYPERLINK("#Main!A"&amp;MATCH(A291,Main!A:A,0),"Open"),HYPERLINK("#Main!A1","Open"))</f>
        <v/>
      </c>
    </row>
    <row r="292" ht="30" customHeight="1">
      <c r="A292" s="33" t="inlineStr">
        <is>
          <t>https://africanmarketingconfederation.org/test-payment-gate/</t>
        </is>
      </c>
      <c r="B292" s="26" t="inlineStr">
        <is>
          <t>No Compression Header</t>
        </is>
      </c>
      <c r="C292" s="24" t="inlineStr">
        <is>
          <t>https://africanmarketingconfederation.org/test-payment-gate/::no_compression_header</t>
        </is>
      </c>
      <c r="D292" s="29" t="inlineStr">
        <is>
          <t>Info</t>
        </is>
      </c>
      <c r="E292" s="24" t="inlineStr">
        <is>
          <t>Server/Host</t>
        </is>
      </c>
      <c r="F292" s="24" t="inlineStr"/>
      <c r="G292" s="25" t="inlineStr">
        <is>
          <t>Open</t>
        </is>
      </c>
      <c r="H292">
        <f>IFERROR(HYPERLINK("#Main!A"&amp;MATCH(A292,Main!A:A,0),"Open"),HYPERLINK("#Main!A1","Open"))</f>
        <v/>
      </c>
    </row>
    <row r="293" ht="30" customHeight="1">
      <c r="A293" s="33" t="inlineStr">
        <is>
          <t>https://africanmarketingconfederation.org/test-payment-gate/</t>
        </is>
      </c>
      <c r="B293" s="26" t="inlineStr">
        <is>
          <t>No Cache-Control Header</t>
        </is>
      </c>
      <c r="C293" s="6" t="inlineStr">
        <is>
          <t>https://africanmarketingconfederation.org/test-payment-gate/::no_cache-control_header</t>
        </is>
      </c>
      <c r="D293" s="29" t="inlineStr">
        <is>
          <t>Info</t>
        </is>
      </c>
      <c r="E293" s="6" t="inlineStr">
        <is>
          <t>Server/Host</t>
        </is>
      </c>
      <c r="F293" s="6" t="inlineStr"/>
      <c r="G293" s="25" t="inlineStr">
        <is>
          <t>Open</t>
        </is>
      </c>
      <c r="H293">
        <f>IFERROR(HYPERLINK("#Main!A"&amp;MATCH(A293,Main!A:A,0),"Open"),HYPERLINK("#Main!A1","Open"))</f>
        <v/>
      </c>
    </row>
    <row r="294" ht="30" customHeight="1">
      <c r="A294" s="33" t="inlineStr">
        <is>
          <t>https://africanmarketingconfederation.org/test-payment-gate/</t>
        </is>
      </c>
      <c r="B294" s="26" t="inlineStr">
        <is>
          <t>No ETag Header</t>
        </is>
      </c>
      <c r="C294" s="24" t="inlineStr">
        <is>
          <t>https://africanmarketingconfederation.org/test-payment-gate/::no_etag_header</t>
        </is>
      </c>
      <c r="D294" s="29" t="inlineStr">
        <is>
          <t>Info</t>
        </is>
      </c>
      <c r="E294" s="24" t="inlineStr">
        <is>
          <t>Server/Host</t>
        </is>
      </c>
      <c r="F294" s="24" t="inlineStr"/>
      <c r="G294" s="25" t="inlineStr">
        <is>
          <t>Open</t>
        </is>
      </c>
      <c r="H294">
        <f>IFERROR(HYPERLINK("#Main!A"&amp;MATCH(A294,Main!A:A,0),"Open"),HYPERLINK("#Main!A1","Open"))</f>
        <v/>
      </c>
    </row>
    <row r="295" ht="30" customHeight="1">
      <c r="A295" s="33" t="inlineStr">
        <is>
          <t>https://africanmarketingconfederation.org/test-payment-gate/</t>
        </is>
      </c>
      <c r="B295" s="26" t="inlineStr">
        <is>
          <t>No FAQ/QA Schema</t>
        </is>
      </c>
      <c r="C295" s="6" t="inlineStr">
        <is>
          <t>https://africanmarketingconfederation.org/test-payment-gate/::no_faq_qa_schema</t>
        </is>
      </c>
      <c r="D295" s="29" t="inlineStr">
        <is>
          <t>Info</t>
        </is>
      </c>
      <c r="E295" s="6" t="inlineStr">
        <is>
          <t>Dev</t>
        </is>
      </c>
      <c r="F295" s="6" t="inlineStr"/>
      <c r="G295" s="25" t="inlineStr">
        <is>
          <t>Open</t>
        </is>
      </c>
      <c r="H295">
        <f>IFERROR(HYPERLINK("#Main!A"&amp;MATCH(A295,Main!A:A,0),"Open"),HYPERLINK("#Main!A1","Open"))</f>
        <v/>
      </c>
    </row>
    <row r="296" ht="30" customHeight="1">
      <c r="A296" s="33" t="inlineStr">
        <is>
          <t>https://africanmarketingconfederation.org/test-payment-gate/</t>
        </is>
      </c>
      <c r="B296" s="26" t="inlineStr">
        <is>
          <t>No Question Headings</t>
        </is>
      </c>
      <c r="C296" s="24" t="inlineStr">
        <is>
          <t>https://africanmarketingconfederation.org/test-payment-gate/::no_question_headings</t>
        </is>
      </c>
      <c r="D296" s="29" t="inlineStr">
        <is>
          <t>Info</t>
        </is>
      </c>
      <c r="E296" s="24" t="inlineStr">
        <is>
          <t>Copy Writer</t>
        </is>
      </c>
      <c r="F296" s="24" t="inlineStr"/>
      <c r="G296" s="25" t="inlineStr">
        <is>
          <t>Open</t>
        </is>
      </c>
      <c r="H296">
        <f>IFERROR(HYPERLINK("#Main!A"&amp;MATCH(A296,Main!A:A,0),"Open"),HYPERLINK("#Main!A1","Open"))</f>
        <v/>
      </c>
    </row>
    <row r="297" ht="30" customHeight="1">
      <c r="A297" s="33" t="inlineStr">
        <is>
          <t>https://africanmarketingconfederation.org/test-payment-gate/</t>
        </is>
      </c>
      <c r="B297" s="26" t="inlineStr">
        <is>
          <t>No Answer-Friendly Structure</t>
        </is>
      </c>
      <c r="C297" s="6" t="inlineStr">
        <is>
          <t>https://africanmarketingconfederation.org/test-payment-gate/::no_answer-friendly_structure</t>
        </is>
      </c>
      <c r="D297" s="29" t="inlineStr">
        <is>
          <t>Info</t>
        </is>
      </c>
      <c r="E297" s="6" t="inlineStr">
        <is>
          <t>Copy Writer</t>
        </is>
      </c>
      <c r="F297" s="6" t="inlineStr"/>
      <c r="G297" s="25" t="inlineStr">
        <is>
          <t>Open</t>
        </is>
      </c>
      <c r="H297">
        <f>IFERROR(HYPERLINK("#Main!A"&amp;MATCH(A297,Main!A:A,0),"Open"),HYPERLINK("#Main!A1","Open"))</f>
        <v/>
      </c>
    </row>
    <row r="298" ht="30" customHeight="1">
      <c r="A298" s="33" t="inlineStr">
        <is>
          <t>https://africanmarketingconfederation.org/test-payment-gate/</t>
        </is>
      </c>
      <c r="B298" s="26" t="inlineStr">
        <is>
          <t>No 40-60 Word Answer Paragraphs</t>
        </is>
      </c>
      <c r="C298" s="24" t="inlineStr">
        <is>
          <t>https://africanmarketingconfederation.org/test-payment-gate/::no_40-60_word_answer_paragraphs</t>
        </is>
      </c>
      <c r="D298" s="29" t="inlineStr">
        <is>
          <t>Info</t>
        </is>
      </c>
      <c r="E298" s="24" t="inlineStr">
        <is>
          <t>Copy Writer</t>
        </is>
      </c>
      <c r="F298" s="24" t="inlineStr"/>
      <c r="G298" s="25" t="inlineStr">
        <is>
          <t>Open</t>
        </is>
      </c>
      <c r="H298">
        <f>IFERROR(HYPERLINK("#Main!A"&amp;MATCH(A298,Main!A:A,0),"Open"),HYPERLINK("#Main!A1","Open"))</f>
        <v/>
      </c>
    </row>
    <row r="299" ht="30" customHeight="1">
      <c r="A299" s="33" t="inlineStr">
        <is>
          <t>https://africanmarketingconfederation.org/amc-marketing-conference-2024/amc-preregister-2025/</t>
        </is>
      </c>
      <c r="B299" s="26" t="inlineStr">
        <is>
          <t>Low AEO Readiness Score</t>
        </is>
      </c>
      <c r="C299" s="6" t="inlineStr">
        <is>
          <t>https://africanmarketingconfederation.org/amc-marketing-conference-2024/amc-preregister-2025/::low_aeo_readiness_score</t>
        </is>
      </c>
      <c r="D299" s="25" t="inlineStr">
        <is>
          <t>Warning</t>
        </is>
      </c>
      <c r="E299" s="6" t="inlineStr">
        <is>
          <t>Copy Writer</t>
        </is>
      </c>
      <c r="F299" s="6" t="inlineStr"/>
      <c r="G299" s="25" t="inlineStr">
        <is>
          <t>Open</t>
        </is>
      </c>
      <c r="H299">
        <f>IFERROR(HYPERLINK("#Main!A"&amp;MATCH(A299,Main!A:A,0),"Open"),HYPERLINK("#Main!A1","Open"))</f>
        <v/>
      </c>
    </row>
    <row r="300" ht="30" customHeight="1">
      <c r="A300" s="33" t="inlineStr">
        <is>
          <t>https://africanmarketingconfederation.org/amc-marketing-conference-2024/amc-preregister-2025/</t>
        </is>
      </c>
      <c r="B300" s="26" t="inlineStr">
        <is>
          <t>No Compression Header</t>
        </is>
      </c>
      <c r="C300" s="24" t="inlineStr">
        <is>
          <t>https://africanmarketingconfederation.org/amc-marketing-conference-2024/amc-preregister-2025/::no_compression_header</t>
        </is>
      </c>
      <c r="D300" s="29" t="inlineStr">
        <is>
          <t>Info</t>
        </is>
      </c>
      <c r="E300" s="24" t="inlineStr">
        <is>
          <t>Server/Host</t>
        </is>
      </c>
      <c r="F300" s="24" t="inlineStr"/>
      <c r="G300" s="25" t="inlineStr">
        <is>
          <t>Open</t>
        </is>
      </c>
      <c r="H300">
        <f>IFERROR(HYPERLINK("#Main!A"&amp;MATCH(A300,Main!A:A,0),"Open"),HYPERLINK("#Main!A1","Open"))</f>
        <v/>
      </c>
    </row>
    <row r="301" ht="30" customHeight="1">
      <c r="A301" s="33" t="inlineStr">
        <is>
          <t>https://africanmarketingconfederation.org/amc-marketing-conference-2024/amc-preregister-2025/</t>
        </is>
      </c>
      <c r="B301" s="26" t="inlineStr">
        <is>
          <t>No Cache-Control Header</t>
        </is>
      </c>
      <c r="C301" s="6" t="inlineStr">
        <is>
          <t>https://africanmarketingconfederation.org/amc-marketing-conference-2024/amc-preregister-2025/::no_cache-control_header</t>
        </is>
      </c>
      <c r="D301" s="29" t="inlineStr">
        <is>
          <t>Info</t>
        </is>
      </c>
      <c r="E301" s="6" t="inlineStr">
        <is>
          <t>Server/Host</t>
        </is>
      </c>
      <c r="F301" s="6" t="inlineStr"/>
      <c r="G301" s="25" t="inlineStr">
        <is>
          <t>Open</t>
        </is>
      </c>
      <c r="H301">
        <f>IFERROR(HYPERLINK("#Main!A"&amp;MATCH(A301,Main!A:A,0),"Open"),HYPERLINK("#Main!A1","Open"))</f>
        <v/>
      </c>
    </row>
    <row r="302" ht="30" customHeight="1">
      <c r="A302" s="33" t="inlineStr">
        <is>
          <t>https://africanmarketingconfederation.org/amc-marketing-conference-2024/amc-preregister-2025/</t>
        </is>
      </c>
      <c r="B302" s="26" t="inlineStr">
        <is>
          <t>No ETag Header</t>
        </is>
      </c>
      <c r="C302" s="24" t="inlineStr">
        <is>
          <t>https://africanmarketingconfederation.org/amc-marketing-conference-2024/amc-preregister-2025/::no_etag_header</t>
        </is>
      </c>
      <c r="D302" s="29" t="inlineStr">
        <is>
          <t>Info</t>
        </is>
      </c>
      <c r="E302" s="24" t="inlineStr">
        <is>
          <t>Server/Host</t>
        </is>
      </c>
      <c r="F302" s="24" t="inlineStr"/>
      <c r="G302" s="25" t="inlineStr">
        <is>
          <t>Open</t>
        </is>
      </c>
      <c r="H302">
        <f>IFERROR(HYPERLINK("#Main!A"&amp;MATCH(A302,Main!A:A,0),"Open"),HYPERLINK("#Main!A1","Open"))</f>
        <v/>
      </c>
    </row>
    <row r="303" ht="30" customHeight="1">
      <c r="A303" s="33" t="inlineStr">
        <is>
          <t>https://africanmarketingconfederation.org/amc-marketing-conference-2024/amc-preregister-2025/</t>
        </is>
      </c>
      <c r="B303" s="26" t="inlineStr">
        <is>
          <t>No FAQ/QA Schema</t>
        </is>
      </c>
      <c r="C303" s="6" t="inlineStr">
        <is>
          <t>https://africanmarketingconfederation.org/amc-marketing-conference-2024/amc-preregister-2025/::no_faq_qa_schema</t>
        </is>
      </c>
      <c r="D303" s="29" t="inlineStr">
        <is>
          <t>Info</t>
        </is>
      </c>
      <c r="E303" s="6" t="inlineStr">
        <is>
          <t>Dev</t>
        </is>
      </c>
      <c r="F303" s="6" t="inlineStr"/>
      <c r="G303" s="25" t="inlineStr">
        <is>
          <t>Open</t>
        </is>
      </c>
      <c r="H303">
        <f>IFERROR(HYPERLINK("#Main!A"&amp;MATCH(A303,Main!A:A,0),"Open"),HYPERLINK("#Main!A1","Open"))</f>
        <v/>
      </c>
    </row>
    <row r="304" ht="30" customHeight="1">
      <c r="A304" s="33" t="inlineStr">
        <is>
          <t>https://africanmarketingconfederation.org/amc-marketing-conference-2024/amc-preregister-2025/</t>
        </is>
      </c>
      <c r="B304" s="26" t="inlineStr">
        <is>
          <t>No Question Headings</t>
        </is>
      </c>
      <c r="C304" s="24" t="inlineStr">
        <is>
          <t>https://africanmarketingconfederation.org/amc-marketing-conference-2024/amc-preregister-2025/::no_question_headings</t>
        </is>
      </c>
      <c r="D304" s="29" t="inlineStr">
        <is>
          <t>Info</t>
        </is>
      </c>
      <c r="E304" s="24" t="inlineStr">
        <is>
          <t>Copy Writer</t>
        </is>
      </c>
      <c r="F304" s="24" t="inlineStr"/>
      <c r="G304" s="25" t="inlineStr">
        <is>
          <t>Open</t>
        </is>
      </c>
      <c r="H304">
        <f>IFERROR(HYPERLINK("#Main!A"&amp;MATCH(A304,Main!A:A,0),"Open"),HYPERLINK("#Main!A1","Open"))</f>
        <v/>
      </c>
    </row>
    <row r="305" ht="30" customHeight="1">
      <c r="A305" s="33" t="inlineStr">
        <is>
          <t>https://africanmarketingconfederation.org/amc-marketing-conference-2024/amc-preregister-2025/</t>
        </is>
      </c>
      <c r="B305" s="26" t="inlineStr">
        <is>
          <t>No Answer-Friendly Structure</t>
        </is>
      </c>
      <c r="C305" s="6" t="inlineStr">
        <is>
          <t>https://africanmarketingconfederation.org/amc-marketing-conference-2024/amc-preregister-2025/::no_answer-friendly_structure</t>
        </is>
      </c>
      <c r="D305" s="29" t="inlineStr">
        <is>
          <t>Info</t>
        </is>
      </c>
      <c r="E305" s="6" t="inlineStr">
        <is>
          <t>Copy Writer</t>
        </is>
      </c>
      <c r="F305" s="6" t="inlineStr"/>
      <c r="G305" s="25" t="inlineStr">
        <is>
          <t>Open</t>
        </is>
      </c>
      <c r="H305">
        <f>IFERROR(HYPERLINK("#Main!A"&amp;MATCH(A305,Main!A:A,0),"Open"),HYPERLINK("#Main!A1","Open"))</f>
        <v/>
      </c>
    </row>
    <row r="306" ht="30" customHeight="1">
      <c r="A306" s="33" t="inlineStr">
        <is>
          <t>https://africanmarketingconfederation.org/amc-marketing-conference-2024/amc-preregister-2025/</t>
        </is>
      </c>
      <c r="B306" s="26" t="inlineStr">
        <is>
          <t>No 40-60 Word Answer Paragraphs</t>
        </is>
      </c>
      <c r="C306" s="24" t="inlineStr">
        <is>
          <t>https://africanmarketingconfederation.org/amc-marketing-conference-2024/amc-preregister-2025/::no_40-60_word_answer_paragraphs</t>
        </is>
      </c>
      <c r="D306" s="29" t="inlineStr">
        <is>
          <t>Info</t>
        </is>
      </c>
      <c r="E306" s="24" t="inlineStr">
        <is>
          <t>Copy Writer</t>
        </is>
      </c>
      <c r="F306" s="24" t="inlineStr"/>
      <c r="G306" s="25" t="inlineStr">
        <is>
          <t>Open</t>
        </is>
      </c>
      <c r="H306">
        <f>IFERROR(HYPERLINK("#Main!A"&amp;MATCH(A306,Main!A:A,0),"Open"),HYPERLINK("#Main!A1","Open"))</f>
        <v/>
      </c>
    </row>
    <row r="307" ht="30" customHeight="1">
      <c r="A307" s="33" t="inlineStr">
        <is>
          <t>https://africanmarketingconfederation.org/conference-faq-2025/</t>
        </is>
      </c>
      <c r="B307" s="26" t="inlineStr">
        <is>
          <t>Low AEO Readiness Score</t>
        </is>
      </c>
      <c r="C307" s="6" t="inlineStr">
        <is>
          <t>https://africanmarketingconfederation.org/conference-faq-2025/::low_aeo_readiness_score</t>
        </is>
      </c>
      <c r="D307" s="25" t="inlineStr">
        <is>
          <t>Warning</t>
        </is>
      </c>
      <c r="E307" s="6" t="inlineStr">
        <is>
          <t>Copy Writer</t>
        </is>
      </c>
      <c r="F307" s="6" t="inlineStr"/>
      <c r="G307" s="25" t="inlineStr">
        <is>
          <t>Open</t>
        </is>
      </c>
      <c r="H307">
        <f>IFERROR(HYPERLINK("#Main!A"&amp;MATCH(A307,Main!A:A,0),"Open"),HYPERLINK("#Main!A1","Open"))</f>
        <v/>
      </c>
    </row>
    <row r="308" ht="30" customHeight="1">
      <c r="A308" s="33" t="inlineStr">
        <is>
          <t>https://africanmarketingconfederation.org/conference-faq-2025/</t>
        </is>
      </c>
      <c r="B308" s="26" t="inlineStr">
        <is>
          <t>No Compression Header</t>
        </is>
      </c>
      <c r="C308" s="24" t="inlineStr">
        <is>
          <t>https://africanmarketingconfederation.org/conference-faq-2025/::no_compression_header</t>
        </is>
      </c>
      <c r="D308" s="29" t="inlineStr">
        <is>
          <t>Info</t>
        </is>
      </c>
      <c r="E308" s="24" t="inlineStr">
        <is>
          <t>Server/Host</t>
        </is>
      </c>
      <c r="F308" s="24" t="inlineStr"/>
      <c r="G308" s="25" t="inlineStr">
        <is>
          <t>Open</t>
        </is>
      </c>
      <c r="H308">
        <f>IFERROR(HYPERLINK("#Main!A"&amp;MATCH(A308,Main!A:A,0),"Open"),HYPERLINK("#Main!A1","Open"))</f>
        <v/>
      </c>
    </row>
    <row r="309" ht="30" customHeight="1">
      <c r="A309" s="33" t="inlineStr">
        <is>
          <t>https://africanmarketingconfederation.org/conference-faq-2025/</t>
        </is>
      </c>
      <c r="B309" s="26" t="inlineStr">
        <is>
          <t>No Cache-Control Header</t>
        </is>
      </c>
      <c r="C309" s="6" t="inlineStr">
        <is>
          <t>https://africanmarketingconfederation.org/conference-faq-2025/::no_cache-control_header</t>
        </is>
      </c>
      <c r="D309" s="29" t="inlineStr">
        <is>
          <t>Info</t>
        </is>
      </c>
      <c r="E309" s="6" t="inlineStr">
        <is>
          <t>Server/Host</t>
        </is>
      </c>
      <c r="F309" s="6" t="inlineStr"/>
      <c r="G309" s="25" t="inlineStr">
        <is>
          <t>Open</t>
        </is>
      </c>
      <c r="H309">
        <f>IFERROR(HYPERLINK("#Main!A"&amp;MATCH(A309,Main!A:A,0),"Open"),HYPERLINK("#Main!A1","Open"))</f>
        <v/>
      </c>
    </row>
    <row r="310" ht="30" customHeight="1">
      <c r="A310" s="33" t="inlineStr">
        <is>
          <t>https://africanmarketingconfederation.org/conference-faq-2025/</t>
        </is>
      </c>
      <c r="B310" s="26" t="inlineStr">
        <is>
          <t>No ETag Header</t>
        </is>
      </c>
      <c r="C310" s="24" t="inlineStr">
        <is>
          <t>https://africanmarketingconfederation.org/conference-faq-2025/::no_etag_header</t>
        </is>
      </c>
      <c r="D310" s="29" t="inlineStr">
        <is>
          <t>Info</t>
        </is>
      </c>
      <c r="E310" s="24" t="inlineStr">
        <is>
          <t>Server/Host</t>
        </is>
      </c>
      <c r="F310" s="24" t="inlineStr"/>
      <c r="G310" s="25" t="inlineStr">
        <is>
          <t>Open</t>
        </is>
      </c>
      <c r="H310">
        <f>IFERROR(HYPERLINK("#Main!A"&amp;MATCH(A310,Main!A:A,0),"Open"),HYPERLINK("#Main!A1","Open"))</f>
        <v/>
      </c>
    </row>
    <row r="311" ht="30" customHeight="1">
      <c r="A311" s="33" t="inlineStr">
        <is>
          <t>https://africanmarketingconfederation.org/conference-faq-2025/</t>
        </is>
      </c>
      <c r="B311" s="26" t="inlineStr">
        <is>
          <t>No FAQ/QA Schema</t>
        </is>
      </c>
      <c r="C311" s="6" t="inlineStr">
        <is>
          <t>https://africanmarketingconfederation.org/conference-faq-2025/::no_faq_qa_schema</t>
        </is>
      </c>
      <c r="D311" s="29" t="inlineStr">
        <is>
          <t>Info</t>
        </is>
      </c>
      <c r="E311" s="6" t="inlineStr">
        <is>
          <t>Dev</t>
        </is>
      </c>
      <c r="F311" s="6" t="inlineStr"/>
      <c r="G311" s="25" t="inlineStr">
        <is>
          <t>Open</t>
        </is>
      </c>
      <c r="H311">
        <f>IFERROR(HYPERLINK("#Main!A"&amp;MATCH(A311,Main!A:A,0),"Open"),HYPERLINK("#Main!A1","Open"))</f>
        <v/>
      </c>
    </row>
    <row r="312" ht="30" customHeight="1">
      <c r="A312" s="33" t="inlineStr">
        <is>
          <t>https://africanmarketingconfederation.org/conference-faq-2025/</t>
        </is>
      </c>
      <c r="B312" s="26" t="inlineStr">
        <is>
          <t>No Question Headings</t>
        </is>
      </c>
      <c r="C312" s="24" t="inlineStr">
        <is>
          <t>https://africanmarketingconfederation.org/conference-faq-2025/::no_question_headings</t>
        </is>
      </c>
      <c r="D312" s="29" t="inlineStr">
        <is>
          <t>Info</t>
        </is>
      </c>
      <c r="E312" s="24" t="inlineStr">
        <is>
          <t>Copy Writer</t>
        </is>
      </c>
      <c r="F312" s="24" t="inlineStr"/>
      <c r="G312" s="25" t="inlineStr">
        <is>
          <t>Open</t>
        </is>
      </c>
      <c r="H312">
        <f>IFERROR(HYPERLINK("#Main!A"&amp;MATCH(A312,Main!A:A,0),"Open"),HYPERLINK("#Main!A1","Open"))</f>
        <v/>
      </c>
    </row>
    <row r="313" ht="30" customHeight="1">
      <c r="A313" s="33" t="inlineStr">
        <is>
          <t>https://africanmarketingconfederation.org/conference-faq-2025/</t>
        </is>
      </c>
      <c r="B313" s="26" t="inlineStr">
        <is>
          <t>No Answer-Friendly Structure</t>
        </is>
      </c>
      <c r="C313" s="6" t="inlineStr">
        <is>
          <t>https://africanmarketingconfederation.org/conference-faq-2025/::no_answer-friendly_structure</t>
        </is>
      </c>
      <c r="D313" s="29" t="inlineStr">
        <is>
          <t>Info</t>
        </is>
      </c>
      <c r="E313" s="6" t="inlineStr">
        <is>
          <t>Copy Writer</t>
        </is>
      </c>
      <c r="F313" s="6" t="inlineStr"/>
      <c r="G313" s="25" t="inlineStr">
        <is>
          <t>Open</t>
        </is>
      </c>
      <c r="H313">
        <f>IFERROR(HYPERLINK("#Main!A"&amp;MATCH(A313,Main!A:A,0),"Open"),HYPERLINK("#Main!A1","Open"))</f>
        <v/>
      </c>
    </row>
    <row r="314" ht="30" customHeight="1">
      <c r="A314" s="33" t="inlineStr">
        <is>
          <t>https://africanmarketingconfederation.org/conference-faq-2025/</t>
        </is>
      </c>
      <c r="B314" s="26" t="inlineStr">
        <is>
          <t>No 40-60 Word Answer Paragraphs</t>
        </is>
      </c>
      <c r="C314" s="24" t="inlineStr">
        <is>
          <t>https://africanmarketingconfederation.org/conference-faq-2025/::no_40-60_word_answer_paragraphs</t>
        </is>
      </c>
      <c r="D314" s="29" t="inlineStr">
        <is>
          <t>Info</t>
        </is>
      </c>
      <c r="E314" s="24" t="inlineStr">
        <is>
          <t>Copy Writer</t>
        </is>
      </c>
      <c r="F314" s="24" t="inlineStr"/>
      <c r="G314" s="25" t="inlineStr">
        <is>
          <t>Open</t>
        </is>
      </c>
      <c r="H314">
        <f>IFERROR(HYPERLINK("#Main!A"&amp;MATCH(A314,Main!A:A,0),"Open"),HYPERLINK("#Main!A1","Open"))</f>
        <v/>
      </c>
    </row>
    <row r="315" ht="45" customHeight="1">
      <c r="A315" s="33" t="inlineStr">
        <is>
          <t>https://africanmarketingconfederation.org/amc-marketing-conference-2024/amc-conference-2025-ghana-sponsors/</t>
        </is>
      </c>
      <c r="B315" s="26" t="inlineStr">
        <is>
          <t>Thin Content</t>
        </is>
      </c>
      <c r="C315" s="6" t="inlineStr">
        <is>
          <t>https://africanmarketingconfederation.org/amc-marketing-conference-2024/amc-conference-2025-ghana-sponsors/::thin_content</t>
        </is>
      </c>
      <c r="D315" s="25" t="inlineStr">
        <is>
          <t>Warning</t>
        </is>
      </c>
      <c r="E315" s="6" t="inlineStr">
        <is>
          <t>Copy Writer</t>
        </is>
      </c>
      <c r="F315" s="6" t="inlineStr"/>
      <c r="G315" s="25" t="inlineStr">
        <is>
          <t>Open</t>
        </is>
      </c>
      <c r="H315">
        <f>IFERROR(HYPERLINK("#Main!A"&amp;MATCH(A315,Main!A:A,0),"Open"),HYPERLINK("#Main!A1","Open"))</f>
        <v/>
      </c>
    </row>
    <row r="316" ht="45" customHeight="1">
      <c r="A316" s="33" t="inlineStr">
        <is>
          <t>https://africanmarketingconfederation.org/amc-marketing-conference-2024/amc-conference-2025-ghana-sponsors/</t>
        </is>
      </c>
      <c r="B316" s="26" t="inlineStr">
        <is>
          <t>Low AEO Readiness Score</t>
        </is>
      </c>
      <c r="C316" s="24" t="inlineStr">
        <is>
          <t>https://africanmarketingconfederation.org/amc-marketing-conference-2024/amc-conference-2025-ghana-sponsors/::low_aeo_readiness_score</t>
        </is>
      </c>
      <c r="D316" s="25" t="inlineStr">
        <is>
          <t>Warning</t>
        </is>
      </c>
      <c r="E316" s="24" t="inlineStr">
        <is>
          <t>Copy Writer</t>
        </is>
      </c>
      <c r="F316" s="24" t="inlineStr"/>
      <c r="G316" s="25" t="inlineStr">
        <is>
          <t>Open</t>
        </is>
      </c>
      <c r="H316">
        <f>IFERROR(HYPERLINK("#Main!A"&amp;MATCH(A316,Main!A:A,0),"Open"),HYPERLINK("#Main!A1","Open"))</f>
        <v/>
      </c>
    </row>
    <row r="317" ht="45" customHeight="1">
      <c r="A317" s="33" t="inlineStr">
        <is>
          <t>https://africanmarketingconfederation.org/amc-marketing-conference-2024/amc-conference-2025-ghana-sponsors/</t>
        </is>
      </c>
      <c r="B317" s="26" t="inlineStr">
        <is>
          <t>No Compression Header</t>
        </is>
      </c>
      <c r="C317" s="6" t="inlineStr">
        <is>
          <t>https://africanmarketingconfederation.org/amc-marketing-conference-2024/amc-conference-2025-ghana-sponsors/::no_compression_header</t>
        </is>
      </c>
      <c r="D317" s="29" t="inlineStr">
        <is>
          <t>Info</t>
        </is>
      </c>
      <c r="E317" s="6" t="inlineStr">
        <is>
          <t>Server/Host</t>
        </is>
      </c>
      <c r="F317" s="6" t="inlineStr"/>
      <c r="G317" s="25" t="inlineStr">
        <is>
          <t>Open</t>
        </is>
      </c>
      <c r="H317">
        <f>IFERROR(HYPERLINK("#Main!A"&amp;MATCH(A317,Main!A:A,0),"Open"),HYPERLINK("#Main!A1","Open"))</f>
        <v/>
      </c>
    </row>
    <row r="318" ht="45" customHeight="1">
      <c r="A318" s="33" t="inlineStr">
        <is>
          <t>https://africanmarketingconfederation.org/amc-marketing-conference-2024/amc-conference-2025-ghana-sponsors/</t>
        </is>
      </c>
      <c r="B318" s="26" t="inlineStr">
        <is>
          <t>No Cache-Control Header</t>
        </is>
      </c>
      <c r="C318" s="24" t="inlineStr">
        <is>
          <t>https://africanmarketingconfederation.org/amc-marketing-conference-2024/amc-conference-2025-ghana-sponsors/::no_cache-control_header</t>
        </is>
      </c>
      <c r="D318" s="29" t="inlineStr">
        <is>
          <t>Info</t>
        </is>
      </c>
      <c r="E318" s="24" t="inlineStr">
        <is>
          <t>Server/Host</t>
        </is>
      </c>
      <c r="F318" s="24" t="inlineStr"/>
      <c r="G318" s="25" t="inlineStr">
        <is>
          <t>Open</t>
        </is>
      </c>
      <c r="H318">
        <f>IFERROR(HYPERLINK("#Main!A"&amp;MATCH(A318,Main!A:A,0),"Open"),HYPERLINK("#Main!A1","Open"))</f>
        <v/>
      </c>
    </row>
    <row r="319" ht="45" customHeight="1">
      <c r="A319" s="33" t="inlineStr">
        <is>
          <t>https://africanmarketingconfederation.org/amc-marketing-conference-2024/amc-conference-2025-ghana-sponsors/</t>
        </is>
      </c>
      <c r="B319" s="26" t="inlineStr">
        <is>
          <t>No ETag Header</t>
        </is>
      </c>
      <c r="C319" s="6" t="inlineStr">
        <is>
          <t>https://africanmarketingconfederation.org/amc-marketing-conference-2024/amc-conference-2025-ghana-sponsors/::no_etag_header</t>
        </is>
      </c>
      <c r="D319" s="29" t="inlineStr">
        <is>
          <t>Info</t>
        </is>
      </c>
      <c r="E319" s="6" t="inlineStr">
        <is>
          <t>Server/Host</t>
        </is>
      </c>
      <c r="F319" s="6" t="inlineStr"/>
      <c r="G319" s="25" t="inlineStr">
        <is>
          <t>Open</t>
        </is>
      </c>
      <c r="H319">
        <f>IFERROR(HYPERLINK("#Main!A"&amp;MATCH(A319,Main!A:A,0),"Open"),HYPERLINK("#Main!A1","Open"))</f>
        <v/>
      </c>
    </row>
    <row r="320" ht="45" customHeight="1">
      <c r="A320" s="33" t="inlineStr">
        <is>
          <t>https://africanmarketingconfederation.org/amc-marketing-conference-2024/amc-conference-2025-ghana-sponsors/</t>
        </is>
      </c>
      <c r="B320" s="26" t="inlineStr">
        <is>
          <t>No FAQ/QA Schema</t>
        </is>
      </c>
      <c r="C320" s="24" t="inlineStr">
        <is>
          <t>https://africanmarketingconfederation.org/amc-marketing-conference-2024/amc-conference-2025-ghana-sponsors/::no_faq_qa_schema</t>
        </is>
      </c>
      <c r="D320" s="29" t="inlineStr">
        <is>
          <t>Info</t>
        </is>
      </c>
      <c r="E320" s="24" t="inlineStr">
        <is>
          <t>Dev</t>
        </is>
      </c>
      <c r="F320" s="24" t="inlineStr"/>
      <c r="G320" s="25" t="inlineStr">
        <is>
          <t>Open</t>
        </is>
      </c>
      <c r="H320">
        <f>IFERROR(HYPERLINK("#Main!A"&amp;MATCH(A320,Main!A:A,0),"Open"),HYPERLINK("#Main!A1","Open"))</f>
        <v/>
      </c>
    </row>
    <row r="321" ht="45" customHeight="1">
      <c r="A321" s="33" t="inlineStr">
        <is>
          <t>https://africanmarketingconfederation.org/amc-marketing-conference-2024/amc-conference-2025-ghana-sponsors/</t>
        </is>
      </c>
      <c r="B321" s="26" t="inlineStr">
        <is>
          <t>No Question Headings</t>
        </is>
      </c>
      <c r="C321" s="6" t="inlineStr">
        <is>
          <t>https://africanmarketingconfederation.org/amc-marketing-conference-2024/amc-conference-2025-ghana-sponsors/::no_question_headings</t>
        </is>
      </c>
      <c r="D321" s="29" t="inlineStr">
        <is>
          <t>Info</t>
        </is>
      </c>
      <c r="E321" s="6" t="inlineStr">
        <is>
          <t>Copy Writer</t>
        </is>
      </c>
      <c r="F321" s="6" t="inlineStr"/>
      <c r="G321" s="25" t="inlineStr">
        <is>
          <t>Open</t>
        </is>
      </c>
      <c r="H321">
        <f>IFERROR(HYPERLINK("#Main!A"&amp;MATCH(A321,Main!A:A,0),"Open"),HYPERLINK("#Main!A1","Open"))</f>
        <v/>
      </c>
    </row>
    <row r="322" ht="45" customHeight="1">
      <c r="A322" s="33" t="inlineStr">
        <is>
          <t>https://africanmarketingconfederation.org/amc-marketing-conference-2024/amc-conference-2025-ghana-sponsors/</t>
        </is>
      </c>
      <c r="B322" s="26" t="inlineStr">
        <is>
          <t>No Answer-Friendly Structure</t>
        </is>
      </c>
      <c r="C322" s="24" t="inlineStr">
        <is>
          <t>https://africanmarketingconfederation.org/amc-marketing-conference-2024/amc-conference-2025-ghana-sponsors/::no_answer-friendly_structure</t>
        </is>
      </c>
      <c r="D322" s="29" t="inlineStr">
        <is>
          <t>Info</t>
        </is>
      </c>
      <c r="E322" s="24" t="inlineStr">
        <is>
          <t>Copy Writer</t>
        </is>
      </c>
      <c r="F322" s="24" t="inlineStr"/>
      <c r="G322" s="25" t="inlineStr">
        <is>
          <t>Open</t>
        </is>
      </c>
      <c r="H322">
        <f>IFERROR(HYPERLINK("#Main!A"&amp;MATCH(A322,Main!A:A,0),"Open"),HYPERLINK("#Main!A1","Open"))</f>
        <v/>
      </c>
    </row>
    <row r="323" ht="45" customHeight="1">
      <c r="A323" s="33" t="inlineStr">
        <is>
          <t>https://africanmarketingconfederation.org/amc-marketing-conference-2024/amc-conference-2025-ghana-sponsors/</t>
        </is>
      </c>
      <c r="B323" s="26" t="inlineStr">
        <is>
          <t>No 40-60 Word Answer Paragraphs</t>
        </is>
      </c>
      <c r="C323" s="6" t="inlineStr">
        <is>
          <t>https://africanmarketingconfederation.org/amc-marketing-conference-2024/amc-conference-2025-ghana-sponsors/::no_40-60_word_answer_paragraphs</t>
        </is>
      </c>
      <c r="D323" s="29" t="inlineStr">
        <is>
          <t>Info</t>
        </is>
      </c>
      <c r="E323" s="6" t="inlineStr">
        <is>
          <t>Copy Writer</t>
        </is>
      </c>
      <c r="F323" s="6" t="inlineStr"/>
      <c r="G323" s="25" t="inlineStr">
        <is>
          <t>Open</t>
        </is>
      </c>
      <c r="H323">
        <f>IFERROR(HYPERLINK("#Main!A"&amp;MATCH(A323,Main!A:A,0),"Open"),HYPERLINK("#Main!A1","Open"))</f>
        <v/>
      </c>
    </row>
    <row r="324" ht="30" customHeight="1">
      <c r="A324" s="33" t="inlineStr">
        <is>
          <t>https://africanmarketingconfederation.org/amc-forum-payments/</t>
        </is>
      </c>
      <c r="B324" s="26" t="inlineStr">
        <is>
          <t>Missing H1</t>
        </is>
      </c>
      <c r="C324" s="24" t="inlineStr">
        <is>
          <t>https://africanmarketingconfederation.org/amc-forum-payments/::missing_h1</t>
        </is>
      </c>
      <c r="D324" s="25" t="inlineStr">
        <is>
          <t>Warning</t>
        </is>
      </c>
      <c r="E324" s="24" t="inlineStr">
        <is>
          <t>Copy Writer</t>
        </is>
      </c>
      <c r="F324" s="24" t="inlineStr"/>
      <c r="G324" s="25" t="inlineStr">
        <is>
          <t>Open</t>
        </is>
      </c>
      <c r="H324">
        <f>IFERROR(HYPERLINK("#Main!A"&amp;MATCH(A324,Main!A:A,0),"Open"),HYPERLINK("#Main!A1","Open"))</f>
        <v/>
      </c>
    </row>
    <row r="325" ht="30" customHeight="1">
      <c r="A325" s="33" t="inlineStr">
        <is>
          <t>https://africanmarketingconfederation.org/amc-forum-payments/</t>
        </is>
      </c>
      <c r="B325" s="26" t="inlineStr">
        <is>
          <t>Thin Content</t>
        </is>
      </c>
      <c r="C325" s="6" t="inlineStr">
        <is>
          <t>https://africanmarketingconfederation.org/amc-forum-payments/::thin_content</t>
        </is>
      </c>
      <c r="D325" s="25" t="inlineStr">
        <is>
          <t>Warning</t>
        </is>
      </c>
      <c r="E325" s="6" t="inlineStr">
        <is>
          <t>Copy Writer</t>
        </is>
      </c>
      <c r="F325" s="6" t="inlineStr"/>
      <c r="G325" s="25" t="inlineStr">
        <is>
          <t>Open</t>
        </is>
      </c>
      <c r="H325">
        <f>IFERROR(HYPERLINK("#Main!A"&amp;MATCH(A325,Main!A:A,0),"Open"),HYPERLINK("#Main!A1","Open"))</f>
        <v/>
      </c>
    </row>
    <row r="326" ht="30" customHeight="1">
      <c r="A326" s="33" t="inlineStr">
        <is>
          <t>https://africanmarketingconfederation.org/amc-forum-payments/</t>
        </is>
      </c>
      <c r="B326" s="26" t="inlineStr">
        <is>
          <t>Low AEO Readiness Score</t>
        </is>
      </c>
      <c r="C326" s="24" t="inlineStr">
        <is>
          <t>https://africanmarketingconfederation.org/amc-forum-payments/::low_aeo_readiness_score</t>
        </is>
      </c>
      <c r="D326" s="25" t="inlineStr">
        <is>
          <t>Warning</t>
        </is>
      </c>
      <c r="E326" s="24" t="inlineStr">
        <is>
          <t>Copy Writer</t>
        </is>
      </c>
      <c r="F326" s="24" t="inlineStr"/>
      <c r="G326" s="25" t="inlineStr">
        <is>
          <t>Open</t>
        </is>
      </c>
      <c r="H326">
        <f>IFERROR(HYPERLINK("#Main!A"&amp;MATCH(A326,Main!A:A,0),"Open"),HYPERLINK("#Main!A1","Open"))</f>
        <v/>
      </c>
    </row>
    <row r="327" ht="30" customHeight="1">
      <c r="A327" s="33" t="inlineStr">
        <is>
          <t>https://africanmarketingconfederation.org/amc-forum-payments/</t>
        </is>
      </c>
      <c r="B327" s="26" t="inlineStr">
        <is>
          <t>No Compression Header</t>
        </is>
      </c>
      <c r="C327" s="6" t="inlineStr">
        <is>
          <t>https://africanmarketingconfederation.org/amc-forum-payments/::no_compression_header</t>
        </is>
      </c>
      <c r="D327" s="29" t="inlineStr">
        <is>
          <t>Info</t>
        </is>
      </c>
      <c r="E327" s="6" t="inlineStr">
        <is>
          <t>Server/Host</t>
        </is>
      </c>
      <c r="F327" s="6" t="inlineStr"/>
      <c r="G327" s="25" t="inlineStr">
        <is>
          <t>Open</t>
        </is>
      </c>
      <c r="H327">
        <f>IFERROR(HYPERLINK("#Main!A"&amp;MATCH(A327,Main!A:A,0),"Open"),HYPERLINK("#Main!A1","Open"))</f>
        <v/>
      </c>
    </row>
    <row r="328" ht="30" customHeight="1">
      <c r="A328" s="33" t="inlineStr">
        <is>
          <t>https://africanmarketingconfederation.org/amc-forum-payments/</t>
        </is>
      </c>
      <c r="B328" s="26" t="inlineStr">
        <is>
          <t>No Cache-Control Header</t>
        </is>
      </c>
      <c r="C328" s="24" t="inlineStr">
        <is>
          <t>https://africanmarketingconfederation.org/amc-forum-payments/::no_cache-control_header</t>
        </is>
      </c>
      <c r="D328" s="29" t="inlineStr">
        <is>
          <t>Info</t>
        </is>
      </c>
      <c r="E328" s="24" t="inlineStr">
        <is>
          <t>Server/Host</t>
        </is>
      </c>
      <c r="F328" s="24" t="inlineStr"/>
      <c r="G328" s="25" t="inlineStr">
        <is>
          <t>Open</t>
        </is>
      </c>
      <c r="H328">
        <f>IFERROR(HYPERLINK("#Main!A"&amp;MATCH(A328,Main!A:A,0),"Open"),HYPERLINK("#Main!A1","Open"))</f>
        <v/>
      </c>
    </row>
    <row r="329" ht="30" customHeight="1">
      <c r="A329" s="33" t="inlineStr">
        <is>
          <t>https://africanmarketingconfederation.org/amc-forum-payments/</t>
        </is>
      </c>
      <c r="B329" s="26" t="inlineStr">
        <is>
          <t>No ETag Header</t>
        </is>
      </c>
      <c r="C329" s="6" t="inlineStr">
        <is>
          <t>https://africanmarketingconfederation.org/amc-forum-payments/::no_etag_header</t>
        </is>
      </c>
      <c r="D329" s="29" t="inlineStr">
        <is>
          <t>Info</t>
        </is>
      </c>
      <c r="E329" s="6" t="inlineStr">
        <is>
          <t>Server/Host</t>
        </is>
      </c>
      <c r="F329" s="6" t="inlineStr"/>
      <c r="G329" s="25" t="inlineStr">
        <is>
          <t>Open</t>
        </is>
      </c>
      <c r="H329">
        <f>IFERROR(HYPERLINK("#Main!A"&amp;MATCH(A329,Main!A:A,0),"Open"),HYPERLINK("#Main!A1","Open"))</f>
        <v/>
      </c>
    </row>
    <row r="330" ht="30" customHeight="1">
      <c r="A330" s="33" t="inlineStr">
        <is>
          <t>https://africanmarketingconfederation.org/amc-forum-payments/</t>
        </is>
      </c>
      <c r="B330" s="26" t="inlineStr">
        <is>
          <t>No FAQ/QA Schema</t>
        </is>
      </c>
      <c r="C330" s="24" t="inlineStr">
        <is>
          <t>https://africanmarketingconfederation.org/amc-forum-payments/::no_faq_qa_schema</t>
        </is>
      </c>
      <c r="D330" s="29" t="inlineStr">
        <is>
          <t>Info</t>
        </is>
      </c>
      <c r="E330" s="24" t="inlineStr">
        <is>
          <t>Dev</t>
        </is>
      </c>
      <c r="F330" s="24" t="inlineStr"/>
      <c r="G330" s="25" t="inlineStr">
        <is>
          <t>Open</t>
        </is>
      </c>
      <c r="H330">
        <f>IFERROR(HYPERLINK("#Main!A"&amp;MATCH(A330,Main!A:A,0),"Open"),HYPERLINK("#Main!A1","Open"))</f>
        <v/>
      </c>
    </row>
    <row r="331" ht="30" customHeight="1">
      <c r="A331" s="33" t="inlineStr">
        <is>
          <t>https://africanmarketingconfederation.org/amc-forum-payments/</t>
        </is>
      </c>
      <c r="B331" s="26" t="inlineStr">
        <is>
          <t>No Question Headings</t>
        </is>
      </c>
      <c r="C331" s="6" t="inlineStr">
        <is>
          <t>https://africanmarketingconfederation.org/amc-forum-payments/::no_question_headings</t>
        </is>
      </c>
      <c r="D331" s="29" t="inlineStr">
        <is>
          <t>Info</t>
        </is>
      </c>
      <c r="E331" s="6" t="inlineStr">
        <is>
          <t>Copy Writer</t>
        </is>
      </c>
      <c r="F331" s="6" t="inlineStr"/>
      <c r="G331" s="25" t="inlineStr">
        <is>
          <t>Open</t>
        </is>
      </c>
      <c r="H331">
        <f>IFERROR(HYPERLINK("#Main!A"&amp;MATCH(A331,Main!A:A,0),"Open"),HYPERLINK("#Main!A1","Open"))</f>
        <v/>
      </c>
    </row>
    <row r="332" ht="30" customHeight="1">
      <c r="A332" s="33" t="inlineStr">
        <is>
          <t>https://africanmarketingconfederation.org/amc-forum-payments/</t>
        </is>
      </c>
      <c r="B332" s="26" t="inlineStr">
        <is>
          <t>No Answer-Friendly Structure</t>
        </is>
      </c>
      <c r="C332" s="24" t="inlineStr">
        <is>
          <t>https://africanmarketingconfederation.org/amc-forum-payments/::no_answer-friendly_structure</t>
        </is>
      </c>
      <c r="D332" s="29" t="inlineStr">
        <is>
          <t>Info</t>
        </is>
      </c>
      <c r="E332" s="24" t="inlineStr">
        <is>
          <t>Copy Writer</t>
        </is>
      </c>
      <c r="F332" s="24" t="inlineStr"/>
      <c r="G332" s="25" t="inlineStr">
        <is>
          <t>Open</t>
        </is>
      </c>
      <c r="H332">
        <f>IFERROR(HYPERLINK("#Main!A"&amp;MATCH(A332,Main!A:A,0),"Open"),HYPERLINK("#Main!A1","Open"))</f>
        <v/>
      </c>
    </row>
    <row r="333" ht="30" customHeight="1">
      <c r="A333" s="33" t="inlineStr">
        <is>
          <t>https://africanmarketingconfederation.org/amc-forum-payments/</t>
        </is>
      </c>
      <c r="B333" s="26" t="inlineStr">
        <is>
          <t>No 40-60 Word Answer Paragraphs</t>
        </is>
      </c>
      <c r="C333" s="6" t="inlineStr">
        <is>
          <t>https://africanmarketingconfederation.org/amc-forum-payments/::no_40-60_word_answer_paragraphs</t>
        </is>
      </c>
      <c r="D333" s="29" t="inlineStr">
        <is>
          <t>Info</t>
        </is>
      </c>
      <c r="E333" s="6" t="inlineStr">
        <is>
          <t>Copy Writer</t>
        </is>
      </c>
      <c r="F333" s="6" t="inlineStr"/>
      <c r="G333" s="25" t="inlineStr">
        <is>
          <t>Open</t>
        </is>
      </c>
      <c r="H333">
        <f>IFERROR(HYPERLINK("#Main!A"&amp;MATCH(A333,Main!A:A,0),"Open"),HYPERLINK("#Main!A1","Open"))</f>
        <v/>
      </c>
    </row>
    <row r="334" ht="30" customHeight="1">
      <c r="A334" s="33" t="inlineStr">
        <is>
          <t>https://africanmarketingconfederation.org/amc-marketing-conference-2024/amc-launch-event-2025/</t>
        </is>
      </c>
      <c r="B334" s="26" t="inlineStr">
        <is>
          <t>Low AEO Readiness Score</t>
        </is>
      </c>
      <c r="C334" s="24" t="inlineStr">
        <is>
          <t>https://africanmarketingconfederation.org/amc-marketing-conference-2024/amc-launch-event-2025/::low_aeo_readiness_score</t>
        </is>
      </c>
      <c r="D334" s="25" t="inlineStr">
        <is>
          <t>Warning</t>
        </is>
      </c>
      <c r="E334" s="24" t="inlineStr">
        <is>
          <t>Copy Writer</t>
        </is>
      </c>
      <c r="F334" s="24" t="inlineStr"/>
      <c r="G334" s="25" t="inlineStr">
        <is>
          <t>Open</t>
        </is>
      </c>
      <c r="H334">
        <f>IFERROR(HYPERLINK("#Main!A"&amp;MATCH(A334,Main!A:A,0),"Open"),HYPERLINK("#Main!A1","Open"))</f>
        <v/>
      </c>
    </row>
    <row r="335" ht="30" customHeight="1">
      <c r="A335" s="33" t="inlineStr">
        <is>
          <t>https://africanmarketingconfederation.org/amc-marketing-conference-2024/amc-launch-event-2025/</t>
        </is>
      </c>
      <c r="B335" s="26" t="inlineStr">
        <is>
          <t>No Compression Header</t>
        </is>
      </c>
      <c r="C335" s="6" t="inlineStr">
        <is>
          <t>https://africanmarketingconfederation.org/amc-marketing-conference-2024/amc-launch-event-2025/::no_compression_header</t>
        </is>
      </c>
      <c r="D335" s="29" t="inlineStr">
        <is>
          <t>Info</t>
        </is>
      </c>
      <c r="E335" s="6" t="inlineStr">
        <is>
          <t>Server/Host</t>
        </is>
      </c>
      <c r="F335" s="6" t="inlineStr"/>
      <c r="G335" s="25" t="inlineStr">
        <is>
          <t>Open</t>
        </is>
      </c>
      <c r="H335">
        <f>IFERROR(HYPERLINK("#Main!A"&amp;MATCH(A335,Main!A:A,0),"Open"),HYPERLINK("#Main!A1","Open"))</f>
        <v/>
      </c>
    </row>
    <row r="336" ht="30" customHeight="1">
      <c r="A336" s="33" t="inlineStr">
        <is>
          <t>https://africanmarketingconfederation.org/amc-marketing-conference-2024/amc-launch-event-2025/</t>
        </is>
      </c>
      <c r="B336" s="26" t="inlineStr">
        <is>
          <t>No Cache-Control Header</t>
        </is>
      </c>
      <c r="C336" s="24" t="inlineStr">
        <is>
          <t>https://africanmarketingconfederation.org/amc-marketing-conference-2024/amc-launch-event-2025/::no_cache-control_header</t>
        </is>
      </c>
      <c r="D336" s="29" t="inlineStr">
        <is>
          <t>Info</t>
        </is>
      </c>
      <c r="E336" s="24" t="inlineStr">
        <is>
          <t>Server/Host</t>
        </is>
      </c>
      <c r="F336" s="24" t="inlineStr"/>
      <c r="G336" s="25" t="inlineStr">
        <is>
          <t>Open</t>
        </is>
      </c>
      <c r="H336">
        <f>IFERROR(HYPERLINK("#Main!A"&amp;MATCH(A336,Main!A:A,0),"Open"),HYPERLINK("#Main!A1","Open"))</f>
        <v/>
      </c>
    </row>
    <row r="337" ht="30" customHeight="1">
      <c r="A337" s="33" t="inlineStr">
        <is>
          <t>https://africanmarketingconfederation.org/amc-marketing-conference-2024/amc-launch-event-2025/</t>
        </is>
      </c>
      <c r="B337" s="26" t="inlineStr">
        <is>
          <t>No ETag Header</t>
        </is>
      </c>
      <c r="C337" s="6" t="inlineStr">
        <is>
          <t>https://africanmarketingconfederation.org/amc-marketing-conference-2024/amc-launch-event-2025/::no_etag_header</t>
        </is>
      </c>
      <c r="D337" s="29" t="inlineStr">
        <is>
          <t>Info</t>
        </is>
      </c>
      <c r="E337" s="6" t="inlineStr">
        <is>
          <t>Server/Host</t>
        </is>
      </c>
      <c r="F337" s="6" t="inlineStr"/>
      <c r="G337" s="25" t="inlineStr">
        <is>
          <t>Open</t>
        </is>
      </c>
      <c r="H337">
        <f>IFERROR(HYPERLINK("#Main!A"&amp;MATCH(A337,Main!A:A,0),"Open"),HYPERLINK("#Main!A1","Open"))</f>
        <v/>
      </c>
    </row>
    <row r="338" ht="30" customHeight="1">
      <c r="A338" s="33" t="inlineStr">
        <is>
          <t>https://africanmarketingconfederation.org/amc-marketing-conference-2024/amc-launch-event-2025/</t>
        </is>
      </c>
      <c r="B338" s="26" t="inlineStr">
        <is>
          <t>No FAQ/QA Schema</t>
        </is>
      </c>
      <c r="C338" s="24" t="inlineStr">
        <is>
          <t>https://africanmarketingconfederation.org/amc-marketing-conference-2024/amc-launch-event-2025/::no_faq_qa_schema</t>
        </is>
      </c>
      <c r="D338" s="29" t="inlineStr">
        <is>
          <t>Info</t>
        </is>
      </c>
      <c r="E338" s="24" t="inlineStr">
        <is>
          <t>Dev</t>
        </is>
      </c>
      <c r="F338" s="24" t="inlineStr"/>
      <c r="G338" s="25" t="inlineStr">
        <is>
          <t>Open</t>
        </is>
      </c>
      <c r="H338">
        <f>IFERROR(HYPERLINK("#Main!A"&amp;MATCH(A338,Main!A:A,0),"Open"),HYPERLINK("#Main!A1","Open"))</f>
        <v/>
      </c>
    </row>
    <row r="339" ht="30" customHeight="1">
      <c r="A339" s="33" t="inlineStr">
        <is>
          <t>https://africanmarketingconfederation.org/amc-marketing-conference-2024/amc-launch-event-2025/</t>
        </is>
      </c>
      <c r="B339" s="26" t="inlineStr">
        <is>
          <t>No Question Headings</t>
        </is>
      </c>
      <c r="C339" s="6" t="inlineStr">
        <is>
          <t>https://africanmarketingconfederation.org/amc-marketing-conference-2024/amc-launch-event-2025/::no_question_headings</t>
        </is>
      </c>
      <c r="D339" s="29" t="inlineStr">
        <is>
          <t>Info</t>
        </is>
      </c>
      <c r="E339" s="6" t="inlineStr">
        <is>
          <t>Copy Writer</t>
        </is>
      </c>
      <c r="F339" s="6" t="inlineStr"/>
      <c r="G339" s="25" t="inlineStr">
        <is>
          <t>Open</t>
        </is>
      </c>
      <c r="H339">
        <f>IFERROR(HYPERLINK("#Main!A"&amp;MATCH(A339,Main!A:A,0),"Open"),HYPERLINK("#Main!A1","Open"))</f>
        <v/>
      </c>
    </row>
    <row r="340" ht="30" customHeight="1">
      <c r="A340" s="33" t="inlineStr">
        <is>
          <t>https://africanmarketingconfederation.org/amc-marketing-conference-2024/amc-launch-event-2025/</t>
        </is>
      </c>
      <c r="B340" s="26" t="inlineStr">
        <is>
          <t>No Answer-Friendly Structure</t>
        </is>
      </c>
      <c r="C340" s="24" t="inlineStr">
        <is>
          <t>https://africanmarketingconfederation.org/amc-marketing-conference-2024/amc-launch-event-2025/::no_answer-friendly_structure</t>
        </is>
      </c>
      <c r="D340" s="29" t="inlineStr">
        <is>
          <t>Info</t>
        </is>
      </c>
      <c r="E340" s="24" t="inlineStr">
        <is>
          <t>Copy Writer</t>
        </is>
      </c>
      <c r="F340" s="24" t="inlineStr"/>
      <c r="G340" s="25" t="inlineStr">
        <is>
          <t>Open</t>
        </is>
      </c>
      <c r="H340">
        <f>IFERROR(HYPERLINK("#Main!A"&amp;MATCH(A340,Main!A:A,0),"Open"),HYPERLINK("#Main!A1","Open"))</f>
        <v/>
      </c>
    </row>
    <row r="341" ht="30" customHeight="1">
      <c r="A341" s="33" t="inlineStr">
        <is>
          <t>https://africanmarketingconfederation.org/amc-marketing-conference-2024/amc-launch-event-2025/</t>
        </is>
      </c>
      <c r="B341" s="26" t="inlineStr">
        <is>
          <t>No 40-60 Word Answer Paragraphs</t>
        </is>
      </c>
      <c r="C341" s="6" t="inlineStr">
        <is>
          <t>https://africanmarketingconfederation.org/amc-marketing-conference-2024/amc-launch-event-2025/::no_40-60_word_answer_paragraphs</t>
        </is>
      </c>
      <c r="D341" s="29" t="inlineStr">
        <is>
          <t>Info</t>
        </is>
      </c>
      <c r="E341" s="6" t="inlineStr">
        <is>
          <t>Copy Writer</t>
        </is>
      </c>
      <c r="F341" s="6" t="inlineStr"/>
      <c r="G341" s="25" t="inlineStr">
        <is>
          <t>Open</t>
        </is>
      </c>
      <c r="H341">
        <f>IFERROR(HYPERLINK("#Main!A"&amp;MATCH(A341,Main!A:A,0),"Open"),HYPERLINK("#Main!A1","Open"))</f>
        <v/>
      </c>
    </row>
    <row r="342" ht="30" customHeight="1">
      <c r="A342" s="33" t="inlineStr">
        <is>
          <t>https://africanmarketingconfederation.org/checkout/</t>
        </is>
      </c>
      <c r="B342" s="26" t="inlineStr">
        <is>
          <t>Missing H1</t>
        </is>
      </c>
      <c r="C342" s="24" t="inlineStr">
        <is>
          <t>https://africanmarketingconfederation.org/checkout/::missing_h1</t>
        </is>
      </c>
      <c r="D342" s="25" t="inlineStr">
        <is>
          <t>Warning</t>
        </is>
      </c>
      <c r="E342" s="24" t="inlineStr">
        <is>
          <t>Copy Writer</t>
        </is>
      </c>
      <c r="F342" s="24" t="inlineStr"/>
      <c r="G342" s="25" t="inlineStr">
        <is>
          <t>Open</t>
        </is>
      </c>
      <c r="H342">
        <f>IFERROR(HYPERLINK("#Main!A"&amp;MATCH(A342,Main!A:A,0),"Open"),HYPERLINK("#Main!A1","Open"))</f>
        <v/>
      </c>
    </row>
    <row r="343" ht="30" customHeight="1">
      <c r="A343" s="33" t="inlineStr">
        <is>
          <t>https://africanmarketingconfederation.org/checkout/</t>
        </is>
      </c>
      <c r="B343" s="26" t="inlineStr">
        <is>
          <t>Thin Content</t>
        </is>
      </c>
      <c r="C343" s="6" t="inlineStr">
        <is>
          <t>https://africanmarketingconfederation.org/checkout/::thin_content</t>
        </is>
      </c>
      <c r="D343" s="25" t="inlineStr">
        <is>
          <t>Warning</t>
        </is>
      </c>
      <c r="E343" s="6" t="inlineStr">
        <is>
          <t>Copy Writer</t>
        </is>
      </c>
      <c r="F343" s="6" t="inlineStr"/>
      <c r="G343" s="25" t="inlineStr">
        <is>
          <t>Open</t>
        </is>
      </c>
      <c r="H343">
        <f>IFERROR(HYPERLINK("#Main!A"&amp;MATCH(A343,Main!A:A,0),"Open"),HYPERLINK("#Main!A1","Open"))</f>
        <v/>
      </c>
    </row>
    <row r="344" ht="30" customHeight="1">
      <c r="A344" s="33" t="inlineStr">
        <is>
          <t>https://africanmarketingconfederation.org/checkout/</t>
        </is>
      </c>
      <c r="B344" s="26" t="inlineStr">
        <is>
          <t>Low AEO Readiness Score</t>
        </is>
      </c>
      <c r="C344" s="24" t="inlineStr">
        <is>
          <t>https://africanmarketingconfederation.org/checkout/::low_aeo_readiness_score</t>
        </is>
      </c>
      <c r="D344" s="25" t="inlineStr">
        <is>
          <t>Warning</t>
        </is>
      </c>
      <c r="E344" s="24" t="inlineStr">
        <is>
          <t>Copy Writer</t>
        </is>
      </c>
      <c r="F344" s="24" t="inlineStr"/>
      <c r="G344" s="25" t="inlineStr">
        <is>
          <t>Open</t>
        </is>
      </c>
      <c r="H344">
        <f>IFERROR(HYPERLINK("#Main!A"&amp;MATCH(A344,Main!A:A,0),"Open"),HYPERLINK("#Main!A1","Open"))</f>
        <v/>
      </c>
    </row>
    <row r="345" ht="30" customHeight="1">
      <c r="A345" s="33" t="inlineStr">
        <is>
          <t>https://africanmarketingconfederation.org/checkout/</t>
        </is>
      </c>
      <c r="B345" s="26" t="inlineStr">
        <is>
          <t>No Compression Header</t>
        </is>
      </c>
      <c r="C345" s="6" t="inlineStr">
        <is>
          <t>https://africanmarketingconfederation.org/checkout/::no_compression_header</t>
        </is>
      </c>
      <c r="D345" s="29" t="inlineStr">
        <is>
          <t>Info</t>
        </is>
      </c>
      <c r="E345" s="6" t="inlineStr">
        <is>
          <t>Server/Host</t>
        </is>
      </c>
      <c r="F345" s="6" t="inlineStr"/>
      <c r="G345" s="25" t="inlineStr">
        <is>
          <t>Open</t>
        </is>
      </c>
      <c r="H345">
        <f>IFERROR(HYPERLINK("#Main!A"&amp;MATCH(A345,Main!A:A,0),"Open"),HYPERLINK("#Main!A1","Open"))</f>
        <v/>
      </c>
    </row>
    <row r="346" ht="30" customHeight="1">
      <c r="A346" s="33" t="inlineStr">
        <is>
          <t>https://africanmarketingconfederation.org/checkout/</t>
        </is>
      </c>
      <c r="B346" s="26" t="inlineStr">
        <is>
          <t>No Cache-Control Header</t>
        </is>
      </c>
      <c r="C346" s="24" t="inlineStr">
        <is>
          <t>https://africanmarketingconfederation.org/checkout/::no_cache-control_header</t>
        </is>
      </c>
      <c r="D346" s="29" t="inlineStr">
        <is>
          <t>Info</t>
        </is>
      </c>
      <c r="E346" s="24" t="inlineStr">
        <is>
          <t>Server/Host</t>
        </is>
      </c>
      <c r="F346" s="24" t="inlineStr"/>
      <c r="G346" s="25" t="inlineStr">
        <is>
          <t>Open</t>
        </is>
      </c>
      <c r="H346">
        <f>IFERROR(HYPERLINK("#Main!A"&amp;MATCH(A346,Main!A:A,0),"Open"),HYPERLINK("#Main!A1","Open"))</f>
        <v/>
      </c>
    </row>
    <row r="347" ht="30" customHeight="1">
      <c r="A347" s="33" t="inlineStr">
        <is>
          <t>https://africanmarketingconfederation.org/checkout/</t>
        </is>
      </c>
      <c r="B347" s="26" t="inlineStr">
        <is>
          <t>No ETag Header</t>
        </is>
      </c>
      <c r="C347" s="6" t="inlineStr">
        <is>
          <t>https://africanmarketingconfederation.org/checkout/::no_etag_header</t>
        </is>
      </c>
      <c r="D347" s="29" t="inlineStr">
        <is>
          <t>Info</t>
        </is>
      </c>
      <c r="E347" s="6" t="inlineStr">
        <is>
          <t>Server/Host</t>
        </is>
      </c>
      <c r="F347" s="6" t="inlineStr"/>
      <c r="G347" s="25" t="inlineStr">
        <is>
          <t>Open</t>
        </is>
      </c>
      <c r="H347">
        <f>IFERROR(HYPERLINK("#Main!A"&amp;MATCH(A347,Main!A:A,0),"Open"),HYPERLINK("#Main!A1","Open"))</f>
        <v/>
      </c>
    </row>
    <row r="348" ht="30" customHeight="1">
      <c r="A348" s="33" t="inlineStr">
        <is>
          <t>https://africanmarketingconfederation.org/checkout/</t>
        </is>
      </c>
      <c r="B348" s="26" t="inlineStr">
        <is>
          <t>No FAQ/QA Schema</t>
        </is>
      </c>
      <c r="C348" s="24" t="inlineStr">
        <is>
          <t>https://africanmarketingconfederation.org/checkout/::no_faq_qa_schema</t>
        </is>
      </c>
      <c r="D348" s="29" t="inlineStr">
        <is>
          <t>Info</t>
        </is>
      </c>
      <c r="E348" s="24" t="inlineStr">
        <is>
          <t>Dev</t>
        </is>
      </c>
      <c r="F348" s="24" t="inlineStr"/>
      <c r="G348" s="25" t="inlineStr">
        <is>
          <t>Open</t>
        </is>
      </c>
      <c r="H348">
        <f>IFERROR(HYPERLINK("#Main!A"&amp;MATCH(A348,Main!A:A,0),"Open"),HYPERLINK("#Main!A1","Open"))</f>
        <v/>
      </c>
    </row>
    <row r="349" ht="30" customHeight="1">
      <c r="A349" s="33" t="inlineStr">
        <is>
          <t>https://africanmarketingconfederation.org/checkout/</t>
        </is>
      </c>
      <c r="B349" s="26" t="inlineStr">
        <is>
          <t>No Question Headings</t>
        </is>
      </c>
      <c r="C349" s="6" t="inlineStr">
        <is>
          <t>https://africanmarketingconfederation.org/checkout/::no_question_headings</t>
        </is>
      </c>
      <c r="D349" s="29" t="inlineStr">
        <is>
          <t>Info</t>
        </is>
      </c>
      <c r="E349" s="6" t="inlineStr">
        <is>
          <t>Copy Writer</t>
        </is>
      </c>
      <c r="F349" s="6" t="inlineStr"/>
      <c r="G349" s="25" t="inlineStr">
        <is>
          <t>Open</t>
        </is>
      </c>
      <c r="H349">
        <f>IFERROR(HYPERLINK("#Main!A"&amp;MATCH(A349,Main!A:A,0),"Open"),HYPERLINK("#Main!A1","Open"))</f>
        <v/>
      </c>
    </row>
    <row r="350" ht="30" customHeight="1">
      <c r="A350" s="33" t="inlineStr">
        <is>
          <t>https://africanmarketingconfederation.org/checkout/</t>
        </is>
      </c>
      <c r="B350" s="26" t="inlineStr">
        <is>
          <t>No Answer-Friendly Structure</t>
        </is>
      </c>
      <c r="C350" s="24" t="inlineStr">
        <is>
          <t>https://africanmarketingconfederation.org/checkout/::no_answer-friendly_structure</t>
        </is>
      </c>
      <c r="D350" s="29" t="inlineStr">
        <is>
          <t>Info</t>
        </is>
      </c>
      <c r="E350" s="24" t="inlineStr">
        <is>
          <t>Copy Writer</t>
        </is>
      </c>
      <c r="F350" s="24" t="inlineStr"/>
      <c r="G350" s="25" t="inlineStr">
        <is>
          <t>Open</t>
        </is>
      </c>
      <c r="H350">
        <f>IFERROR(HYPERLINK("#Main!A"&amp;MATCH(A350,Main!A:A,0),"Open"),HYPERLINK("#Main!A1","Open"))</f>
        <v/>
      </c>
    </row>
    <row r="351" ht="30" customHeight="1">
      <c r="A351" s="33" t="inlineStr">
        <is>
          <t>https://africanmarketingconfederation.org/checkout/</t>
        </is>
      </c>
      <c r="B351" s="26" t="inlineStr">
        <is>
          <t>No 40-60 Word Answer Paragraphs</t>
        </is>
      </c>
      <c r="C351" s="6" t="inlineStr">
        <is>
          <t>https://africanmarketingconfederation.org/checkout/::no_40-60_word_answer_paragraphs</t>
        </is>
      </c>
      <c r="D351" s="29" t="inlineStr">
        <is>
          <t>Info</t>
        </is>
      </c>
      <c r="E351" s="6" t="inlineStr">
        <is>
          <t>Copy Writer</t>
        </is>
      </c>
      <c r="F351" s="6" t="inlineStr"/>
      <c r="G351" s="25" t="inlineStr">
        <is>
          <t>Open</t>
        </is>
      </c>
      <c r="H351">
        <f>IFERROR(HYPERLINK("#Main!A"&amp;MATCH(A351,Main!A:A,0),"Open"),HYPERLINK("#Main!A1","Open"))</f>
        <v/>
      </c>
    </row>
    <row r="352" ht="30" customHeight="1">
      <c r="A352" s="33" t="inlineStr">
        <is>
          <t>https://africanmarketingconfederation.org/amc-awards-2024/</t>
        </is>
      </c>
      <c r="B352" s="26" t="inlineStr">
        <is>
          <t>Multiple H1</t>
        </is>
      </c>
      <c r="C352" s="24" t="inlineStr">
        <is>
          <t>https://africanmarketingconfederation.org/amc-awards-2024/::multiple_h1</t>
        </is>
      </c>
      <c r="D352" s="25" t="inlineStr">
        <is>
          <t>Warning</t>
        </is>
      </c>
      <c r="E352" s="24" t="inlineStr">
        <is>
          <t>Copy Writer</t>
        </is>
      </c>
      <c r="F352" s="24" t="inlineStr"/>
      <c r="G352" s="25" t="inlineStr">
        <is>
          <t>Open</t>
        </is>
      </c>
      <c r="H352">
        <f>IFERROR(HYPERLINK("#Main!A"&amp;MATCH(A352,Main!A:A,0),"Open"),HYPERLINK("#Main!A1","Open"))</f>
        <v/>
      </c>
    </row>
    <row r="353" ht="30" customHeight="1">
      <c r="A353" s="33" t="inlineStr">
        <is>
          <t>https://africanmarketingconfederation.org/amc-awards-2024/</t>
        </is>
      </c>
      <c r="B353" s="26" t="inlineStr">
        <is>
          <t>Low AEO Readiness Score</t>
        </is>
      </c>
      <c r="C353" s="6" t="inlineStr">
        <is>
          <t>https://africanmarketingconfederation.org/amc-awards-2024/::low_aeo_readiness_score</t>
        </is>
      </c>
      <c r="D353" s="25" t="inlineStr">
        <is>
          <t>Warning</t>
        </is>
      </c>
      <c r="E353" s="6" t="inlineStr">
        <is>
          <t>Copy Writer</t>
        </is>
      </c>
      <c r="F353" s="6" t="inlineStr"/>
      <c r="G353" s="25" t="inlineStr">
        <is>
          <t>Open</t>
        </is>
      </c>
      <c r="H353">
        <f>IFERROR(HYPERLINK("#Main!A"&amp;MATCH(A353,Main!A:A,0),"Open"),HYPERLINK("#Main!A1","Open"))</f>
        <v/>
      </c>
    </row>
    <row r="354" ht="30" customHeight="1">
      <c r="A354" s="33" t="inlineStr">
        <is>
          <t>https://africanmarketingconfederation.org/amc-awards-2024/</t>
        </is>
      </c>
      <c r="B354" s="26" t="inlineStr">
        <is>
          <t>No Compression Header</t>
        </is>
      </c>
      <c r="C354" s="24" t="inlineStr">
        <is>
          <t>https://africanmarketingconfederation.org/amc-awards-2024/::no_compression_header</t>
        </is>
      </c>
      <c r="D354" s="29" t="inlineStr">
        <is>
          <t>Info</t>
        </is>
      </c>
      <c r="E354" s="24" t="inlineStr">
        <is>
          <t>Server/Host</t>
        </is>
      </c>
      <c r="F354" s="24" t="inlineStr"/>
      <c r="G354" s="25" t="inlineStr">
        <is>
          <t>Open</t>
        </is>
      </c>
      <c r="H354">
        <f>IFERROR(HYPERLINK("#Main!A"&amp;MATCH(A354,Main!A:A,0),"Open"),HYPERLINK("#Main!A1","Open"))</f>
        <v/>
      </c>
    </row>
    <row r="355" ht="30" customHeight="1">
      <c r="A355" s="33" t="inlineStr">
        <is>
          <t>https://africanmarketingconfederation.org/amc-awards-2024/</t>
        </is>
      </c>
      <c r="B355" s="26" t="inlineStr">
        <is>
          <t>No Cache-Control Header</t>
        </is>
      </c>
      <c r="C355" s="6" t="inlineStr">
        <is>
          <t>https://africanmarketingconfederation.org/amc-awards-2024/::no_cache-control_header</t>
        </is>
      </c>
      <c r="D355" s="29" t="inlineStr">
        <is>
          <t>Info</t>
        </is>
      </c>
      <c r="E355" s="6" t="inlineStr">
        <is>
          <t>Server/Host</t>
        </is>
      </c>
      <c r="F355" s="6" t="inlineStr"/>
      <c r="G355" s="25" t="inlineStr">
        <is>
          <t>Open</t>
        </is>
      </c>
      <c r="H355">
        <f>IFERROR(HYPERLINK("#Main!A"&amp;MATCH(A355,Main!A:A,0),"Open"),HYPERLINK("#Main!A1","Open"))</f>
        <v/>
      </c>
    </row>
    <row r="356" ht="30" customHeight="1">
      <c r="A356" s="33" t="inlineStr">
        <is>
          <t>https://africanmarketingconfederation.org/amc-awards-2024/</t>
        </is>
      </c>
      <c r="B356" s="26" t="inlineStr">
        <is>
          <t>No ETag Header</t>
        </is>
      </c>
      <c r="C356" s="24" t="inlineStr">
        <is>
          <t>https://africanmarketingconfederation.org/amc-awards-2024/::no_etag_header</t>
        </is>
      </c>
      <c r="D356" s="29" t="inlineStr">
        <is>
          <t>Info</t>
        </is>
      </c>
      <c r="E356" s="24" t="inlineStr">
        <is>
          <t>Server/Host</t>
        </is>
      </c>
      <c r="F356" s="24" t="inlineStr"/>
      <c r="G356" s="25" t="inlineStr">
        <is>
          <t>Open</t>
        </is>
      </c>
      <c r="H356">
        <f>IFERROR(HYPERLINK("#Main!A"&amp;MATCH(A356,Main!A:A,0),"Open"),HYPERLINK("#Main!A1","Open"))</f>
        <v/>
      </c>
    </row>
    <row r="357" ht="30" customHeight="1">
      <c r="A357" s="33" t="inlineStr">
        <is>
          <t>https://africanmarketingconfederation.org/amc-awards-2024/</t>
        </is>
      </c>
      <c r="B357" s="26" t="inlineStr">
        <is>
          <t>No FAQ/QA Schema</t>
        </is>
      </c>
      <c r="C357" s="6" t="inlineStr">
        <is>
          <t>https://africanmarketingconfederation.org/amc-awards-2024/::no_faq_qa_schema</t>
        </is>
      </c>
      <c r="D357" s="29" t="inlineStr">
        <is>
          <t>Info</t>
        </is>
      </c>
      <c r="E357" s="6" t="inlineStr">
        <is>
          <t>Dev</t>
        </is>
      </c>
      <c r="F357" s="6" t="inlineStr"/>
      <c r="G357" s="25" t="inlineStr">
        <is>
          <t>Open</t>
        </is>
      </c>
      <c r="H357">
        <f>IFERROR(HYPERLINK("#Main!A"&amp;MATCH(A357,Main!A:A,0),"Open"),HYPERLINK("#Main!A1","Open"))</f>
        <v/>
      </c>
    </row>
    <row r="358" ht="30" customHeight="1">
      <c r="A358" s="33" t="inlineStr">
        <is>
          <t>https://africanmarketingconfederation.org/amc-awards-2024/</t>
        </is>
      </c>
      <c r="B358" s="26" t="inlineStr">
        <is>
          <t>No Question Headings</t>
        </is>
      </c>
      <c r="C358" s="24" t="inlineStr">
        <is>
          <t>https://africanmarketingconfederation.org/amc-awards-2024/::no_question_headings</t>
        </is>
      </c>
      <c r="D358" s="29" t="inlineStr">
        <is>
          <t>Info</t>
        </is>
      </c>
      <c r="E358" s="24" t="inlineStr">
        <is>
          <t>Copy Writer</t>
        </is>
      </c>
      <c r="F358" s="24" t="inlineStr"/>
      <c r="G358" s="25" t="inlineStr">
        <is>
          <t>Open</t>
        </is>
      </c>
      <c r="H358">
        <f>IFERROR(HYPERLINK("#Main!A"&amp;MATCH(A358,Main!A:A,0),"Open"),HYPERLINK("#Main!A1","Open"))</f>
        <v/>
      </c>
    </row>
    <row r="359" ht="30" customHeight="1">
      <c r="A359" s="33" t="inlineStr">
        <is>
          <t>https://africanmarketingconfederation.org/amc-awards-2024/</t>
        </is>
      </c>
      <c r="B359" s="26" t="inlineStr">
        <is>
          <t>No Answer-Friendly Structure</t>
        </is>
      </c>
      <c r="C359" s="6" t="inlineStr">
        <is>
          <t>https://africanmarketingconfederation.org/amc-awards-2024/::no_answer-friendly_structure</t>
        </is>
      </c>
      <c r="D359" s="29" t="inlineStr">
        <is>
          <t>Info</t>
        </is>
      </c>
      <c r="E359" s="6" t="inlineStr">
        <is>
          <t>Copy Writer</t>
        </is>
      </c>
      <c r="F359" s="6" t="inlineStr"/>
      <c r="G359" s="25" t="inlineStr">
        <is>
          <t>Open</t>
        </is>
      </c>
      <c r="H359">
        <f>IFERROR(HYPERLINK("#Main!A"&amp;MATCH(A359,Main!A:A,0),"Open"),HYPERLINK("#Main!A1","Open"))</f>
        <v/>
      </c>
    </row>
    <row r="360" ht="30" customHeight="1">
      <c r="A360" s="33" t="inlineStr">
        <is>
          <t>https://africanmarketingconfederation.org/amc-awards-2024/</t>
        </is>
      </c>
      <c r="B360" s="26" t="inlineStr">
        <is>
          <t>No 40-60 Word Answer Paragraphs</t>
        </is>
      </c>
      <c r="C360" s="24" t="inlineStr">
        <is>
          <t>https://africanmarketingconfederation.org/amc-awards-2024/::no_40-60_word_answer_paragraphs</t>
        </is>
      </c>
      <c r="D360" s="29" t="inlineStr">
        <is>
          <t>Info</t>
        </is>
      </c>
      <c r="E360" s="24" t="inlineStr">
        <is>
          <t>Copy Writer</t>
        </is>
      </c>
      <c r="F360" s="24" t="inlineStr"/>
      <c r="G360" s="25" t="inlineStr">
        <is>
          <t>Open</t>
        </is>
      </c>
      <c r="H360">
        <f>IFERROR(HYPERLINK("#Main!A"&amp;MATCH(A360,Main!A:A,0),"Open"),HYPERLINK("#Main!A1","Open"))</f>
        <v/>
      </c>
    </row>
    <row r="361" ht="30" customHeight="1">
      <c r="A361" s="33" t="inlineStr">
        <is>
          <t>https://africanmarketingconfederation.org/amc-conference-2023/</t>
        </is>
      </c>
      <c r="B361" s="26" t="inlineStr">
        <is>
          <t>Low AEO Readiness Score</t>
        </is>
      </c>
      <c r="C361" s="6" t="inlineStr">
        <is>
          <t>https://africanmarketingconfederation.org/amc-conference-2023/::low_aeo_readiness_score</t>
        </is>
      </c>
      <c r="D361" s="25" t="inlineStr">
        <is>
          <t>Warning</t>
        </is>
      </c>
      <c r="E361" s="6" t="inlineStr">
        <is>
          <t>Copy Writer</t>
        </is>
      </c>
      <c r="F361" s="6" t="inlineStr"/>
      <c r="G361" s="25" t="inlineStr">
        <is>
          <t>Open</t>
        </is>
      </c>
      <c r="H361">
        <f>IFERROR(HYPERLINK("#Main!A"&amp;MATCH(A361,Main!A:A,0),"Open"),HYPERLINK("#Main!A1","Open"))</f>
        <v/>
      </c>
    </row>
    <row r="362" ht="30" customHeight="1">
      <c r="A362" s="33" t="inlineStr">
        <is>
          <t>https://africanmarketingconfederation.org/amc-conference-2023/</t>
        </is>
      </c>
      <c r="B362" s="26" t="inlineStr">
        <is>
          <t>No Compression Header</t>
        </is>
      </c>
      <c r="C362" s="24" t="inlineStr">
        <is>
          <t>https://africanmarketingconfederation.org/amc-conference-2023/::no_compression_header</t>
        </is>
      </c>
      <c r="D362" s="29" t="inlineStr">
        <is>
          <t>Info</t>
        </is>
      </c>
      <c r="E362" s="24" t="inlineStr">
        <is>
          <t>Server/Host</t>
        </is>
      </c>
      <c r="F362" s="24" t="inlineStr"/>
      <c r="G362" s="25" t="inlineStr">
        <is>
          <t>Open</t>
        </is>
      </c>
      <c r="H362">
        <f>IFERROR(HYPERLINK("#Main!A"&amp;MATCH(A362,Main!A:A,0),"Open"),HYPERLINK("#Main!A1","Open"))</f>
        <v/>
      </c>
    </row>
    <row r="363" ht="30" customHeight="1">
      <c r="A363" s="33" t="inlineStr">
        <is>
          <t>https://africanmarketingconfederation.org/amc-conference-2023/</t>
        </is>
      </c>
      <c r="B363" s="26" t="inlineStr">
        <is>
          <t>No Cache-Control Header</t>
        </is>
      </c>
      <c r="C363" s="6" t="inlineStr">
        <is>
          <t>https://africanmarketingconfederation.org/amc-conference-2023/::no_cache-control_header</t>
        </is>
      </c>
      <c r="D363" s="29" t="inlineStr">
        <is>
          <t>Info</t>
        </is>
      </c>
      <c r="E363" s="6" t="inlineStr">
        <is>
          <t>Server/Host</t>
        </is>
      </c>
      <c r="F363" s="6" t="inlineStr"/>
      <c r="G363" s="25" t="inlineStr">
        <is>
          <t>Open</t>
        </is>
      </c>
      <c r="H363">
        <f>IFERROR(HYPERLINK("#Main!A"&amp;MATCH(A363,Main!A:A,0),"Open"),HYPERLINK("#Main!A1","Open"))</f>
        <v/>
      </c>
    </row>
    <row r="364" ht="30" customHeight="1">
      <c r="A364" s="33" t="inlineStr">
        <is>
          <t>https://africanmarketingconfederation.org/amc-conference-2023/</t>
        </is>
      </c>
      <c r="B364" s="26" t="inlineStr">
        <is>
          <t>No ETag Header</t>
        </is>
      </c>
      <c r="C364" s="24" t="inlineStr">
        <is>
          <t>https://africanmarketingconfederation.org/amc-conference-2023/::no_etag_header</t>
        </is>
      </c>
      <c r="D364" s="29" t="inlineStr">
        <is>
          <t>Info</t>
        </is>
      </c>
      <c r="E364" s="24" t="inlineStr">
        <is>
          <t>Server/Host</t>
        </is>
      </c>
      <c r="F364" s="24" t="inlineStr"/>
      <c r="G364" s="25" t="inlineStr">
        <is>
          <t>Open</t>
        </is>
      </c>
      <c r="H364">
        <f>IFERROR(HYPERLINK("#Main!A"&amp;MATCH(A364,Main!A:A,0),"Open"),HYPERLINK("#Main!A1","Open"))</f>
        <v/>
      </c>
    </row>
    <row r="365" ht="30" customHeight="1">
      <c r="A365" s="33" t="inlineStr">
        <is>
          <t>https://africanmarketingconfederation.org/amc-conference-2023/</t>
        </is>
      </c>
      <c r="B365" s="26" t="inlineStr">
        <is>
          <t>No FAQ/QA Schema</t>
        </is>
      </c>
      <c r="C365" s="6" t="inlineStr">
        <is>
          <t>https://africanmarketingconfederation.org/amc-conference-2023/::no_faq_qa_schema</t>
        </is>
      </c>
      <c r="D365" s="29" t="inlineStr">
        <is>
          <t>Info</t>
        </is>
      </c>
      <c r="E365" s="6" t="inlineStr">
        <is>
          <t>Dev</t>
        </is>
      </c>
      <c r="F365" s="6" t="inlineStr"/>
      <c r="G365" s="25" t="inlineStr">
        <is>
          <t>Open</t>
        </is>
      </c>
      <c r="H365">
        <f>IFERROR(HYPERLINK("#Main!A"&amp;MATCH(A365,Main!A:A,0),"Open"),HYPERLINK("#Main!A1","Open"))</f>
        <v/>
      </c>
    </row>
    <row r="366" ht="30" customHeight="1">
      <c r="A366" s="33" t="inlineStr">
        <is>
          <t>https://africanmarketingconfederation.org/amc-conference-2023/</t>
        </is>
      </c>
      <c r="B366" s="26" t="inlineStr">
        <is>
          <t>No Question Headings</t>
        </is>
      </c>
      <c r="C366" s="24" t="inlineStr">
        <is>
          <t>https://africanmarketingconfederation.org/amc-conference-2023/::no_question_headings</t>
        </is>
      </c>
      <c r="D366" s="29" t="inlineStr">
        <is>
          <t>Info</t>
        </is>
      </c>
      <c r="E366" s="24" t="inlineStr">
        <is>
          <t>Copy Writer</t>
        </is>
      </c>
      <c r="F366" s="24" t="inlineStr"/>
      <c r="G366" s="25" t="inlineStr">
        <is>
          <t>Open</t>
        </is>
      </c>
      <c r="H366">
        <f>IFERROR(HYPERLINK("#Main!A"&amp;MATCH(A366,Main!A:A,0),"Open"),HYPERLINK("#Main!A1","Open"))</f>
        <v/>
      </c>
    </row>
    <row r="367" ht="30" customHeight="1">
      <c r="A367" s="33" t="inlineStr">
        <is>
          <t>https://africanmarketingconfederation.org/amc-conference-2023/</t>
        </is>
      </c>
      <c r="B367" s="26" t="inlineStr">
        <is>
          <t>No Answer-Friendly Structure</t>
        </is>
      </c>
      <c r="C367" s="6" t="inlineStr">
        <is>
          <t>https://africanmarketingconfederation.org/amc-conference-2023/::no_answer-friendly_structure</t>
        </is>
      </c>
      <c r="D367" s="29" t="inlineStr">
        <is>
          <t>Info</t>
        </is>
      </c>
      <c r="E367" s="6" t="inlineStr">
        <is>
          <t>Copy Writer</t>
        </is>
      </c>
      <c r="F367" s="6" t="inlineStr"/>
      <c r="G367" s="25" t="inlineStr">
        <is>
          <t>Open</t>
        </is>
      </c>
      <c r="H367">
        <f>IFERROR(HYPERLINK("#Main!A"&amp;MATCH(A367,Main!A:A,0),"Open"),HYPERLINK("#Main!A1","Open"))</f>
        <v/>
      </c>
    </row>
    <row r="368" ht="30" customHeight="1">
      <c r="A368" s="33" t="inlineStr">
        <is>
          <t>https://africanmarketingconfederation.org/amc-conference-2023/</t>
        </is>
      </c>
      <c r="B368" s="26" t="inlineStr">
        <is>
          <t>No 40-60 Word Answer Paragraphs</t>
        </is>
      </c>
      <c r="C368" s="24" t="inlineStr">
        <is>
          <t>https://africanmarketingconfederation.org/amc-conference-2023/::no_40-60_word_answer_paragraphs</t>
        </is>
      </c>
      <c r="D368" s="29" t="inlineStr">
        <is>
          <t>Info</t>
        </is>
      </c>
      <c r="E368" s="24" t="inlineStr">
        <is>
          <t>Copy Writer</t>
        </is>
      </c>
      <c r="F368" s="24" t="inlineStr"/>
      <c r="G368" s="25" t="inlineStr">
        <is>
          <t>Open</t>
        </is>
      </c>
      <c r="H368">
        <f>IFERROR(HYPERLINK("#Main!A"&amp;MATCH(A368,Main!A:A,0),"Open"),HYPERLINK("#Main!A1","Open"))</f>
        <v/>
      </c>
    </row>
    <row r="369" ht="30" customHeight="1">
      <c r="A369" s="33" t="inlineStr">
        <is>
          <t>https://africanmarketingconfederation.org/amc-forum-mombasa/</t>
        </is>
      </c>
      <c r="B369" s="26" t="inlineStr">
        <is>
          <t>Low AEO Readiness Score</t>
        </is>
      </c>
      <c r="C369" s="6" t="inlineStr">
        <is>
          <t>https://africanmarketingconfederation.org/amc-forum-mombasa/::low_aeo_readiness_score</t>
        </is>
      </c>
      <c r="D369" s="25" t="inlineStr">
        <is>
          <t>Warning</t>
        </is>
      </c>
      <c r="E369" s="6" t="inlineStr">
        <is>
          <t>Copy Writer</t>
        </is>
      </c>
      <c r="F369" s="6" t="inlineStr"/>
      <c r="G369" s="25" t="inlineStr">
        <is>
          <t>Open</t>
        </is>
      </c>
      <c r="H369">
        <f>IFERROR(HYPERLINK("#Main!A"&amp;MATCH(A369,Main!A:A,0),"Open"),HYPERLINK("#Main!A1","Open"))</f>
        <v/>
      </c>
    </row>
    <row r="370" ht="30" customHeight="1">
      <c r="A370" s="33" t="inlineStr">
        <is>
          <t>https://africanmarketingconfederation.org/amc-forum-mombasa/</t>
        </is>
      </c>
      <c r="B370" s="26" t="inlineStr">
        <is>
          <t>No Compression Header</t>
        </is>
      </c>
      <c r="C370" s="24" t="inlineStr">
        <is>
          <t>https://africanmarketingconfederation.org/amc-forum-mombasa/::no_compression_header</t>
        </is>
      </c>
      <c r="D370" s="29" t="inlineStr">
        <is>
          <t>Info</t>
        </is>
      </c>
      <c r="E370" s="24" t="inlineStr">
        <is>
          <t>Server/Host</t>
        </is>
      </c>
      <c r="F370" s="24" t="inlineStr"/>
      <c r="G370" s="25" t="inlineStr">
        <is>
          <t>Open</t>
        </is>
      </c>
      <c r="H370">
        <f>IFERROR(HYPERLINK("#Main!A"&amp;MATCH(A370,Main!A:A,0),"Open"),HYPERLINK("#Main!A1","Open"))</f>
        <v/>
      </c>
    </row>
    <row r="371" ht="30" customHeight="1">
      <c r="A371" s="33" t="inlineStr">
        <is>
          <t>https://africanmarketingconfederation.org/amc-forum-mombasa/</t>
        </is>
      </c>
      <c r="B371" s="26" t="inlineStr">
        <is>
          <t>No Cache-Control Header</t>
        </is>
      </c>
      <c r="C371" s="6" t="inlineStr">
        <is>
          <t>https://africanmarketingconfederation.org/amc-forum-mombasa/::no_cache-control_header</t>
        </is>
      </c>
      <c r="D371" s="29" t="inlineStr">
        <is>
          <t>Info</t>
        </is>
      </c>
      <c r="E371" s="6" t="inlineStr">
        <is>
          <t>Server/Host</t>
        </is>
      </c>
      <c r="F371" s="6" t="inlineStr"/>
      <c r="G371" s="25" t="inlineStr">
        <is>
          <t>Open</t>
        </is>
      </c>
      <c r="H371">
        <f>IFERROR(HYPERLINK("#Main!A"&amp;MATCH(A371,Main!A:A,0),"Open"),HYPERLINK("#Main!A1","Open"))</f>
        <v/>
      </c>
    </row>
    <row r="372" ht="30" customHeight="1">
      <c r="A372" s="33" t="inlineStr">
        <is>
          <t>https://africanmarketingconfederation.org/amc-forum-mombasa/</t>
        </is>
      </c>
      <c r="B372" s="26" t="inlineStr">
        <is>
          <t>No ETag Header</t>
        </is>
      </c>
      <c r="C372" s="24" t="inlineStr">
        <is>
          <t>https://africanmarketingconfederation.org/amc-forum-mombasa/::no_etag_header</t>
        </is>
      </c>
      <c r="D372" s="29" t="inlineStr">
        <is>
          <t>Info</t>
        </is>
      </c>
      <c r="E372" s="24" t="inlineStr">
        <is>
          <t>Server/Host</t>
        </is>
      </c>
      <c r="F372" s="24" t="inlineStr"/>
      <c r="G372" s="25" t="inlineStr">
        <is>
          <t>Open</t>
        </is>
      </c>
      <c r="H372">
        <f>IFERROR(HYPERLINK("#Main!A"&amp;MATCH(A372,Main!A:A,0),"Open"),HYPERLINK("#Main!A1","Open"))</f>
        <v/>
      </c>
    </row>
    <row r="373" ht="30" customHeight="1">
      <c r="A373" s="33" t="inlineStr">
        <is>
          <t>https://africanmarketingconfederation.org/amc-forum-mombasa/</t>
        </is>
      </c>
      <c r="B373" s="26" t="inlineStr">
        <is>
          <t>No FAQ/QA Schema</t>
        </is>
      </c>
      <c r="C373" s="6" t="inlineStr">
        <is>
          <t>https://africanmarketingconfederation.org/amc-forum-mombasa/::no_faq_qa_schema</t>
        </is>
      </c>
      <c r="D373" s="29" t="inlineStr">
        <is>
          <t>Info</t>
        </is>
      </c>
      <c r="E373" s="6" t="inlineStr">
        <is>
          <t>Dev</t>
        </is>
      </c>
      <c r="F373" s="6" t="inlineStr"/>
      <c r="G373" s="25" t="inlineStr">
        <is>
          <t>Open</t>
        </is>
      </c>
      <c r="H373">
        <f>IFERROR(HYPERLINK("#Main!A"&amp;MATCH(A373,Main!A:A,0),"Open"),HYPERLINK("#Main!A1","Open"))</f>
        <v/>
      </c>
    </row>
    <row r="374" ht="30" customHeight="1">
      <c r="A374" s="33" t="inlineStr">
        <is>
          <t>https://africanmarketingconfederation.org/amc-forum-mombasa/</t>
        </is>
      </c>
      <c r="B374" s="26" t="inlineStr">
        <is>
          <t>No Question Headings</t>
        </is>
      </c>
      <c r="C374" s="24" t="inlineStr">
        <is>
          <t>https://africanmarketingconfederation.org/amc-forum-mombasa/::no_question_headings</t>
        </is>
      </c>
      <c r="D374" s="29" t="inlineStr">
        <is>
          <t>Info</t>
        </is>
      </c>
      <c r="E374" s="24" t="inlineStr">
        <is>
          <t>Copy Writer</t>
        </is>
      </c>
      <c r="F374" s="24" t="inlineStr"/>
      <c r="G374" s="25" t="inlineStr">
        <is>
          <t>Open</t>
        </is>
      </c>
      <c r="H374">
        <f>IFERROR(HYPERLINK("#Main!A"&amp;MATCH(A374,Main!A:A,0),"Open"),HYPERLINK("#Main!A1","Open"))</f>
        <v/>
      </c>
    </row>
    <row r="375" ht="30" customHeight="1">
      <c r="A375" s="33" t="inlineStr">
        <is>
          <t>https://africanmarketingconfederation.org/amc-forum-mombasa/</t>
        </is>
      </c>
      <c r="B375" s="26" t="inlineStr">
        <is>
          <t>No Answer-Friendly Structure</t>
        </is>
      </c>
      <c r="C375" s="6" t="inlineStr">
        <is>
          <t>https://africanmarketingconfederation.org/amc-forum-mombasa/::no_answer-friendly_structure</t>
        </is>
      </c>
      <c r="D375" s="29" t="inlineStr">
        <is>
          <t>Info</t>
        </is>
      </c>
      <c r="E375" s="6" t="inlineStr">
        <is>
          <t>Copy Writer</t>
        </is>
      </c>
      <c r="F375" s="6" t="inlineStr"/>
      <c r="G375" s="25" t="inlineStr">
        <is>
          <t>Open</t>
        </is>
      </c>
      <c r="H375">
        <f>IFERROR(HYPERLINK("#Main!A"&amp;MATCH(A375,Main!A:A,0),"Open"),HYPERLINK("#Main!A1","Open"))</f>
        <v/>
      </c>
    </row>
    <row r="376" ht="30" customHeight="1">
      <c r="A376" s="33" t="inlineStr">
        <is>
          <t>https://africanmarketingconfederation.org/amc-forum-mombasa/</t>
        </is>
      </c>
      <c r="B376" s="26" t="inlineStr">
        <is>
          <t>No 40-60 Word Answer Paragraphs</t>
        </is>
      </c>
      <c r="C376" s="24" t="inlineStr">
        <is>
          <t>https://africanmarketingconfederation.org/amc-forum-mombasa/::no_40-60_word_answer_paragraphs</t>
        </is>
      </c>
      <c r="D376" s="29" t="inlineStr">
        <is>
          <t>Info</t>
        </is>
      </c>
      <c r="E376" s="24" t="inlineStr">
        <is>
          <t>Copy Writer</t>
        </is>
      </c>
      <c r="F376" s="24" t="inlineStr"/>
      <c r="G376" s="25" t="inlineStr">
        <is>
          <t>Open</t>
        </is>
      </c>
      <c r="H376">
        <f>IFERROR(HYPERLINK("#Main!A"&amp;MATCH(A376,Main!A:A,0),"Open"),HYPERLINK("#Main!A1","Open"))</f>
        <v/>
      </c>
    </row>
    <row r="377" ht="45" customHeight="1">
      <c r="A377" s="33" t="inlineStr">
        <is>
          <t>https://africanmarketingconfederation.org/amc-marketing-conference-2024/amc-speakers-presentations-2024/</t>
        </is>
      </c>
      <c r="B377" s="26" t="inlineStr">
        <is>
          <t>Multiple H1</t>
        </is>
      </c>
      <c r="C377" s="6" t="inlineStr">
        <is>
          <t>https://africanmarketingconfederation.org/amc-marketing-conference-2024/amc-speakers-presentations-2024/::multiple_h1</t>
        </is>
      </c>
      <c r="D377" s="25" t="inlineStr">
        <is>
          <t>Warning</t>
        </is>
      </c>
      <c r="E377" s="6" t="inlineStr">
        <is>
          <t>Copy Writer</t>
        </is>
      </c>
      <c r="F377" s="6" t="inlineStr"/>
      <c r="G377" s="25" t="inlineStr">
        <is>
          <t>Open</t>
        </is>
      </c>
      <c r="H377">
        <f>IFERROR(HYPERLINK("#Main!A"&amp;MATCH(A377,Main!A:A,0),"Open"),HYPERLINK("#Main!A1","Open"))</f>
        <v/>
      </c>
    </row>
    <row r="378" ht="45" customHeight="1">
      <c r="A378" s="33" t="inlineStr">
        <is>
          <t>https://africanmarketingconfederation.org/amc-marketing-conference-2024/amc-speakers-presentations-2024/</t>
        </is>
      </c>
      <c r="B378" s="26" t="inlineStr">
        <is>
          <t>Thin Content</t>
        </is>
      </c>
      <c r="C378" s="24" t="inlineStr">
        <is>
          <t>https://africanmarketingconfederation.org/amc-marketing-conference-2024/amc-speakers-presentations-2024/::thin_content</t>
        </is>
      </c>
      <c r="D378" s="25" t="inlineStr">
        <is>
          <t>Warning</t>
        </is>
      </c>
      <c r="E378" s="24" t="inlineStr">
        <is>
          <t>Copy Writer</t>
        </is>
      </c>
      <c r="F378" s="24" t="inlineStr"/>
      <c r="G378" s="25" t="inlineStr">
        <is>
          <t>Open</t>
        </is>
      </c>
      <c r="H378">
        <f>IFERROR(HYPERLINK("#Main!A"&amp;MATCH(A378,Main!A:A,0),"Open"),HYPERLINK("#Main!A1","Open"))</f>
        <v/>
      </c>
    </row>
    <row r="379" ht="45" customHeight="1">
      <c r="A379" s="33" t="inlineStr">
        <is>
          <t>https://africanmarketingconfederation.org/amc-marketing-conference-2024/amc-speakers-presentations-2024/</t>
        </is>
      </c>
      <c r="B379" s="26" t="inlineStr">
        <is>
          <t>Low AEO Readiness Score</t>
        </is>
      </c>
      <c r="C379" s="6" t="inlineStr">
        <is>
          <t>https://africanmarketingconfederation.org/amc-marketing-conference-2024/amc-speakers-presentations-2024/::low_aeo_readiness_score</t>
        </is>
      </c>
      <c r="D379" s="25" t="inlineStr">
        <is>
          <t>Warning</t>
        </is>
      </c>
      <c r="E379" s="6" t="inlineStr">
        <is>
          <t>Copy Writer</t>
        </is>
      </c>
      <c r="F379" s="6" t="inlineStr"/>
      <c r="G379" s="25" t="inlineStr">
        <is>
          <t>Open</t>
        </is>
      </c>
      <c r="H379">
        <f>IFERROR(HYPERLINK("#Main!A"&amp;MATCH(A379,Main!A:A,0),"Open"),HYPERLINK("#Main!A1","Open"))</f>
        <v/>
      </c>
    </row>
    <row r="380" ht="45" customHeight="1">
      <c r="A380" s="33" t="inlineStr">
        <is>
          <t>https://africanmarketingconfederation.org/amc-marketing-conference-2024/amc-speakers-presentations-2024/</t>
        </is>
      </c>
      <c r="B380" s="26" t="inlineStr">
        <is>
          <t>No Compression Header</t>
        </is>
      </c>
      <c r="C380" s="24" t="inlineStr">
        <is>
          <t>https://africanmarketingconfederation.org/amc-marketing-conference-2024/amc-speakers-presentations-2024/::no_compression_header</t>
        </is>
      </c>
      <c r="D380" s="29" t="inlineStr">
        <is>
          <t>Info</t>
        </is>
      </c>
      <c r="E380" s="24" t="inlineStr">
        <is>
          <t>Server/Host</t>
        </is>
      </c>
      <c r="F380" s="24" t="inlineStr"/>
      <c r="G380" s="25" t="inlineStr">
        <is>
          <t>Open</t>
        </is>
      </c>
      <c r="H380">
        <f>IFERROR(HYPERLINK("#Main!A"&amp;MATCH(A380,Main!A:A,0),"Open"),HYPERLINK("#Main!A1","Open"))</f>
        <v/>
      </c>
    </row>
    <row r="381" ht="45" customHeight="1">
      <c r="A381" s="33" t="inlineStr">
        <is>
          <t>https://africanmarketingconfederation.org/amc-marketing-conference-2024/amc-speakers-presentations-2024/</t>
        </is>
      </c>
      <c r="B381" s="26" t="inlineStr">
        <is>
          <t>No Cache-Control Header</t>
        </is>
      </c>
      <c r="C381" s="6" t="inlineStr">
        <is>
          <t>https://africanmarketingconfederation.org/amc-marketing-conference-2024/amc-speakers-presentations-2024/::no_cache-control_header</t>
        </is>
      </c>
      <c r="D381" s="29" t="inlineStr">
        <is>
          <t>Info</t>
        </is>
      </c>
      <c r="E381" s="6" t="inlineStr">
        <is>
          <t>Server/Host</t>
        </is>
      </c>
      <c r="F381" s="6" t="inlineStr"/>
      <c r="G381" s="25" t="inlineStr">
        <is>
          <t>Open</t>
        </is>
      </c>
      <c r="H381">
        <f>IFERROR(HYPERLINK("#Main!A"&amp;MATCH(A381,Main!A:A,0),"Open"),HYPERLINK("#Main!A1","Open"))</f>
        <v/>
      </c>
    </row>
    <row r="382" ht="45" customHeight="1">
      <c r="A382" s="33" t="inlineStr">
        <is>
          <t>https://africanmarketingconfederation.org/amc-marketing-conference-2024/amc-speakers-presentations-2024/</t>
        </is>
      </c>
      <c r="B382" s="26" t="inlineStr">
        <is>
          <t>No ETag Header</t>
        </is>
      </c>
      <c r="C382" s="24" t="inlineStr">
        <is>
          <t>https://africanmarketingconfederation.org/amc-marketing-conference-2024/amc-speakers-presentations-2024/::no_etag_header</t>
        </is>
      </c>
      <c r="D382" s="29" t="inlineStr">
        <is>
          <t>Info</t>
        </is>
      </c>
      <c r="E382" s="24" t="inlineStr">
        <is>
          <t>Server/Host</t>
        </is>
      </c>
      <c r="F382" s="24" t="inlineStr"/>
      <c r="G382" s="25" t="inlineStr">
        <is>
          <t>Open</t>
        </is>
      </c>
      <c r="H382">
        <f>IFERROR(HYPERLINK("#Main!A"&amp;MATCH(A382,Main!A:A,0),"Open"),HYPERLINK("#Main!A1","Open"))</f>
        <v/>
      </c>
    </row>
    <row r="383" ht="45" customHeight="1">
      <c r="A383" s="33" t="inlineStr">
        <is>
          <t>https://africanmarketingconfederation.org/amc-marketing-conference-2024/amc-speakers-presentations-2024/</t>
        </is>
      </c>
      <c r="B383" s="26" t="inlineStr">
        <is>
          <t>No FAQ/QA Schema</t>
        </is>
      </c>
      <c r="C383" s="6" t="inlineStr">
        <is>
          <t>https://africanmarketingconfederation.org/amc-marketing-conference-2024/amc-speakers-presentations-2024/::no_faq_qa_schema</t>
        </is>
      </c>
      <c r="D383" s="29" t="inlineStr">
        <is>
          <t>Info</t>
        </is>
      </c>
      <c r="E383" s="6" t="inlineStr">
        <is>
          <t>Dev</t>
        </is>
      </c>
      <c r="F383" s="6" t="inlineStr"/>
      <c r="G383" s="25" t="inlineStr">
        <is>
          <t>Open</t>
        </is>
      </c>
      <c r="H383">
        <f>IFERROR(HYPERLINK("#Main!A"&amp;MATCH(A383,Main!A:A,0),"Open"),HYPERLINK("#Main!A1","Open"))</f>
        <v/>
      </c>
    </row>
    <row r="384" ht="45" customHeight="1">
      <c r="A384" s="33" t="inlineStr">
        <is>
          <t>https://africanmarketingconfederation.org/amc-marketing-conference-2024/amc-speakers-presentations-2024/</t>
        </is>
      </c>
      <c r="B384" s="26" t="inlineStr">
        <is>
          <t>No Question Headings</t>
        </is>
      </c>
      <c r="C384" s="24" t="inlineStr">
        <is>
          <t>https://africanmarketingconfederation.org/amc-marketing-conference-2024/amc-speakers-presentations-2024/::no_question_headings</t>
        </is>
      </c>
      <c r="D384" s="29" t="inlineStr">
        <is>
          <t>Info</t>
        </is>
      </c>
      <c r="E384" s="24" t="inlineStr">
        <is>
          <t>Copy Writer</t>
        </is>
      </c>
      <c r="F384" s="24" t="inlineStr"/>
      <c r="G384" s="25" t="inlineStr">
        <is>
          <t>Open</t>
        </is>
      </c>
      <c r="H384">
        <f>IFERROR(HYPERLINK("#Main!A"&amp;MATCH(A384,Main!A:A,0),"Open"),HYPERLINK("#Main!A1","Open"))</f>
        <v/>
      </c>
    </row>
    <row r="385" ht="45" customHeight="1">
      <c r="A385" s="33" t="inlineStr">
        <is>
          <t>https://africanmarketingconfederation.org/amc-marketing-conference-2024/amc-speakers-presentations-2024/</t>
        </is>
      </c>
      <c r="B385" s="26" t="inlineStr">
        <is>
          <t>No Answer-Friendly Structure</t>
        </is>
      </c>
      <c r="C385" s="6" t="inlineStr">
        <is>
          <t>https://africanmarketingconfederation.org/amc-marketing-conference-2024/amc-speakers-presentations-2024/::no_answer-friendly_structure</t>
        </is>
      </c>
      <c r="D385" s="29" t="inlineStr">
        <is>
          <t>Info</t>
        </is>
      </c>
      <c r="E385" s="6" t="inlineStr">
        <is>
          <t>Copy Writer</t>
        </is>
      </c>
      <c r="F385" s="6" t="inlineStr"/>
      <c r="G385" s="25" t="inlineStr">
        <is>
          <t>Open</t>
        </is>
      </c>
      <c r="H385">
        <f>IFERROR(HYPERLINK("#Main!A"&amp;MATCH(A385,Main!A:A,0),"Open"),HYPERLINK("#Main!A1","Open"))</f>
        <v/>
      </c>
    </row>
    <row r="386" ht="45" customHeight="1">
      <c r="A386" s="33" t="inlineStr">
        <is>
          <t>https://africanmarketingconfederation.org/amc-marketing-conference-2024/amc-speakers-presentations-2024/</t>
        </is>
      </c>
      <c r="B386" s="26" t="inlineStr">
        <is>
          <t>No 40-60 Word Answer Paragraphs</t>
        </is>
      </c>
      <c r="C386" s="24" t="inlineStr">
        <is>
          <t>https://africanmarketingconfederation.org/amc-marketing-conference-2024/amc-speakers-presentations-2024/::no_40-60_word_answer_paragraphs</t>
        </is>
      </c>
      <c r="D386" s="29" t="inlineStr">
        <is>
          <t>Info</t>
        </is>
      </c>
      <c r="E386" s="24" t="inlineStr">
        <is>
          <t>Copy Writer</t>
        </is>
      </c>
      <c r="F386" s="24" t="inlineStr"/>
      <c r="G386" s="25" t="inlineStr">
        <is>
          <t>Open</t>
        </is>
      </c>
      <c r="H386">
        <f>IFERROR(HYPERLINK("#Main!A"&amp;MATCH(A386,Main!A:A,0),"Open"),HYPERLINK("#Main!A1","Open"))</f>
        <v/>
      </c>
    </row>
    <row r="387" ht="30" customHeight="1">
      <c r="A387" s="33" t="inlineStr">
        <is>
          <t>https://africanmarketingconfederation.org/amc-marketing-conference-2024/testimony-thank-you-page/</t>
        </is>
      </c>
      <c r="B387" s="26" t="inlineStr">
        <is>
          <t>Multiple H1</t>
        </is>
      </c>
      <c r="C387" s="6" t="inlineStr">
        <is>
          <t>https://africanmarketingconfederation.org/amc-marketing-conference-2024/testimony-thank-you-page/::multiple_h1</t>
        </is>
      </c>
      <c r="D387" s="25" t="inlineStr">
        <is>
          <t>Warning</t>
        </is>
      </c>
      <c r="E387" s="6" t="inlineStr">
        <is>
          <t>Copy Writer</t>
        </is>
      </c>
      <c r="F387" s="6" t="inlineStr"/>
      <c r="G387" s="25" t="inlineStr">
        <is>
          <t>Open</t>
        </is>
      </c>
      <c r="H387">
        <f>IFERROR(HYPERLINK("#Main!A"&amp;MATCH(A387,Main!A:A,0),"Open"),HYPERLINK("#Main!A1","Open"))</f>
        <v/>
      </c>
    </row>
    <row r="388" ht="30" customHeight="1">
      <c r="A388" s="33" t="inlineStr">
        <is>
          <t>https://africanmarketingconfederation.org/amc-marketing-conference-2024/testimony-thank-you-page/</t>
        </is>
      </c>
      <c r="B388" s="26" t="inlineStr">
        <is>
          <t>Thin Content</t>
        </is>
      </c>
      <c r="C388" s="24" t="inlineStr">
        <is>
          <t>https://africanmarketingconfederation.org/amc-marketing-conference-2024/testimony-thank-you-page/::thin_content</t>
        </is>
      </c>
      <c r="D388" s="25" t="inlineStr">
        <is>
          <t>Warning</t>
        </is>
      </c>
      <c r="E388" s="24" t="inlineStr">
        <is>
          <t>Copy Writer</t>
        </is>
      </c>
      <c r="F388" s="24" t="inlineStr"/>
      <c r="G388" s="25" t="inlineStr">
        <is>
          <t>Open</t>
        </is>
      </c>
      <c r="H388">
        <f>IFERROR(HYPERLINK("#Main!A"&amp;MATCH(A388,Main!A:A,0),"Open"),HYPERLINK("#Main!A1","Open"))</f>
        <v/>
      </c>
    </row>
    <row r="389" ht="30" customHeight="1">
      <c r="A389" s="33" t="inlineStr">
        <is>
          <t>https://africanmarketingconfederation.org/amc-marketing-conference-2024/testimony-thank-you-page/</t>
        </is>
      </c>
      <c r="B389" s="26" t="inlineStr">
        <is>
          <t>Low AEO Readiness Score</t>
        </is>
      </c>
      <c r="C389" s="6" t="inlineStr">
        <is>
          <t>https://africanmarketingconfederation.org/amc-marketing-conference-2024/testimony-thank-you-page/::low_aeo_readiness_score</t>
        </is>
      </c>
      <c r="D389" s="25" t="inlineStr">
        <is>
          <t>Warning</t>
        </is>
      </c>
      <c r="E389" s="6" t="inlineStr">
        <is>
          <t>Copy Writer</t>
        </is>
      </c>
      <c r="F389" s="6" t="inlineStr"/>
      <c r="G389" s="25" t="inlineStr">
        <is>
          <t>Open</t>
        </is>
      </c>
      <c r="H389">
        <f>IFERROR(HYPERLINK("#Main!A"&amp;MATCH(A389,Main!A:A,0),"Open"),HYPERLINK("#Main!A1","Open"))</f>
        <v/>
      </c>
    </row>
    <row r="390" ht="30" customHeight="1">
      <c r="A390" s="33" t="inlineStr">
        <is>
          <t>https://africanmarketingconfederation.org/amc-marketing-conference-2024/testimony-thank-you-page/</t>
        </is>
      </c>
      <c r="B390" s="26" t="inlineStr">
        <is>
          <t>No Compression Header</t>
        </is>
      </c>
      <c r="C390" s="24" t="inlineStr">
        <is>
          <t>https://africanmarketingconfederation.org/amc-marketing-conference-2024/testimony-thank-you-page/::no_compression_header</t>
        </is>
      </c>
      <c r="D390" s="29" t="inlineStr">
        <is>
          <t>Info</t>
        </is>
      </c>
      <c r="E390" s="24" t="inlineStr">
        <is>
          <t>Server/Host</t>
        </is>
      </c>
      <c r="F390" s="24" t="inlineStr"/>
      <c r="G390" s="25" t="inlineStr">
        <is>
          <t>Open</t>
        </is>
      </c>
      <c r="H390">
        <f>IFERROR(HYPERLINK("#Main!A"&amp;MATCH(A390,Main!A:A,0),"Open"),HYPERLINK("#Main!A1","Open"))</f>
        <v/>
      </c>
    </row>
    <row r="391" ht="30" customHeight="1">
      <c r="A391" s="33" t="inlineStr">
        <is>
          <t>https://africanmarketingconfederation.org/amc-marketing-conference-2024/testimony-thank-you-page/</t>
        </is>
      </c>
      <c r="B391" s="26" t="inlineStr">
        <is>
          <t>No Cache-Control Header</t>
        </is>
      </c>
      <c r="C391" s="6" t="inlineStr">
        <is>
          <t>https://africanmarketingconfederation.org/amc-marketing-conference-2024/testimony-thank-you-page/::no_cache-control_header</t>
        </is>
      </c>
      <c r="D391" s="29" t="inlineStr">
        <is>
          <t>Info</t>
        </is>
      </c>
      <c r="E391" s="6" t="inlineStr">
        <is>
          <t>Server/Host</t>
        </is>
      </c>
      <c r="F391" s="6" t="inlineStr"/>
      <c r="G391" s="25" t="inlineStr">
        <is>
          <t>Open</t>
        </is>
      </c>
      <c r="H391">
        <f>IFERROR(HYPERLINK("#Main!A"&amp;MATCH(A391,Main!A:A,0),"Open"),HYPERLINK("#Main!A1","Open"))</f>
        <v/>
      </c>
    </row>
    <row r="392" ht="30" customHeight="1">
      <c r="A392" s="33" t="inlineStr">
        <is>
          <t>https://africanmarketingconfederation.org/amc-marketing-conference-2024/testimony-thank-you-page/</t>
        </is>
      </c>
      <c r="B392" s="26" t="inlineStr">
        <is>
          <t>No ETag Header</t>
        </is>
      </c>
      <c r="C392" s="24" t="inlineStr">
        <is>
          <t>https://africanmarketingconfederation.org/amc-marketing-conference-2024/testimony-thank-you-page/::no_etag_header</t>
        </is>
      </c>
      <c r="D392" s="29" t="inlineStr">
        <is>
          <t>Info</t>
        </is>
      </c>
      <c r="E392" s="24" t="inlineStr">
        <is>
          <t>Server/Host</t>
        </is>
      </c>
      <c r="F392" s="24" t="inlineStr"/>
      <c r="G392" s="25" t="inlineStr">
        <is>
          <t>Open</t>
        </is>
      </c>
      <c r="H392">
        <f>IFERROR(HYPERLINK("#Main!A"&amp;MATCH(A392,Main!A:A,0),"Open"),HYPERLINK("#Main!A1","Open"))</f>
        <v/>
      </c>
    </row>
    <row r="393" ht="30" customHeight="1">
      <c r="A393" s="33" t="inlineStr">
        <is>
          <t>https://africanmarketingconfederation.org/amc-marketing-conference-2024/testimony-thank-you-page/</t>
        </is>
      </c>
      <c r="B393" s="26" t="inlineStr">
        <is>
          <t>No FAQ/QA Schema</t>
        </is>
      </c>
      <c r="C393" s="6" t="inlineStr">
        <is>
          <t>https://africanmarketingconfederation.org/amc-marketing-conference-2024/testimony-thank-you-page/::no_faq_qa_schema</t>
        </is>
      </c>
      <c r="D393" s="29" t="inlineStr">
        <is>
          <t>Info</t>
        </is>
      </c>
      <c r="E393" s="6" t="inlineStr">
        <is>
          <t>Dev</t>
        </is>
      </c>
      <c r="F393" s="6" t="inlineStr"/>
      <c r="G393" s="25" t="inlineStr">
        <is>
          <t>Open</t>
        </is>
      </c>
      <c r="H393">
        <f>IFERROR(HYPERLINK("#Main!A"&amp;MATCH(A393,Main!A:A,0),"Open"),HYPERLINK("#Main!A1","Open"))</f>
        <v/>
      </c>
    </row>
    <row r="394" ht="30" customHeight="1">
      <c r="A394" s="33" t="inlineStr">
        <is>
          <t>https://africanmarketingconfederation.org/amc-marketing-conference-2024/testimony-thank-you-page/</t>
        </is>
      </c>
      <c r="B394" s="26" t="inlineStr">
        <is>
          <t>No Question Headings</t>
        </is>
      </c>
      <c r="C394" s="24" t="inlineStr">
        <is>
          <t>https://africanmarketingconfederation.org/amc-marketing-conference-2024/testimony-thank-you-page/::no_question_headings</t>
        </is>
      </c>
      <c r="D394" s="29" t="inlineStr">
        <is>
          <t>Info</t>
        </is>
      </c>
      <c r="E394" s="24" t="inlineStr">
        <is>
          <t>Copy Writer</t>
        </is>
      </c>
      <c r="F394" s="24" t="inlineStr"/>
      <c r="G394" s="25" t="inlineStr">
        <is>
          <t>Open</t>
        </is>
      </c>
      <c r="H394">
        <f>IFERROR(HYPERLINK("#Main!A"&amp;MATCH(A394,Main!A:A,0),"Open"),HYPERLINK("#Main!A1","Open"))</f>
        <v/>
      </c>
    </row>
    <row r="395" ht="30" customHeight="1">
      <c r="A395" s="33" t="inlineStr">
        <is>
          <t>https://africanmarketingconfederation.org/amc-marketing-conference-2024/testimony-thank-you-page/</t>
        </is>
      </c>
      <c r="B395" s="26" t="inlineStr">
        <is>
          <t>No Answer-Friendly Structure</t>
        </is>
      </c>
      <c r="C395" s="6" t="inlineStr">
        <is>
          <t>https://africanmarketingconfederation.org/amc-marketing-conference-2024/testimony-thank-you-page/::no_answer-friendly_structure</t>
        </is>
      </c>
      <c r="D395" s="29" t="inlineStr">
        <is>
          <t>Info</t>
        </is>
      </c>
      <c r="E395" s="6" t="inlineStr">
        <is>
          <t>Copy Writer</t>
        </is>
      </c>
      <c r="F395" s="6" t="inlineStr"/>
      <c r="G395" s="25" t="inlineStr">
        <is>
          <t>Open</t>
        </is>
      </c>
      <c r="H395">
        <f>IFERROR(HYPERLINK("#Main!A"&amp;MATCH(A395,Main!A:A,0),"Open"),HYPERLINK("#Main!A1","Open"))</f>
        <v/>
      </c>
    </row>
    <row r="396" ht="30" customHeight="1">
      <c r="A396" s="33" t="inlineStr">
        <is>
          <t>https://africanmarketingconfederation.org/amc-marketing-conference-2024/testimony-thank-you-page/</t>
        </is>
      </c>
      <c r="B396" s="26" t="inlineStr">
        <is>
          <t>No 40-60 Word Answer Paragraphs</t>
        </is>
      </c>
      <c r="C396" s="24" t="inlineStr">
        <is>
          <t>https://africanmarketingconfederation.org/amc-marketing-conference-2024/testimony-thank-you-page/::no_40-60_word_answer_paragraphs</t>
        </is>
      </c>
      <c r="D396" s="29" t="inlineStr">
        <is>
          <t>Info</t>
        </is>
      </c>
      <c r="E396" s="24" t="inlineStr">
        <is>
          <t>Copy Writer</t>
        </is>
      </c>
      <c r="F396" s="24" t="inlineStr"/>
      <c r="G396" s="25" t="inlineStr">
        <is>
          <t>Open</t>
        </is>
      </c>
      <c r="H396">
        <f>IFERROR(HYPERLINK("#Main!A"&amp;MATCH(A396,Main!A:A,0),"Open"),HYPERLINK("#Main!A1","Open"))</f>
        <v/>
      </c>
    </row>
    <row r="397" ht="30" customHeight="1">
      <c r="A397" s="33" t="inlineStr">
        <is>
          <t>https://africanmarketingconfederation.org/amc-sign-up-now-form-2025/</t>
        </is>
      </c>
      <c r="B397" s="26" t="inlineStr">
        <is>
          <t>Low AEO Readiness Score</t>
        </is>
      </c>
      <c r="C397" s="6" t="inlineStr">
        <is>
          <t>https://africanmarketingconfederation.org/amc-sign-up-now-form-2025/::low_aeo_readiness_score</t>
        </is>
      </c>
      <c r="D397" s="25" t="inlineStr">
        <is>
          <t>Warning</t>
        </is>
      </c>
      <c r="E397" s="6" t="inlineStr">
        <is>
          <t>Copy Writer</t>
        </is>
      </c>
      <c r="F397" s="6" t="inlineStr"/>
      <c r="G397" s="25" t="inlineStr">
        <is>
          <t>Open</t>
        </is>
      </c>
      <c r="H397">
        <f>IFERROR(HYPERLINK("#Main!A"&amp;MATCH(A397,Main!A:A,0),"Open"),HYPERLINK("#Main!A1","Open"))</f>
        <v/>
      </c>
    </row>
    <row r="398" ht="30" customHeight="1">
      <c r="A398" s="33" t="inlineStr">
        <is>
          <t>https://africanmarketingconfederation.org/amc-sign-up-now-form-2025/</t>
        </is>
      </c>
      <c r="B398" s="26" t="inlineStr">
        <is>
          <t>No Compression Header</t>
        </is>
      </c>
      <c r="C398" s="24" t="inlineStr">
        <is>
          <t>https://africanmarketingconfederation.org/amc-sign-up-now-form-2025/::no_compression_header</t>
        </is>
      </c>
      <c r="D398" s="29" t="inlineStr">
        <is>
          <t>Info</t>
        </is>
      </c>
      <c r="E398" s="24" t="inlineStr">
        <is>
          <t>Server/Host</t>
        </is>
      </c>
      <c r="F398" s="24" t="inlineStr"/>
      <c r="G398" s="25" t="inlineStr">
        <is>
          <t>Open</t>
        </is>
      </c>
      <c r="H398">
        <f>IFERROR(HYPERLINK("#Main!A"&amp;MATCH(A398,Main!A:A,0),"Open"),HYPERLINK("#Main!A1","Open"))</f>
        <v/>
      </c>
    </row>
    <row r="399" ht="30" customHeight="1">
      <c r="A399" s="33" t="inlineStr">
        <is>
          <t>https://africanmarketingconfederation.org/amc-sign-up-now-form-2025/</t>
        </is>
      </c>
      <c r="B399" s="26" t="inlineStr">
        <is>
          <t>No Cache-Control Header</t>
        </is>
      </c>
      <c r="C399" s="6" t="inlineStr">
        <is>
          <t>https://africanmarketingconfederation.org/amc-sign-up-now-form-2025/::no_cache-control_header</t>
        </is>
      </c>
      <c r="D399" s="29" t="inlineStr">
        <is>
          <t>Info</t>
        </is>
      </c>
      <c r="E399" s="6" t="inlineStr">
        <is>
          <t>Server/Host</t>
        </is>
      </c>
      <c r="F399" s="6" t="inlineStr"/>
      <c r="G399" s="25" t="inlineStr">
        <is>
          <t>Open</t>
        </is>
      </c>
      <c r="H399">
        <f>IFERROR(HYPERLINK("#Main!A"&amp;MATCH(A399,Main!A:A,0),"Open"),HYPERLINK("#Main!A1","Open"))</f>
        <v/>
      </c>
    </row>
    <row r="400" ht="30" customHeight="1">
      <c r="A400" s="33" t="inlineStr">
        <is>
          <t>https://africanmarketingconfederation.org/amc-sign-up-now-form-2025/</t>
        </is>
      </c>
      <c r="B400" s="26" t="inlineStr">
        <is>
          <t>No ETag Header</t>
        </is>
      </c>
      <c r="C400" s="24" t="inlineStr">
        <is>
          <t>https://africanmarketingconfederation.org/amc-sign-up-now-form-2025/::no_etag_header</t>
        </is>
      </c>
      <c r="D400" s="29" t="inlineStr">
        <is>
          <t>Info</t>
        </is>
      </c>
      <c r="E400" s="24" t="inlineStr">
        <is>
          <t>Server/Host</t>
        </is>
      </c>
      <c r="F400" s="24" t="inlineStr"/>
      <c r="G400" s="25" t="inlineStr">
        <is>
          <t>Open</t>
        </is>
      </c>
      <c r="H400">
        <f>IFERROR(HYPERLINK("#Main!A"&amp;MATCH(A400,Main!A:A,0),"Open"),HYPERLINK("#Main!A1","Open"))</f>
        <v/>
      </c>
    </row>
    <row r="401" ht="30" customHeight="1">
      <c r="A401" s="33" t="inlineStr">
        <is>
          <t>https://africanmarketingconfederation.org/amc-sign-up-now-form-2025/</t>
        </is>
      </c>
      <c r="B401" s="26" t="inlineStr">
        <is>
          <t>No FAQ/QA Schema</t>
        </is>
      </c>
      <c r="C401" s="6" t="inlineStr">
        <is>
          <t>https://africanmarketingconfederation.org/amc-sign-up-now-form-2025/::no_faq_qa_schema</t>
        </is>
      </c>
      <c r="D401" s="29" t="inlineStr">
        <is>
          <t>Info</t>
        </is>
      </c>
      <c r="E401" s="6" t="inlineStr">
        <is>
          <t>Dev</t>
        </is>
      </c>
      <c r="F401" s="6" t="inlineStr"/>
      <c r="G401" s="25" t="inlineStr">
        <is>
          <t>Open</t>
        </is>
      </c>
      <c r="H401">
        <f>IFERROR(HYPERLINK("#Main!A"&amp;MATCH(A401,Main!A:A,0),"Open"),HYPERLINK("#Main!A1","Open"))</f>
        <v/>
      </c>
    </row>
    <row r="402" ht="30" customHeight="1">
      <c r="A402" s="33" t="inlineStr">
        <is>
          <t>https://africanmarketingconfederation.org/amc-sign-up-now-form-2025/</t>
        </is>
      </c>
      <c r="B402" s="26" t="inlineStr">
        <is>
          <t>No Question Headings</t>
        </is>
      </c>
      <c r="C402" s="24" t="inlineStr">
        <is>
          <t>https://africanmarketingconfederation.org/amc-sign-up-now-form-2025/::no_question_headings</t>
        </is>
      </c>
      <c r="D402" s="29" t="inlineStr">
        <is>
          <t>Info</t>
        </is>
      </c>
      <c r="E402" s="24" t="inlineStr">
        <is>
          <t>Copy Writer</t>
        </is>
      </c>
      <c r="F402" s="24" t="inlineStr"/>
      <c r="G402" s="25" t="inlineStr">
        <is>
          <t>Open</t>
        </is>
      </c>
      <c r="H402">
        <f>IFERROR(HYPERLINK("#Main!A"&amp;MATCH(A402,Main!A:A,0),"Open"),HYPERLINK("#Main!A1","Open"))</f>
        <v/>
      </c>
    </row>
    <row r="403" ht="30" customHeight="1">
      <c r="A403" s="33" t="inlineStr">
        <is>
          <t>https://africanmarketingconfederation.org/amc-sign-up-now-form-2025/</t>
        </is>
      </c>
      <c r="B403" s="26" t="inlineStr">
        <is>
          <t>No Answer-Friendly Structure</t>
        </is>
      </c>
      <c r="C403" s="6" t="inlineStr">
        <is>
          <t>https://africanmarketingconfederation.org/amc-sign-up-now-form-2025/::no_answer-friendly_structure</t>
        </is>
      </c>
      <c r="D403" s="29" t="inlineStr">
        <is>
          <t>Info</t>
        </is>
      </c>
      <c r="E403" s="6" t="inlineStr">
        <is>
          <t>Copy Writer</t>
        </is>
      </c>
      <c r="F403" s="6" t="inlineStr"/>
      <c r="G403" s="25" t="inlineStr">
        <is>
          <t>Open</t>
        </is>
      </c>
      <c r="H403">
        <f>IFERROR(HYPERLINK("#Main!A"&amp;MATCH(A403,Main!A:A,0),"Open"),HYPERLINK("#Main!A1","Open"))</f>
        <v/>
      </c>
    </row>
    <row r="404" ht="30" customHeight="1">
      <c r="A404" s="33" t="inlineStr">
        <is>
          <t>https://africanmarketingconfederation.org/amc-sign-up-now-form-2025/</t>
        </is>
      </c>
      <c r="B404" s="26" t="inlineStr">
        <is>
          <t>No 40-60 Word Answer Paragraphs</t>
        </is>
      </c>
      <c r="C404" s="24" t="inlineStr">
        <is>
          <t>https://africanmarketingconfederation.org/amc-sign-up-now-form-2025/::no_40-60_word_answer_paragraphs</t>
        </is>
      </c>
      <c r="D404" s="29" t="inlineStr">
        <is>
          <t>Info</t>
        </is>
      </c>
      <c r="E404" s="24" t="inlineStr">
        <is>
          <t>Copy Writer</t>
        </is>
      </c>
      <c r="F404" s="24" t="inlineStr"/>
      <c r="G404" s="25" t="inlineStr">
        <is>
          <t>Open</t>
        </is>
      </c>
      <c r="H404">
        <f>IFERROR(HYPERLINK("#Main!A"&amp;MATCH(A404,Main!A:A,0),"Open"),HYPERLINK("#Main!A1","Open"))</f>
        <v/>
      </c>
    </row>
    <row r="405" ht="30" customHeight="1">
      <c r="A405" s="33" t="inlineStr">
        <is>
          <t>https://africanmarketingconfederation.org/amc-marketing-conference-2024/</t>
        </is>
      </c>
      <c r="B405" s="26" t="inlineStr">
        <is>
          <t>Low AEO Readiness Score</t>
        </is>
      </c>
      <c r="C405" s="6" t="inlineStr">
        <is>
          <t>https://africanmarketingconfederation.org/amc-marketing-conference-2024/::low_aeo_readiness_score</t>
        </is>
      </c>
      <c r="D405" s="25" t="inlineStr">
        <is>
          <t>Warning</t>
        </is>
      </c>
      <c r="E405" s="6" t="inlineStr">
        <is>
          <t>Copy Writer</t>
        </is>
      </c>
      <c r="F405" s="6" t="inlineStr"/>
      <c r="G405" s="25" t="inlineStr">
        <is>
          <t>Open</t>
        </is>
      </c>
      <c r="H405">
        <f>IFERROR(HYPERLINK("#Main!A"&amp;MATCH(A405,Main!A:A,0),"Open"),HYPERLINK("#Main!A1","Open"))</f>
        <v/>
      </c>
    </row>
    <row r="406" ht="30" customHeight="1">
      <c r="A406" s="33" t="inlineStr">
        <is>
          <t>https://africanmarketingconfederation.org/amc-marketing-conference-2024/</t>
        </is>
      </c>
      <c r="B406" s="26" t="inlineStr">
        <is>
          <t>No Compression Header</t>
        </is>
      </c>
      <c r="C406" s="24" t="inlineStr">
        <is>
          <t>https://africanmarketingconfederation.org/amc-marketing-conference-2024/::no_compression_header</t>
        </is>
      </c>
      <c r="D406" s="29" t="inlineStr">
        <is>
          <t>Info</t>
        </is>
      </c>
      <c r="E406" s="24" t="inlineStr">
        <is>
          <t>Server/Host</t>
        </is>
      </c>
      <c r="F406" s="24" t="inlineStr"/>
      <c r="G406" s="25" t="inlineStr">
        <is>
          <t>Open</t>
        </is>
      </c>
      <c r="H406">
        <f>IFERROR(HYPERLINK("#Main!A"&amp;MATCH(A406,Main!A:A,0),"Open"),HYPERLINK("#Main!A1","Open"))</f>
        <v/>
      </c>
    </row>
    <row r="407" ht="30" customHeight="1">
      <c r="A407" s="33" t="inlineStr">
        <is>
          <t>https://africanmarketingconfederation.org/amc-marketing-conference-2024/</t>
        </is>
      </c>
      <c r="B407" s="26" t="inlineStr">
        <is>
          <t>No Cache-Control Header</t>
        </is>
      </c>
      <c r="C407" s="6" t="inlineStr">
        <is>
          <t>https://africanmarketingconfederation.org/amc-marketing-conference-2024/::no_cache-control_header</t>
        </is>
      </c>
      <c r="D407" s="29" t="inlineStr">
        <is>
          <t>Info</t>
        </is>
      </c>
      <c r="E407" s="6" t="inlineStr">
        <is>
          <t>Server/Host</t>
        </is>
      </c>
      <c r="F407" s="6" t="inlineStr"/>
      <c r="G407" s="25" t="inlineStr">
        <is>
          <t>Open</t>
        </is>
      </c>
      <c r="H407">
        <f>IFERROR(HYPERLINK("#Main!A"&amp;MATCH(A407,Main!A:A,0),"Open"),HYPERLINK("#Main!A1","Open"))</f>
        <v/>
      </c>
    </row>
    <row r="408" ht="30" customHeight="1">
      <c r="A408" s="33" t="inlineStr">
        <is>
          <t>https://africanmarketingconfederation.org/amc-marketing-conference-2024/</t>
        </is>
      </c>
      <c r="B408" s="26" t="inlineStr">
        <is>
          <t>No ETag Header</t>
        </is>
      </c>
      <c r="C408" s="24" t="inlineStr">
        <is>
          <t>https://africanmarketingconfederation.org/amc-marketing-conference-2024/::no_etag_header</t>
        </is>
      </c>
      <c r="D408" s="29" t="inlineStr">
        <is>
          <t>Info</t>
        </is>
      </c>
      <c r="E408" s="24" t="inlineStr">
        <is>
          <t>Server/Host</t>
        </is>
      </c>
      <c r="F408" s="24" t="inlineStr"/>
      <c r="G408" s="25" t="inlineStr">
        <is>
          <t>Open</t>
        </is>
      </c>
      <c r="H408">
        <f>IFERROR(HYPERLINK("#Main!A"&amp;MATCH(A408,Main!A:A,0),"Open"),HYPERLINK("#Main!A1","Open"))</f>
        <v/>
      </c>
    </row>
    <row r="409" ht="30" customHeight="1">
      <c r="A409" s="33" t="inlineStr">
        <is>
          <t>https://africanmarketingconfederation.org/amc-marketing-conference-2024/</t>
        </is>
      </c>
      <c r="B409" s="26" t="inlineStr">
        <is>
          <t>No FAQ/QA Schema</t>
        </is>
      </c>
      <c r="C409" s="6" t="inlineStr">
        <is>
          <t>https://africanmarketingconfederation.org/amc-marketing-conference-2024/::no_faq_qa_schema</t>
        </is>
      </c>
      <c r="D409" s="29" t="inlineStr">
        <is>
          <t>Info</t>
        </is>
      </c>
      <c r="E409" s="6" t="inlineStr">
        <is>
          <t>Dev</t>
        </is>
      </c>
      <c r="F409" s="6" t="inlineStr"/>
      <c r="G409" s="25" t="inlineStr">
        <is>
          <t>Open</t>
        </is>
      </c>
      <c r="H409">
        <f>IFERROR(HYPERLINK("#Main!A"&amp;MATCH(A409,Main!A:A,0),"Open"),HYPERLINK("#Main!A1","Open"))</f>
        <v/>
      </c>
    </row>
    <row r="410" ht="30" customHeight="1">
      <c r="A410" s="33" t="inlineStr">
        <is>
          <t>https://africanmarketingconfederation.org/amc-marketing-conference-2024/</t>
        </is>
      </c>
      <c r="B410" s="26" t="inlineStr">
        <is>
          <t>No Question Headings</t>
        </is>
      </c>
      <c r="C410" s="24" t="inlineStr">
        <is>
          <t>https://africanmarketingconfederation.org/amc-marketing-conference-2024/::no_question_headings</t>
        </is>
      </c>
      <c r="D410" s="29" t="inlineStr">
        <is>
          <t>Info</t>
        </is>
      </c>
      <c r="E410" s="24" t="inlineStr">
        <is>
          <t>Copy Writer</t>
        </is>
      </c>
      <c r="F410" s="24" t="inlineStr"/>
      <c r="G410" s="25" t="inlineStr">
        <is>
          <t>Open</t>
        </is>
      </c>
      <c r="H410">
        <f>IFERROR(HYPERLINK("#Main!A"&amp;MATCH(A410,Main!A:A,0),"Open"),HYPERLINK("#Main!A1","Open"))</f>
        <v/>
      </c>
    </row>
    <row r="411" ht="30" customHeight="1">
      <c r="A411" s="33" t="inlineStr">
        <is>
          <t>https://africanmarketingconfederation.org/amc-marketing-conference-2024/</t>
        </is>
      </c>
      <c r="B411" s="26" t="inlineStr">
        <is>
          <t>No Answer-Friendly Structure</t>
        </is>
      </c>
      <c r="C411" s="6" t="inlineStr">
        <is>
          <t>https://africanmarketingconfederation.org/amc-marketing-conference-2024/::no_answer-friendly_structure</t>
        </is>
      </c>
      <c r="D411" s="29" t="inlineStr">
        <is>
          <t>Info</t>
        </is>
      </c>
      <c r="E411" s="6" t="inlineStr">
        <is>
          <t>Copy Writer</t>
        </is>
      </c>
      <c r="F411" s="6" t="inlineStr"/>
      <c r="G411" s="25" t="inlineStr">
        <is>
          <t>Open</t>
        </is>
      </c>
      <c r="H411">
        <f>IFERROR(HYPERLINK("#Main!A"&amp;MATCH(A411,Main!A:A,0),"Open"),HYPERLINK("#Main!A1","Open"))</f>
        <v/>
      </c>
    </row>
    <row r="412" ht="30" customHeight="1">
      <c r="A412" s="33" t="inlineStr">
        <is>
          <t>https://africanmarketingconfederation.org/amc-marketing-conference-2024/</t>
        </is>
      </c>
      <c r="B412" s="26" t="inlineStr">
        <is>
          <t>No 40-60 Word Answer Paragraphs</t>
        </is>
      </c>
      <c r="C412" s="24" t="inlineStr">
        <is>
          <t>https://africanmarketingconfederation.org/amc-marketing-conference-2024/::no_40-60_word_answer_paragraphs</t>
        </is>
      </c>
      <c r="D412" s="29" t="inlineStr">
        <is>
          <t>Info</t>
        </is>
      </c>
      <c r="E412" s="24" t="inlineStr">
        <is>
          <t>Copy Writer</t>
        </is>
      </c>
      <c r="F412" s="24" t="inlineStr"/>
      <c r="G412" s="25" t="inlineStr">
        <is>
          <t>Open</t>
        </is>
      </c>
      <c r="H412">
        <f>IFERROR(HYPERLINK("#Main!A"&amp;MATCH(A412,Main!A:A,0),"Open"),HYPERLINK("#Main!A1","Open"))</f>
        <v/>
      </c>
    </row>
    <row r="413" ht="30" customHeight="1">
      <c r="A413" s="33" t="inlineStr">
        <is>
          <t>https://africanmarketingconfederation.org/amc-testimony-page-2024/</t>
        </is>
      </c>
      <c r="B413" s="26" t="inlineStr">
        <is>
          <t>Low AEO Readiness Score</t>
        </is>
      </c>
      <c r="C413" s="6" t="inlineStr">
        <is>
          <t>https://africanmarketingconfederation.org/amc-testimony-page-2024/::low_aeo_readiness_score</t>
        </is>
      </c>
      <c r="D413" s="25" t="inlineStr">
        <is>
          <t>Warning</t>
        </is>
      </c>
      <c r="E413" s="6" t="inlineStr">
        <is>
          <t>Copy Writer</t>
        </is>
      </c>
      <c r="F413" s="6" t="inlineStr"/>
      <c r="G413" s="25" t="inlineStr">
        <is>
          <t>Open</t>
        </is>
      </c>
      <c r="H413">
        <f>IFERROR(HYPERLINK("#Main!A"&amp;MATCH(A413,Main!A:A,0),"Open"),HYPERLINK("#Main!A1","Open"))</f>
        <v/>
      </c>
    </row>
    <row r="414" ht="30" customHeight="1">
      <c r="A414" s="33" t="inlineStr">
        <is>
          <t>https://africanmarketingconfederation.org/amc-testimony-page-2024/</t>
        </is>
      </c>
      <c r="B414" s="26" t="inlineStr">
        <is>
          <t>No Compression Header</t>
        </is>
      </c>
      <c r="C414" s="24" t="inlineStr">
        <is>
          <t>https://africanmarketingconfederation.org/amc-testimony-page-2024/::no_compression_header</t>
        </is>
      </c>
      <c r="D414" s="29" t="inlineStr">
        <is>
          <t>Info</t>
        </is>
      </c>
      <c r="E414" s="24" t="inlineStr">
        <is>
          <t>Server/Host</t>
        </is>
      </c>
      <c r="F414" s="24" t="inlineStr"/>
      <c r="G414" s="25" t="inlineStr">
        <is>
          <t>Open</t>
        </is>
      </c>
      <c r="H414">
        <f>IFERROR(HYPERLINK("#Main!A"&amp;MATCH(A414,Main!A:A,0),"Open"),HYPERLINK("#Main!A1","Open"))</f>
        <v/>
      </c>
    </row>
    <row r="415" ht="30" customHeight="1">
      <c r="A415" s="33" t="inlineStr">
        <is>
          <t>https://africanmarketingconfederation.org/amc-testimony-page-2024/</t>
        </is>
      </c>
      <c r="B415" s="26" t="inlineStr">
        <is>
          <t>No Cache-Control Header</t>
        </is>
      </c>
      <c r="C415" s="6" t="inlineStr">
        <is>
          <t>https://africanmarketingconfederation.org/amc-testimony-page-2024/::no_cache-control_header</t>
        </is>
      </c>
      <c r="D415" s="29" t="inlineStr">
        <is>
          <t>Info</t>
        </is>
      </c>
      <c r="E415" s="6" t="inlineStr">
        <is>
          <t>Server/Host</t>
        </is>
      </c>
      <c r="F415" s="6" t="inlineStr"/>
      <c r="G415" s="25" t="inlineStr">
        <is>
          <t>Open</t>
        </is>
      </c>
      <c r="H415">
        <f>IFERROR(HYPERLINK("#Main!A"&amp;MATCH(A415,Main!A:A,0),"Open"),HYPERLINK("#Main!A1","Open"))</f>
        <v/>
      </c>
    </row>
    <row r="416" ht="30" customHeight="1">
      <c r="A416" s="33" t="inlineStr">
        <is>
          <t>https://africanmarketingconfederation.org/amc-testimony-page-2024/</t>
        </is>
      </c>
      <c r="B416" s="26" t="inlineStr">
        <is>
          <t>No ETag Header</t>
        </is>
      </c>
      <c r="C416" s="24" t="inlineStr">
        <is>
          <t>https://africanmarketingconfederation.org/amc-testimony-page-2024/::no_etag_header</t>
        </is>
      </c>
      <c r="D416" s="29" t="inlineStr">
        <is>
          <t>Info</t>
        </is>
      </c>
      <c r="E416" s="24" t="inlineStr">
        <is>
          <t>Server/Host</t>
        </is>
      </c>
      <c r="F416" s="24" t="inlineStr"/>
      <c r="G416" s="25" t="inlineStr">
        <is>
          <t>Open</t>
        </is>
      </c>
      <c r="H416">
        <f>IFERROR(HYPERLINK("#Main!A"&amp;MATCH(A416,Main!A:A,0),"Open"),HYPERLINK("#Main!A1","Open"))</f>
        <v/>
      </c>
    </row>
    <row r="417" ht="30" customHeight="1">
      <c r="A417" s="33" t="inlineStr">
        <is>
          <t>https://africanmarketingconfederation.org/amc-testimony-page-2024/</t>
        </is>
      </c>
      <c r="B417" s="26" t="inlineStr">
        <is>
          <t>No FAQ/QA Schema</t>
        </is>
      </c>
      <c r="C417" s="6" t="inlineStr">
        <is>
          <t>https://africanmarketingconfederation.org/amc-testimony-page-2024/::no_faq_qa_schema</t>
        </is>
      </c>
      <c r="D417" s="29" t="inlineStr">
        <is>
          <t>Info</t>
        </is>
      </c>
      <c r="E417" s="6" t="inlineStr">
        <is>
          <t>Dev</t>
        </is>
      </c>
      <c r="F417" s="6" t="inlineStr"/>
      <c r="G417" s="25" t="inlineStr">
        <is>
          <t>Open</t>
        </is>
      </c>
      <c r="H417">
        <f>IFERROR(HYPERLINK("#Main!A"&amp;MATCH(A417,Main!A:A,0),"Open"),HYPERLINK("#Main!A1","Open"))</f>
        <v/>
      </c>
    </row>
    <row r="418" ht="30" customHeight="1">
      <c r="A418" s="33" t="inlineStr">
        <is>
          <t>https://africanmarketingconfederation.org/amc-testimony-page-2024/</t>
        </is>
      </c>
      <c r="B418" s="26" t="inlineStr">
        <is>
          <t>No Question Headings</t>
        </is>
      </c>
      <c r="C418" s="24" t="inlineStr">
        <is>
          <t>https://africanmarketingconfederation.org/amc-testimony-page-2024/::no_question_headings</t>
        </is>
      </c>
      <c r="D418" s="29" t="inlineStr">
        <is>
          <t>Info</t>
        </is>
      </c>
      <c r="E418" s="24" t="inlineStr">
        <is>
          <t>Copy Writer</t>
        </is>
      </c>
      <c r="F418" s="24" t="inlineStr"/>
      <c r="G418" s="25" t="inlineStr">
        <is>
          <t>Open</t>
        </is>
      </c>
      <c r="H418">
        <f>IFERROR(HYPERLINK("#Main!A"&amp;MATCH(A418,Main!A:A,0),"Open"),HYPERLINK("#Main!A1","Open"))</f>
        <v/>
      </c>
    </row>
    <row r="419" ht="30" customHeight="1">
      <c r="A419" s="33" t="inlineStr">
        <is>
          <t>https://africanmarketingconfederation.org/amc-testimony-page-2024/</t>
        </is>
      </c>
      <c r="B419" s="26" t="inlineStr">
        <is>
          <t>No Answer-Friendly Structure</t>
        </is>
      </c>
      <c r="C419" s="6" t="inlineStr">
        <is>
          <t>https://africanmarketingconfederation.org/amc-testimony-page-2024/::no_answer-friendly_structure</t>
        </is>
      </c>
      <c r="D419" s="29" t="inlineStr">
        <is>
          <t>Info</t>
        </is>
      </c>
      <c r="E419" s="6" t="inlineStr">
        <is>
          <t>Copy Writer</t>
        </is>
      </c>
      <c r="F419" s="6" t="inlineStr"/>
      <c r="G419" s="25" t="inlineStr">
        <is>
          <t>Open</t>
        </is>
      </c>
      <c r="H419">
        <f>IFERROR(HYPERLINK("#Main!A"&amp;MATCH(A419,Main!A:A,0),"Open"),HYPERLINK("#Main!A1","Open"))</f>
        <v/>
      </c>
    </row>
    <row r="420" ht="30" customHeight="1">
      <c r="A420" s="33" t="inlineStr">
        <is>
          <t>https://africanmarketingconfederation.org/amc-testimony-page-2024/</t>
        </is>
      </c>
      <c r="B420" s="26" t="inlineStr">
        <is>
          <t>No 40-60 Word Answer Paragraphs</t>
        </is>
      </c>
      <c r="C420" s="24" t="inlineStr">
        <is>
          <t>https://africanmarketingconfederation.org/amc-testimony-page-2024/::no_40-60_word_answer_paragraphs</t>
        </is>
      </c>
      <c r="D420" s="29" t="inlineStr">
        <is>
          <t>Info</t>
        </is>
      </c>
      <c r="E420" s="24" t="inlineStr">
        <is>
          <t>Copy Writer</t>
        </is>
      </c>
      <c r="F420" s="24" t="inlineStr"/>
      <c r="G420" s="25" t="inlineStr">
        <is>
          <t>Open</t>
        </is>
      </c>
      <c r="H420">
        <f>IFERROR(HYPERLINK("#Main!A"&amp;MATCH(A420,Main!A:A,0),"Open"),HYPERLINK("#Main!A1","Open"))</f>
        <v/>
      </c>
    </row>
    <row r="421" ht="30" customHeight="1">
      <c r="A421" s="33" t="inlineStr">
        <is>
          <t>https://africanmarketingconfederation.org/thank-you-for-registering-2024-registrations/</t>
        </is>
      </c>
      <c r="B421" s="26" t="inlineStr">
        <is>
          <t>Missing H1</t>
        </is>
      </c>
      <c r="C421" s="6" t="inlineStr">
        <is>
          <t>https://africanmarketingconfederation.org/thank-you-for-registering-2024-registrations/::missing_h1</t>
        </is>
      </c>
      <c r="D421" s="25" t="inlineStr">
        <is>
          <t>Warning</t>
        </is>
      </c>
      <c r="E421" s="6" t="inlineStr">
        <is>
          <t>Copy Writer</t>
        </is>
      </c>
      <c r="F421" s="6" t="inlineStr"/>
      <c r="G421" s="25" t="inlineStr">
        <is>
          <t>Open</t>
        </is>
      </c>
      <c r="H421">
        <f>IFERROR(HYPERLINK("#Main!A"&amp;MATCH(A421,Main!A:A,0),"Open"),HYPERLINK("#Main!A1","Open"))</f>
        <v/>
      </c>
    </row>
    <row r="422" ht="30" customHeight="1">
      <c r="A422" s="33" t="inlineStr">
        <is>
          <t>https://africanmarketingconfederation.org/thank-you-for-registering-2024-registrations/</t>
        </is>
      </c>
      <c r="B422" s="26" t="inlineStr">
        <is>
          <t>Thin Content</t>
        </is>
      </c>
      <c r="C422" s="24" t="inlineStr">
        <is>
          <t>https://africanmarketingconfederation.org/thank-you-for-registering-2024-registrations/::thin_content</t>
        </is>
      </c>
      <c r="D422" s="25" t="inlineStr">
        <is>
          <t>Warning</t>
        </is>
      </c>
      <c r="E422" s="24" t="inlineStr">
        <is>
          <t>Copy Writer</t>
        </is>
      </c>
      <c r="F422" s="24" t="inlineStr"/>
      <c r="G422" s="25" t="inlineStr">
        <is>
          <t>Open</t>
        </is>
      </c>
      <c r="H422">
        <f>IFERROR(HYPERLINK("#Main!A"&amp;MATCH(A422,Main!A:A,0),"Open"),HYPERLINK("#Main!A1","Open"))</f>
        <v/>
      </c>
    </row>
    <row r="423" ht="30" customHeight="1">
      <c r="A423" s="33" t="inlineStr">
        <is>
          <t>https://africanmarketingconfederation.org/thank-you-for-registering-2024-registrations/</t>
        </is>
      </c>
      <c r="B423" s="26" t="inlineStr">
        <is>
          <t>Low AEO Readiness Score</t>
        </is>
      </c>
      <c r="C423" s="6" t="inlineStr">
        <is>
          <t>https://africanmarketingconfederation.org/thank-you-for-registering-2024-registrations/::low_aeo_readiness_score</t>
        </is>
      </c>
      <c r="D423" s="25" t="inlineStr">
        <is>
          <t>Warning</t>
        </is>
      </c>
      <c r="E423" s="6" t="inlineStr">
        <is>
          <t>Copy Writer</t>
        </is>
      </c>
      <c r="F423" s="6" t="inlineStr"/>
      <c r="G423" s="25" t="inlineStr">
        <is>
          <t>Open</t>
        </is>
      </c>
      <c r="H423">
        <f>IFERROR(HYPERLINK("#Main!A"&amp;MATCH(A423,Main!A:A,0),"Open"),HYPERLINK("#Main!A1","Open"))</f>
        <v/>
      </c>
    </row>
    <row r="424" ht="30" customHeight="1">
      <c r="A424" s="33" t="inlineStr">
        <is>
          <t>https://africanmarketingconfederation.org/thank-you-for-registering-2024-registrations/</t>
        </is>
      </c>
      <c r="B424" s="26" t="inlineStr">
        <is>
          <t>No Compression Header</t>
        </is>
      </c>
      <c r="C424" s="24" t="inlineStr">
        <is>
          <t>https://africanmarketingconfederation.org/thank-you-for-registering-2024-registrations/::no_compression_header</t>
        </is>
      </c>
      <c r="D424" s="29" t="inlineStr">
        <is>
          <t>Info</t>
        </is>
      </c>
      <c r="E424" s="24" t="inlineStr">
        <is>
          <t>Server/Host</t>
        </is>
      </c>
      <c r="F424" s="24" t="inlineStr"/>
      <c r="G424" s="25" t="inlineStr">
        <is>
          <t>Open</t>
        </is>
      </c>
      <c r="H424">
        <f>IFERROR(HYPERLINK("#Main!A"&amp;MATCH(A424,Main!A:A,0),"Open"),HYPERLINK("#Main!A1","Open"))</f>
        <v/>
      </c>
    </row>
    <row r="425" ht="30" customHeight="1">
      <c r="A425" s="33" t="inlineStr">
        <is>
          <t>https://africanmarketingconfederation.org/thank-you-for-registering-2024-registrations/</t>
        </is>
      </c>
      <c r="B425" s="26" t="inlineStr">
        <is>
          <t>No Cache-Control Header</t>
        </is>
      </c>
      <c r="C425" s="6" t="inlineStr">
        <is>
          <t>https://africanmarketingconfederation.org/thank-you-for-registering-2024-registrations/::no_cache-control_header</t>
        </is>
      </c>
      <c r="D425" s="29" t="inlineStr">
        <is>
          <t>Info</t>
        </is>
      </c>
      <c r="E425" s="6" t="inlineStr">
        <is>
          <t>Server/Host</t>
        </is>
      </c>
      <c r="F425" s="6" t="inlineStr"/>
      <c r="G425" s="25" t="inlineStr">
        <is>
          <t>Open</t>
        </is>
      </c>
      <c r="H425">
        <f>IFERROR(HYPERLINK("#Main!A"&amp;MATCH(A425,Main!A:A,0),"Open"),HYPERLINK("#Main!A1","Open"))</f>
        <v/>
      </c>
    </row>
    <row r="426" ht="30" customHeight="1">
      <c r="A426" s="33" t="inlineStr">
        <is>
          <t>https://africanmarketingconfederation.org/thank-you-for-registering-2024-registrations/</t>
        </is>
      </c>
      <c r="B426" s="26" t="inlineStr">
        <is>
          <t>No ETag Header</t>
        </is>
      </c>
      <c r="C426" s="24" t="inlineStr">
        <is>
          <t>https://africanmarketingconfederation.org/thank-you-for-registering-2024-registrations/::no_etag_header</t>
        </is>
      </c>
      <c r="D426" s="29" t="inlineStr">
        <is>
          <t>Info</t>
        </is>
      </c>
      <c r="E426" s="24" t="inlineStr">
        <is>
          <t>Server/Host</t>
        </is>
      </c>
      <c r="F426" s="24" t="inlineStr"/>
      <c r="G426" s="25" t="inlineStr">
        <is>
          <t>Open</t>
        </is>
      </c>
      <c r="H426">
        <f>IFERROR(HYPERLINK("#Main!A"&amp;MATCH(A426,Main!A:A,0),"Open"),HYPERLINK("#Main!A1","Open"))</f>
        <v/>
      </c>
    </row>
    <row r="427" ht="30" customHeight="1">
      <c r="A427" s="33" t="inlineStr">
        <is>
          <t>https://africanmarketingconfederation.org/thank-you-for-registering-2024-registrations/</t>
        </is>
      </c>
      <c r="B427" s="26" t="inlineStr">
        <is>
          <t>No FAQ/QA Schema</t>
        </is>
      </c>
      <c r="C427" s="6" t="inlineStr">
        <is>
          <t>https://africanmarketingconfederation.org/thank-you-for-registering-2024-registrations/::no_faq_qa_schema</t>
        </is>
      </c>
      <c r="D427" s="29" t="inlineStr">
        <is>
          <t>Info</t>
        </is>
      </c>
      <c r="E427" s="6" t="inlineStr">
        <is>
          <t>Dev</t>
        </is>
      </c>
      <c r="F427" s="6" t="inlineStr"/>
      <c r="G427" s="25" t="inlineStr">
        <is>
          <t>Open</t>
        </is>
      </c>
      <c r="H427">
        <f>IFERROR(HYPERLINK("#Main!A"&amp;MATCH(A427,Main!A:A,0),"Open"),HYPERLINK("#Main!A1","Open"))</f>
        <v/>
      </c>
    </row>
    <row r="428" ht="30" customHeight="1">
      <c r="A428" s="33" t="inlineStr">
        <is>
          <t>https://africanmarketingconfederation.org/thank-you-for-registering-2024-registrations/</t>
        </is>
      </c>
      <c r="B428" s="26" t="inlineStr">
        <is>
          <t>No Question Headings</t>
        </is>
      </c>
      <c r="C428" s="24" t="inlineStr">
        <is>
          <t>https://africanmarketingconfederation.org/thank-you-for-registering-2024-registrations/::no_question_headings</t>
        </is>
      </c>
      <c r="D428" s="29" t="inlineStr">
        <is>
          <t>Info</t>
        </is>
      </c>
      <c r="E428" s="24" t="inlineStr">
        <is>
          <t>Copy Writer</t>
        </is>
      </c>
      <c r="F428" s="24" t="inlineStr"/>
      <c r="G428" s="25" t="inlineStr">
        <is>
          <t>Open</t>
        </is>
      </c>
      <c r="H428">
        <f>IFERROR(HYPERLINK("#Main!A"&amp;MATCH(A428,Main!A:A,0),"Open"),HYPERLINK("#Main!A1","Open"))</f>
        <v/>
      </c>
    </row>
    <row r="429" ht="30" customHeight="1">
      <c r="A429" s="33" t="inlineStr">
        <is>
          <t>https://africanmarketingconfederation.org/thank-you-for-registering-2024-registrations/</t>
        </is>
      </c>
      <c r="B429" s="26" t="inlineStr">
        <is>
          <t>No Answer-Friendly Structure</t>
        </is>
      </c>
      <c r="C429" s="6" t="inlineStr">
        <is>
          <t>https://africanmarketingconfederation.org/thank-you-for-registering-2024-registrations/::no_answer-friendly_structure</t>
        </is>
      </c>
      <c r="D429" s="29" t="inlineStr">
        <is>
          <t>Info</t>
        </is>
      </c>
      <c r="E429" s="6" t="inlineStr">
        <is>
          <t>Copy Writer</t>
        </is>
      </c>
      <c r="F429" s="6" t="inlineStr"/>
      <c r="G429" s="25" t="inlineStr">
        <is>
          <t>Open</t>
        </is>
      </c>
      <c r="H429">
        <f>IFERROR(HYPERLINK("#Main!A"&amp;MATCH(A429,Main!A:A,0),"Open"),HYPERLINK("#Main!A1","Open"))</f>
        <v/>
      </c>
    </row>
    <row r="430" ht="30" customHeight="1">
      <c r="A430" s="33" t="inlineStr">
        <is>
          <t>https://africanmarketingconfederation.org/thank-you-for-registering-2024-registrations/</t>
        </is>
      </c>
      <c r="B430" s="26" t="inlineStr">
        <is>
          <t>No 40-60 Word Answer Paragraphs</t>
        </is>
      </c>
      <c r="C430" s="24" t="inlineStr">
        <is>
          <t>https://africanmarketingconfederation.org/thank-you-for-registering-2024-registrations/::no_40-60_word_answer_paragraphs</t>
        </is>
      </c>
      <c r="D430" s="29" t="inlineStr">
        <is>
          <t>Info</t>
        </is>
      </c>
      <c r="E430" s="24" t="inlineStr">
        <is>
          <t>Copy Writer</t>
        </is>
      </c>
      <c r="F430" s="24" t="inlineStr"/>
      <c r="G430" s="25" t="inlineStr">
        <is>
          <t>Open</t>
        </is>
      </c>
      <c r="H430">
        <f>IFERROR(HYPERLINK("#Main!A"&amp;MATCH(A430,Main!A:A,0),"Open"),HYPERLINK("#Main!A1","Open"))</f>
        <v/>
      </c>
    </row>
    <row r="431" ht="30" customHeight="1">
      <c r="A431" s="33" t="inlineStr">
        <is>
          <t>https://africanmarketingconfederation.org/download-prospectus-2024/</t>
        </is>
      </c>
      <c r="B431" s="26" t="inlineStr">
        <is>
          <t>Missing H1</t>
        </is>
      </c>
      <c r="C431" s="6" t="inlineStr">
        <is>
          <t>https://africanmarketingconfederation.org/download-prospectus-2024/::missing_h1</t>
        </is>
      </c>
      <c r="D431" s="25" t="inlineStr">
        <is>
          <t>Warning</t>
        </is>
      </c>
      <c r="E431" s="6" t="inlineStr">
        <is>
          <t>Copy Writer</t>
        </is>
      </c>
      <c r="F431" s="6" t="inlineStr"/>
      <c r="G431" s="25" t="inlineStr">
        <is>
          <t>Open</t>
        </is>
      </c>
      <c r="H431">
        <f>IFERROR(HYPERLINK("#Main!A"&amp;MATCH(A431,Main!A:A,0),"Open"),HYPERLINK("#Main!A1","Open"))</f>
        <v/>
      </c>
    </row>
    <row r="432" ht="30" customHeight="1">
      <c r="A432" s="33" t="inlineStr">
        <is>
          <t>https://africanmarketingconfederation.org/download-prospectus-2024/</t>
        </is>
      </c>
      <c r="B432" s="26" t="inlineStr">
        <is>
          <t>Thin Content</t>
        </is>
      </c>
      <c r="C432" s="24" t="inlineStr">
        <is>
          <t>https://africanmarketingconfederation.org/download-prospectus-2024/::thin_content</t>
        </is>
      </c>
      <c r="D432" s="25" t="inlineStr">
        <is>
          <t>Warning</t>
        </is>
      </c>
      <c r="E432" s="24" t="inlineStr">
        <is>
          <t>Copy Writer</t>
        </is>
      </c>
      <c r="F432" s="24" t="inlineStr"/>
      <c r="G432" s="25" t="inlineStr">
        <is>
          <t>Open</t>
        </is>
      </c>
      <c r="H432">
        <f>IFERROR(HYPERLINK("#Main!A"&amp;MATCH(A432,Main!A:A,0),"Open"),HYPERLINK("#Main!A1","Open"))</f>
        <v/>
      </c>
    </row>
    <row r="433" ht="30" customHeight="1">
      <c r="A433" s="33" t="inlineStr">
        <is>
          <t>https://africanmarketingconfederation.org/download-prospectus-2024/</t>
        </is>
      </c>
      <c r="B433" s="26" t="inlineStr">
        <is>
          <t>Low AEO Readiness Score</t>
        </is>
      </c>
      <c r="C433" s="6" t="inlineStr">
        <is>
          <t>https://africanmarketingconfederation.org/download-prospectus-2024/::low_aeo_readiness_score</t>
        </is>
      </c>
      <c r="D433" s="25" t="inlineStr">
        <is>
          <t>Warning</t>
        </is>
      </c>
      <c r="E433" s="6" t="inlineStr">
        <is>
          <t>Copy Writer</t>
        </is>
      </c>
      <c r="F433" s="6" t="inlineStr"/>
      <c r="G433" s="25" t="inlineStr">
        <is>
          <t>Open</t>
        </is>
      </c>
      <c r="H433">
        <f>IFERROR(HYPERLINK("#Main!A"&amp;MATCH(A433,Main!A:A,0),"Open"),HYPERLINK("#Main!A1","Open"))</f>
        <v/>
      </c>
    </row>
    <row r="434" ht="30" customHeight="1">
      <c r="A434" s="33" t="inlineStr">
        <is>
          <t>https://africanmarketingconfederation.org/download-prospectus-2024/</t>
        </is>
      </c>
      <c r="B434" s="26" t="inlineStr">
        <is>
          <t>No Compression Header</t>
        </is>
      </c>
      <c r="C434" s="24" t="inlineStr">
        <is>
          <t>https://africanmarketingconfederation.org/download-prospectus-2024/::no_compression_header</t>
        </is>
      </c>
      <c r="D434" s="29" t="inlineStr">
        <is>
          <t>Info</t>
        </is>
      </c>
      <c r="E434" s="24" t="inlineStr">
        <is>
          <t>Server/Host</t>
        </is>
      </c>
      <c r="F434" s="24" t="inlineStr"/>
      <c r="G434" s="25" t="inlineStr">
        <is>
          <t>Open</t>
        </is>
      </c>
      <c r="H434">
        <f>IFERROR(HYPERLINK("#Main!A"&amp;MATCH(A434,Main!A:A,0),"Open"),HYPERLINK("#Main!A1","Open"))</f>
        <v/>
      </c>
    </row>
    <row r="435" ht="30" customHeight="1">
      <c r="A435" s="33" t="inlineStr">
        <is>
          <t>https://africanmarketingconfederation.org/download-prospectus-2024/</t>
        </is>
      </c>
      <c r="B435" s="26" t="inlineStr">
        <is>
          <t>No Cache-Control Header</t>
        </is>
      </c>
      <c r="C435" s="6" t="inlineStr">
        <is>
          <t>https://africanmarketingconfederation.org/download-prospectus-2024/::no_cache-control_header</t>
        </is>
      </c>
      <c r="D435" s="29" t="inlineStr">
        <is>
          <t>Info</t>
        </is>
      </c>
      <c r="E435" s="6" t="inlineStr">
        <is>
          <t>Server/Host</t>
        </is>
      </c>
      <c r="F435" s="6" t="inlineStr"/>
      <c r="G435" s="25" t="inlineStr">
        <is>
          <t>Open</t>
        </is>
      </c>
      <c r="H435">
        <f>IFERROR(HYPERLINK("#Main!A"&amp;MATCH(A435,Main!A:A,0),"Open"),HYPERLINK("#Main!A1","Open"))</f>
        <v/>
      </c>
    </row>
    <row r="436" ht="30" customHeight="1">
      <c r="A436" s="33" t="inlineStr">
        <is>
          <t>https://africanmarketingconfederation.org/download-prospectus-2024/</t>
        </is>
      </c>
      <c r="B436" s="26" t="inlineStr">
        <is>
          <t>No ETag Header</t>
        </is>
      </c>
      <c r="C436" s="24" t="inlineStr">
        <is>
          <t>https://africanmarketingconfederation.org/download-prospectus-2024/::no_etag_header</t>
        </is>
      </c>
      <c r="D436" s="29" t="inlineStr">
        <is>
          <t>Info</t>
        </is>
      </c>
      <c r="E436" s="24" t="inlineStr">
        <is>
          <t>Server/Host</t>
        </is>
      </c>
      <c r="F436" s="24" t="inlineStr"/>
      <c r="G436" s="25" t="inlineStr">
        <is>
          <t>Open</t>
        </is>
      </c>
      <c r="H436">
        <f>IFERROR(HYPERLINK("#Main!A"&amp;MATCH(A436,Main!A:A,0),"Open"),HYPERLINK("#Main!A1","Open"))</f>
        <v/>
      </c>
    </row>
    <row r="437" ht="30" customHeight="1">
      <c r="A437" s="33" t="inlineStr">
        <is>
          <t>https://africanmarketingconfederation.org/download-prospectus-2024/</t>
        </is>
      </c>
      <c r="B437" s="26" t="inlineStr">
        <is>
          <t>No FAQ/QA Schema</t>
        </is>
      </c>
      <c r="C437" s="6" t="inlineStr">
        <is>
          <t>https://africanmarketingconfederation.org/download-prospectus-2024/::no_faq_qa_schema</t>
        </is>
      </c>
      <c r="D437" s="29" t="inlineStr">
        <is>
          <t>Info</t>
        </is>
      </c>
      <c r="E437" s="6" t="inlineStr">
        <is>
          <t>Dev</t>
        </is>
      </c>
      <c r="F437" s="6" t="inlineStr"/>
      <c r="G437" s="25" t="inlineStr">
        <is>
          <t>Open</t>
        </is>
      </c>
      <c r="H437">
        <f>IFERROR(HYPERLINK("#Main!A"&amp;MATCH(A437,Main!A:A,0),"Open"),HYPERLINK("#Main!A1","Open"))</f>
        <v/>
      </c>
    </row>
    <row r="438" ht="30" customHeight="1">
      <c r="A438" s="33" t="inlineStr">
        <is>
          <t>https://africanmarketingconfederation.org/download-prospectus-2024/</t>
        </is>
      </c>
      <c r="B438" s="26" t="inlineStr">
        <is>
          <t>No Question Headings</t>
        </is>
      </c>
      <c r="C438" s="24" t="inlineStr">
        <is>
          <t>https://africanmarketingconfederation.org/download-prospectus-2024/::no_question_headings</t>
        </is>
      </c>
      <c r="D438" s="29" t="inlineStr">
        <is>
          <t>Info</t>
        </is>
      </c>
      <c r="E438" s="24" t="inlineStr">
        <is>
          <t>Copy Writer</t>
        </is>
      </c>
      <c r="F438" s="24" t="inlineStr"/>
      <c r="G438" s="25" t="inlineStr">
        <is>
          <t>Open</t>
        </is>
      </c>
      <c r="H438">
        <f>IFERROR(HYPERLINK("#Main!A"&amp;MATCH(A438,Main!A:A,0),"Open"),HYPERLINK("#Main!A1","Open"))</f>
        <v/>
      </c>
    </row>
    <row r="439" ht="30" customHeight="1">
      <c r="A439" s="33" t="inlineStr">
        <is>
          <t>https://africanmarketingconfederation.org/download-prospectus-2024/</t>
        </is>
      </c>
      <c r="B439" s="26" t="inlineStr">
        <is>
          <t>No Answer-Friendly Structure</t>
        </is>
      </c>
      <c r="C439" s="6" t="inlineStr">
        <is>
          <t>https://africanmarketingconfederation.org/download-prospectus-2024/::no_answer-friendly_structure</t>
        </is>
      </c>
      <c r="D439" s="29" t="inlineStr">
        <is>
          <t>Info</t>
        </is>
      </c>
      <c r="E439" s="6" t="inlineStr">
        <is>
          <t>Copy Writer</t>
        </is>
      </c>
      <c r="F439" s="6" t="inlineStr"/>
      <c r="G439" s="25" t="inlineStr">
        <is>
          <t>Open</t>
        </is>
      </c>
      <c r="H439">
        <f>IFERROR(HYPERLINK("#Main!A"&amp;MATCH(A439,Main!A:A,0),"Open"),HYPERLINK("#Main!A1","Open"))</f>
        <v/>
      </c>
    </row>
    <row r="440" ht="30" customHeight="1">
      <c r="A440" s="33" t="inlineStr">
        <is>
          <t>https://africanmarketingconfederation.org/download-prospectus-2024/</t>
        </is>
      </c>
      <c r="B440" s="26" t="inlineStr">
        <is>
          <t>No 40-60 Word Answer Paragraphs</t>
        </is>
      </c>
      <c r="C440" s="24" t="inlineStr">
        <is>
          <t>https://africanmarketingconfederation.org/download-prospectus-2024/::no_40-60_word_answer_paragraphs</t>
        </is>
      </c>
      <c r="D440" s="29" t="inlineStr">
        <is>
          <t>Info</t>
        </is>
      </c>
      <c r="E440" s="24" t="inlineStr">
        <is>
          <t>Copy Writer</t>
        </is>
      </c>
      <c r="F440" s="24" t="inlineStr"/>
      <c r="G440" s="25" t="inlineStr">
        <is>
          <t>Open</t>
        </is>
      </c>
      <c r="H440">
        <f>IFERROR(HYPERLINK("#Main!A"&amp;MATCH(A440,Main!A:A,0),"Open"),HYPERLINK("#Main!A1","Open"))</f>
        <v/>
      </c>
    </row>
    <row r="441" ht="30" customHeight="1">
      <c r="A441" s="33" t="inlineStr">
        <is>
          <t>https://africanmarketingconfederation.org/thank-you-for-registering-2024-registrations-kenya/</t>
        </is>
      </c>
      <c r="B441" s="26" t="inlineStr">
        <is>
          <t>Missing H1</t>
        </is>
      </c>
      <c r="C441" s="6" t="inlineStr">
        <is>
          <t>https://africanmarketingconfederation.org/thank-you-for-registering-2024-registrations-kenya/::missing_h1</t>
        </is>
      </c>
      <c r="D441" s="25" t="inlineStr">
        <is>
          <t>Warning</t>
        </is>
      </c>
      <c r="E441" s="6" t="inlineStr">
        <is>
          <t>Copy Writer</t>
        </is>
      </c>
      <c r="F441" s="6" t="inlineStr"/>
      <c r="G441" s="25" t="inlineStr">
        <is>
          <t>Open</t>
        </is>
      </c>
      <c r="H441">
        <f>IFERROR(HYPERLINK("#Main!A"&amp;MATCH(A441,Main!A:A,0),"Open"),HYPERLINK("#Main!A1","Open"))</f>
        <v/>
      </c>
    </row>
    <row r="442" ht="30" customHeight="1">
      <c r="A442" s="33" t="inlineStr">
        <is>
          <t>https://africanmarketingconfederation.org/thank-you-for-registering-2024-registrations-kenya/</t>
        </is>
      </c>
      <c r="B442" s="26" t="inlineStr">
        <is>
          <t>Thin Content</t>
        </is>
      </c>
      <c r="C442" s="24" t="inlineStr">
        <is>
          <t>https://africanmarketingconfederation.org/thank-you-for-registering-2024-registrations-kenya/::thin_content</t>
        </is>
      </c>
      <c r="D442" s="25" t="inlineStr">
        <is>
          <t>Warning</t>
        </is>
      </c>
      <c r="E442" s="24" t="inlineStr">
        <is>
          <t>Copy Writer</t>
        </is>
      </c>
      <c r="F442" s="24" t="inlineStr"/>
      <c r="G442" s="25" t="inlineStr">
        <is>
          <t>Open</t>
        </is>
      </c>
      <c r="H442">
        <f>IFERROR(HYPERLINK("#Main!A"&amp;MATCH(A442,Main!A:A,0),"Open"),HYPERLINK("#Main!A1","Open"))</f>
        <v/>
      </c>
    </row>
    <row r="443" ht="30" customHeight="1">
      <c r="A443" s="33" t="inlineStr">
        <is>
          <t>https://africanmarketingconfederation.org/thank-you-for-registering-2024-registrations-kenya/</t>
        </is>
      </c>
      <c r="B443" s="26" t="inlineStr">
        <is>
          <t>Low AEO Readiness Score</t>
        </is>
      </c>
      <c r="C443" s="6" t="inlineStr">
        <is>
          <t>https://africanmarketingconfederation.org/thank-you-for-registering-2024-registrations-kenya/::low_aeo_readiness_score</t>
        </is>
      </c>
      <c r="D443" s="25" t="inlineStr">
        <is>
          <t>Warning</t>
        </is>
      </c>
      <c r="E443" s="6" t="inlineStr">
        <is>
          <t>Copy Writer</t>
        </is>
      </c>
      <c r="F443" s="6" t="inlineStr"/>
      <c r="G443" s="25" t="inlineStr">
        <is>
          <t>Open</t>
        </is>
      </c>
      <c r="H443">
        <f>IFERROR(HYPERLINK("#Main!A"&amp;MATCH(A443,Main!A:A,0),"Open"),HYPERLINK("#Main!A1","Open"))</f>
        <v/>
      </c>
    </row>
    <row r="444" ht="30" customHeight="1">
      <c r="A444" s="33" t="inlineStr">
        <is>
          <t>https://africanmarketingconfederation.org/thank-you-for-registering-2024-registrations-kenya/</t>
        </is>
      </c>
      <c r="B444" s="26" t="inlineStr">
        <is>
          <t>No Compression Header</t>
        </is>
      </c>
      <c r="C444" s="24" t="inlineStr">
        <is>
          <t>https://africanmarketingconfederation.org/thank-you-for-registering-2024-registrations-kenya/::no_compression_header</t>
        </is>
      </c>
      <c r="D444" s="29" t="inlineStr">
        <is>
          <t>Info</t>
        </is>
      </c>
      <c r="E444" s="24" t="inlineStr">
        <is>
          <t>Server/Host</t>
        </is>
      </c>
      <c r="F444" s="24" t="inlineStr"/>
      <c r="G444" s="25" t="inlineStr">
        <is>
          <t>Open</t>
        </is>
      </c>
      <c r="H444">
        <f>IFERROR(HYPERLINK("#Main!A"&amp;MATCH(A444,Main!A:A,0),"Open"),HYPERLINK("#Main!A1","Open"))</f>
        <v/>
      </c>
    </row>
    <row r="445" ht="30" customHeight="1">
      <c r="A445" s="33" t="inlineStr">
        <is>
          <t>https://africanmarketingconfederation.org/thank-you-for-registering-2024-registrations-kenya/</t>
        </is>
      </c>
      <c r="B445" s="26" t="inlineStr">
        <is>
          <t>No Cache-Control Header</t>
        </is>
      </c>
      <c r="C445" s="6" t="inlineStr">
        <is>
          <t>https://africanmarketingconfederation.org/thank-you-for-registering-2024-registrations-kenya/::no_cache-control_header</t>
        </is>
      </c>
      <c r="D445" s="29" t="inlineStr">
        <is>
          <t>Info</t>
        </is>
      </c>
      <c r="E445" s="6" t="inlineStr">
        <is>
          <t>Server/Host</t>
        </is>
      </c>
      <c r="F445" s="6" t="inlineStr"/>
      <c r="G445" s="25" t="inlineStr">
        <is>
          <t>Open</t>
        </is>
      </c>
      <c r="H445">
        <f>IFERROR(HYPERLINK("#Main!A"&amp;MATCH(A445,Main!A:A,0),"Open"),HYPERLINK("#Main!A1","Open"))</f>
        <v/>
      </c>
    </row>
    <row r="446" ht="30" customHeight="1">
      <c r="A446" s="33" t="inlineStr">
        <is>
          <t>https://africanmarketingconfederation.org/thank-you-for-registering-2024-registrations-kenya/</t>
        </is>
      </c>
      <c r="B446" s="26" t="inlineStr">
        <is>
          <t>No ETag Header</t>
        </is>
      </c>
      <c r="C446" s="24" t="inlineStr">
        <is>
          <t>https://africanmarketingconfederation.org/thank-you-for-registering-2024-registrations-kenya/::no_etag_header</t>
        </is>
      </c>
      <c r="D446" s="29" t="inlineStr">
        <is>
          <t>Info</t>
        </is>
      </c>
      <c r="E446" s="24" t="inlineStr">
        <is>
          <t>Server/Host</t>
        </is>
      </c>
      <c r="F446" s="24" t="inlineStr"/>
      <c r="G446" s="25" t="inlineStr">
        <is>
          <t>Open</t>
        </is>
      </c>
      <c r="H446">
        <f>IFERROR(HYPERLINK("#Main!A"&amp;MATCH(A446,Main!A:A,0),"Open"),HYPERLINK("#Main!A1","Open"))</f>
        <v/>
      </c>
    </row>
    <row r="447" ht="30" customHeight="1">
      <c r="A447" s="33" t="inlineStr">
        <is>
          <t>https://africanmarketingconfederation.org/thank-you-for-registering-2024-registrations-kenya/</t>
        </is>
      </c>
      <c r="B447" s="26" t="inlineStr">
        <is>
          <t>No FAQ/QA Schema</t>
        </is>
      </c>
      <c r="C447" s="6" t="inlineStr">
        <is>
          <t>https://africanmarketingconfederation.org/thank-you-for-registering-2024-registrations-kenya/::no_faq_qa_schema</t>
        </is>
      </c>
      <c r="D447" s="29" t="inlineStr">
        <is>
          <t>Info</t>
        </is>
      </c>
      <c r="E447" s="6" t="inlineStr">
        <is>
          <t>Dev</t>
        </is>
      </c>
      <c r="F447" s="6" t="inlineStr"/>
      <c r="G447" s="25" t="inlineStr">
        <is>
          <t>Open</t>
        </is>
      </c>
      <c r="H447">
        <f>IFERROR(HYPERLINK("#Main!A"&amp;MATCH(A447,Main!A:A,0),"Open"),HYPERLINK("#Main!A1","Open"))</f>
        <v/>
      </c>
    </row>
    <row r="448" ht="30" customHeight="1">
      <c r="A448" s="33" t="inlineStr">
        <is>
          <t>https://africanmarketingconfederation.org/thank-you-for-registering-2024-registrations-kenya/</t>
        </is>
      </c>
      <c r="B448" s="26" t="inlineStr">
        <is>
          <t>No Question Headings</t>
        </is>
      </c>
      <c r="C448" s="24" t="inlineStr">
        <is>
          <t>https://africanmarketingconfederation.org/thank-you-for-registering-2024-registrations-kenya/::no_question_headings</t>
        </is>
      </c>
      <c r="D448" s="29" t="inlineStr">
        <is>
          <t>Info</t>
        </is>
      </c>
      <c r="E448" s="24" t="inlineStr">
        <is>
          <t>Copy Writer</t>
        </is>
      </c>
      <c r="F448" s="24" t="inlineStr"/>
      <c r="G448" s="25" t="inlineStr">
        <is>
          <t>Open</t>
        </is>
      </c>
      <c r="H448">
        <f>IFERROR(HYPERLINK("#Main!A"&amp;MATCH(A448,Main!A:A,0),"Open"),HYPERLINK("#Main!A1","Open"))</f>
        <v/>
      </c>
    </row>
    <row r="449" ht="30" customHeight="1">
      <c r="A449" s="33" t="inlineStr">
        <is>
          <t>https://africanmarketingconfederation.org/thank-you-for-registering-2024-registrations-kenya/</t>
        </is>
      </c>
      <c r="B449" s="26" t="inlineStr">
        <is>
          <t>No Answer-Friendly Structure</t>
        </is>
      </c>
      <c r="C449" s="6" t="inlineStr">
        <is>
          <t>https://africanmarketingconfederation.org/thank-you-for-registering-2024-registrations-kenya/::no_answer-friendly_structure</t>
        </is>
      </c>
      <c r="D449" s="29" t="inlineStr">
        <is>
          <t>Info</t>
        </is>
      </c>
      <c r="E449" s="6" t="inlineStr">
        <is>
          <t>Copy Writer</t>
        </is>
      </c>
      <c r="F449" s="6" t="inlineStr"/>
      <c r="G449" s="25" t="inlineStr">
        <is>
          <t>Open</t>
        </is>
      </c>
      <c r="H449">
        <f>IFERROR(HYPERLINK("#Main!A"&amp;MATCH(A449,Main!A:A,0),"Open"),HYPERLINK("#Main!A1","Open"))</f>
        <v/>
      </c>
    </row>
    <row r="450" ht="30" customHeight="1">
      <c r="A450" s="33" t="inlineStr">
        <is>
          <t>https://africanmarketingconfederation.org/thank-you-for-registering-2024-registrations-kenya/</t>
        </is>
      </c>
      <c r="B450" s="26" t="inlineStr">
        <is>
          <t>No 40-60 Word Answer Paragraphs</t>
        </is>
      </c>
      <c r="C450" s="24" t="inlineStr">
        <is>
          <t>https://africanmarketingconfederation.org/thank-you-for-registering-2024-registrations-kenya/::no_40-60_word_answer_paragraphs</t>
        </is>
      </c>
      <c r="D450" s="29" t="inlineStr">
        <is>
          <t>Info</t>
        </is>
      </c>
      <c r="E450" s="24" t="inlineStr">
        <is>
          <t>Copy Writer</t>
        </is>
      </c>
      <c r="F450" s="24" t="inlineStr"/>
      <c r="G450" s="25" t="inlineStr">
        <is>
          <t>Open</t>
        </is>
      </c>
      <c r="H450">
        <f>IFERROR(HYPERLINK("#Main!A"&amp;MATCH(A450,Main!A:A,0),"Open"),HYPERLINK("#Main!A1","Open"))</f>
        <v/>
      </c>
    </row>
    <row r="451" ht="30" customHeight="1">
      <c r="A451" s="33" t="inlineStr">
        <is>
          <t>https://africanmarketingconfederation.org/subscribe/</t>
        </is>
      </c>
      <c r="B451" s="26" t="inlineStr">
        <is>
          <t>Missing H1</t>
        </is>
      </c>
      <c r="C451" s="6" t="inlineStr">
        <is>
          <t>https://africanmarketingconfederation.org/subscribe/::missing_h1</t>
        </is>
      </c>
      <c r="D451" s="25" t="inlineStr">
        <is>
          <t>Warning</t>
        </is>
      </c>
      <c r="E451" s="6" t="inlineStr">
        <is>
          <t>Copy Writer</t>
        </is>
      </c>
      <c r="F451" s="6" t="inlineStr"/>
      <c r="G451" s="25" t="inlineStr">
        <is>
          <t>Open</t>
        </is>
      </c>
      <c r="H451">
        <f>IFERROR(HYPERLINK("#Main!A"&amp;MATCH(A451,Main!A:A,0),"Open"),HYPERLINK("#Main!A1","Open"))</f>
        <v/>
      </c>
    </row>
    <row r="452" ht="30" customHeight="1">
      <c r="A452" s="33" t="inlineStr">
        <is>
          <t>https://africanmarketingconfederation.org/subscribe/</t>
        </is>
      </c>
      <c r="B452" s="26" t="inlineStr">
        <is>
          <t>Low AEO Readiness Score</t>
        </is>
      </c>
      <c r="C452" s="24" t="inlineStr">
        <is>
          <t>https://africanmarketingconfederation.org/subscribe/::low_aeo_readiness_score</t>
        </is>
      </c>
      <c r="D452" s="25" t="inlineStr">
        <is>
          <t>Warning</t>
        </is>
      </c>
      <c r="E452" s="24" t="inlineStr">
        <is>
          <t>Copy Writer</t>
        </is>
      </c>
      <c r="F452" s="24" t="inlineStr"/>
      <c r="G452" s="25" t="inlineStr">
        <is>
          <t>Open</t>
        </is>
      </c>
      <c r="H452">
        <f>IFERROR(HYPERLINK("#Main!A"&amp;MATCH(A452,Main!A:A,0),"Open"),HYPERLINK("#Main!A1","Open"))</f>
        <v/>
      </c>
    </row>
    <row r="453" ht="30" customHeight="1">
      <c r="A453" s="33" t="inlineStr">
        <is>
          <t>https://africanmarketingconfederation.org/subscribe/</t>
        </is>
      </c>
      <c r="B453" s="26" t="inlineStr">
        <is>
          <t>No Compression Header</t>
        </is>
      </c>
      <c r="C453" s="6" t="inlineStr">
        <is>
          <t>https://africanmarketingconfederation.org/subscribe/::no_compression_header</t>
        </is>
      </c>
      <c r="D453" s="29" t="inlineStr">
        <is>
          <t>Info</t>
        </is>
      </c>
      <c r="E453" s="6" t="inlineStr">
        <is>
          <t>Server/Host</t>
        </is>
      </c>
      <c r="F453" s="6" t="inlineStr"/>
      <c r="G453" s="25" t="inlineStr">
        <is>
          <t>Open</t>
        </is>
      </c>
      <c r="H453">
        <f>IFERROR(HYPERLINK("#Main!A"&amp;MATCH(A453,Main!A:A,0),"Open"),HYPERLINK("#Main!A1","Open"))</f>
        <v/>
      </c>
    </row>
    <row r="454" ht="30" customHeight="1">
      <c r="A454" s="33" t="inlineStr">
        <is>
          <t>https://africanmarketingconfederation.org/subscribe/</t>
        </is>
      </c>
      <c r="B454" s="26" t="inlineStr">
        <is>
          <t>No Cache-Control Header</t>
        </is>
      </c>
      <c r="C454" s="24" t="inlineStr">
        <is>
          <t>https://africanmarketingconfederation.org/subscribe/::no_cache-control_header</t>
        </is>
      </c>
      <c r="D454" s="29" t="inlineStr">
        <is>
          <t>Info</t>
        </is>
      </c>
      <c r="E454" s="24" t="inlineStr">
        <is>
          <t>Server/Host</t>
        </is>
      </c>
      <c r="F454" s="24" t="inlineStr"/>
      <c r="G454" s="25" t="inlineStr">
        <is>
          <t>Open</t>
        </is>
      </c>
      <c r="H454">
        <f>IFERROR(HYPERLINK("#Main!A"&amp;MATCH(A454,Main!A:A,0),"Open"),HYPERLINK("#Main!A1","Open"))</f>
        <v/>
      </c>
    </row>
    <row r="455" ht="30" customHeight="1">
      <c r="A455" s="33" t="inlineStr">
        <is>
          <t>https://africanmarketingconfederation.org/subscribe/</t>
        </is>
      </c>
      <c r="B455" s="26" t="inlineStr">
        <is>
          <t>No ETag Header</t>
        </is>
      </c>
      <c r="C455" s="6" t="inlineStr">
        <is>
          <t>https://africanmarketingconfederation.org/subscribe/::no_etag_header</t>
        </is>
      </c>
      <c r="D455" s="29" t="inlineStr">
        <is>
          <t>Info</t>
        </is>
      </c>
      <c r="E455" s="6" t="inlineStr">
        <is>
          <t>Server/Host</t>
        </is>
      </c>
      <c r="F455" s="6" t="inlineStr"/>
      <c r="G455" s="25" t="inlineStr">
        <is>
          <t>Open</t>
        </is>
      </c>
      <c r="H455">
        <f>IFERROR(HYPERLINK("#Main!A"&amp;MATCH(A455,Main!A:A,0),"Open"),HYPERLINK("#Main!A1","Open"))</f>
        <v/>
      </c>
    </row>
    <row r="456" ht="30" customHeight="1">
      <c r="A456" s="33" t="inlineStr">
        <is>
          <t>https://africanmarketingconfederation.org/subscribe/</t>
        </is>
      </c>
      <c r="B456" s="26" t="inlineStr">
        <is>
          <t>No FAQ/QA Schema</t>
        </is>
      </c>
      <c r="C456" s="24" t="inlineStr">
        <is>
          <t>https://africanmarketingconfederation.org/subscribe/::no_faq_qa_schema</t>
        </is>
      </c>
      <c r="D456" s="29" t="inlineStr">
        <is>
          <t>Info</t>
        </is>
      </c>
      <c r="E456" s="24" t="inlineStr">
        <is>
          <t>Dev</t>
        </is>
      </c>
      <c r="F456" s="24" t="inlineStr"/>
      <c r="G456" s="25" t="inlineStr">
        <is>
          <t>Open</t>
        </is>
      </c>
      <c r="H456">
        <f>IFERROR(HYPERLINK("#Main!A"&amp;MATCH(A456,Main!A:A,0),"Open"),HYPERLINK("#Main!A1","Open"))</f>
        <v/>
      </c>
    </row>
    <row r="457" ht="30" customHeight="1">
      <c r="A457" s="33" t="inlineStr">
        <is>
          <t>https://africanmarketingconfederation.org/subscribe/</t>
        </is>
      </c>
      <c r="B457" s="26" t="inlineStr">
        <is>
          <t>No Question Headings</t>
        </is>
      </c>
      <c r="C457" s="6" t="inlineStr">
        <is>
          <t>https://africanmarketingconfederation.org/subscribe/::no_question_headings</t>
        </is>
      </c>
      <c r="D457" s="29" t="inlineStr">
        <is>
          <t>Info</t>
        </is>
      </c>
      <c r="E457" s="6" t="inlineStr">
        <is>
          <t>Copy Writer</t>
        </is>
      </c>
      <c r="F457" s="6" t="inlineStr"/>
      <c r="G457" s="25" t="inlineStr">
        <is>
          <t>Open</t>
        </is>
      </c>
      <c r="H457">
        <f>IFERROR(HYPERLINK("#Main!A"&amp;MATCH(A457,Main!A:A,0),"Open"),HYPERLINK("#Main!A1","Open"))</f>
        <v/>
      </c>
    </row>
    <row r="458" ht="30" customHeight="1">
      <c r="A458" s="33" t="inlineStr">
        <is>
          <t>https://africanmarketingconfederation.org/subscribe/</t>
        </is>
      </c>
      <c r="B458" s="26" t="inlineStr">
        <is>
          <t>No Answer-Friendly Structure</t>
        </is>
      </c>
      <c r="C458" s="24" t="inlineStr">
        <is>
          <t>https://africanmarketingconfederation.org/subscribe/::no_answer-friendly_structure</t>
        </is>
      </c>
      <c r="D458" s="29" t="inlineStr">
        <is>
          <t>Info</t>
        </is>
      </c>
      <c r="E458" s="24" t="inlineStr">
        <is>
          <t>Copy Writer</t>
        </is>
      </c>
      <c r="F458" s="24" t="inlineStr"/>
      <c r="G458" s="25" t="inlineStr">
        <is>
          <t>Open</t>
        </is>
      </c>
      <c r="H458">
        <f>IFERROR(HYPERLINK("#Main!A"&amp;MATCH(A458,Main!A:A,0),"Open"),HYPERLINK("#Main!A1","Open"))</f>
        <v/>
      </c>
    </row>
    <row r="459" ht="30" customHeight="1">
      <c r="A459" s="33" t="inlineStr">
        <is>
          <t>https://africanmarketingconfederation.org/subscribe/</t>
        </is>
      </c>
      <c r="B459" s="26" t="inlineStr">
        <is>
          <t>No 40-60 Word Answer Paragraphs</t>
        </is>
      </c>
      <c r="C459" s="6" t="inlineStr">
        <is>
          <t>https://africanmarketingconfederation.org/subscribe/::no_40-60_word_answer_paragraphs</t>
        </is>
      </c>
      <c r="D459" s="29" t="inlineStr">
        <is>
          <t>Info</t>
        </is>
      </c>
      <c r="E459" s="6" t="inlineStr">
        <is>
          <t>Copy Writer</t>
        </is>
      </c>
      <c r="F459" s="6" t="inlineStr"/>
      <c r="G459" s="25" t="inlineStr">
        <is>
          <t>Open</t>
        </is>
      </c>
      <c r="H459">
        <f>IFERROR(HYPERLINK("#Main!A"&amp;MATCH(A459,Main!A:A,0),"Open"),HYPERLINK("#Main!A1","Open"))</f>
        <v/>
      </c>
    </row>
    <row r="460" ht="30" customHeight="1">
      <c r="A460" s="33" t="inlineStr">
        <is>
          <t>https://africanmarketingconfederation.org/amc-marketing-conference-2024/speakers-2024/</t>
        </is>
      </c>
      <c r="B460" s="26" t="inlineStr">
        <is>
          <t>Non-200 Status</t>
        </is>
      </c>
      <c r="C460" s="24" t="inlineStr">
        <is>
          <t>https://africanmarketingconfederation.org/amc-marketing-conference-2024/speakers-2024/::non-200_status</t>
        </is>
      </c>
      <c r="D460" s="32" t="inlineStr">
        <is>
          <t>Critical</t>
        </is>
      </c>
      <c r="E460" s="24" t="inlineStr">
        <is>
          <t>Server/Host</t>
        </is>
      </c>
      <c r="F460" s="24" t="inlineStr"/>
      <c r="G460" s="25" t="inlineStr">
        <is>
          <t>Open</t>
        </is>
      </c>
      <c r="H460">
        <f>IFERROR(HYPERLINK("#Main!A"&amp;MATCH(A460,Main!A:A,0),"Open"),HYPERLINK("#Main!A1","Open"))</f>
        <v/>
      </c>
    </row>
    <row r="461" ht="30" customHeight="1">
      <c r="A461" s="33" t="inlineStr">
        <is>
          <t>https://africanmarketingconfederation.org/amc-marketing-conference-2024/speakers-2024/</t>
        </is>
      </c>
      <c r="B461" s="26" t="inlineStr">
        <is>
          <t>Missing Title</t>
        </is>
      </c>
      <c r="C461" s="6" t="inlineStr">
        <is>
          <t>https://africanmarketingconfederation.org/amc-marketing-conference-2024/speakers-2024/::missing_title</t>
        </is>
      </c>
      <c r="D461" s="25" t="inlineStr">
        <is>
          <t>Warning</t>
        </is>
      </c>
      <c r="E461" s="6" t="inlineStr">
        <is>
          <t>Copy Writer</t>
        </is>
      </c>
      <c r="F461" s="6" t="inlineStr"/>
      <c r="G461" s="25" t="inlineStr">
        <is>
          <t>Open</t>
        </is>
      </c>
      <c r="H461">
        <f>IFERROR(HYPERLINK("#Main!A"&amp;MATCH(A461,Main!A:A,0),"Open"),HYPERLINK("#Main!A1","Open"))</f>
        <v/>
      </c>
    </row>
    <row r="462" ht="30" customHeight="1">
      <c r="A462" s="33" t="inlineStr">
        <is>
          <t>https://africanmarketingconfederation.org/amc-marketing-conference-2024/speakers-2024/</t>
        </is>
      </c>
      <c r="B462" s="26" t="inlineStr">
        <is>
          <t>Missing Meta Description</t>
        </is>
      </c>
      <c r="C462" s="24" t="inlineStr">
        <is>
          <t>https://africanmarketingconfederation.org/amc-marketing-conference-2024/speakers-2024/::missing_meta_description</t>
        </is>
      </c>
      <c r="D462" s="25" t="inlineStr">
        <is>
          <t>Warning</t>
        </is>
      </c>
      <c r="E462" s="24" t="inlineStr">
        <is>
          <t>Copy Writer</t>
        </is>
      </c>
      <c r="F462" s="24" t="inlineStr"/>
      <c r="G462" s="25" t="inlineStr">
        <is>
          <t>Open</t>
        </is>
      </c>
      <c r="H462">
        <f>IFERROR(HYPERLINK("#Main!A"&amp;MATCH(A462,Main!A:A,0),"Open"),HYPERLINK("#Main!A1","Open"))</f>
        <v/>
      </c>
    </row>
    <row r="463" ht="30" customHeight="1">
      <c r="A463" s="33" t="inlineStr">
        <is>
          <t>https://africanmarketingconfederation.org/amc-marketing-conference-2024/speakers-2024/</t>
        </is>
      </c>
      <c r="B463" s="26" t="inlineStr">
        <is>
          <t>Low AEO Readiness Score</t>
        </is>
      </c>
      <c r="C463" s="6" t="inlineStr">
        <is>
          <t>https://africanmarketingconfederation.org/amc-marketing-conference-2024/speakers-2024/::low_aeo_readiness_score</t>
        </is>
      </c>
      <c r="D463" s="25" t="inlineStr">
        <is>
          <t>Warning</t>
        </is>
      </c>
      <c r="E463" s="6" t="inlineStr">
        <is>
          <t>Copy Writer</t>
        </is>
      </c>
      <c r="F463" s="6" t="inlineStr"/>
      <c r="G463" s="25" t="inlineStr">
        <is>
          <t>Open</t>
        </is>
      </c>
      <c r="H463">
        <f>IFERROR(HYPERLINK("#Main!A"&amp;MATCH(A463,Main!A:A,0),"Open"),HYPERLINK("#Main!A1","Open"))</f>
        <v/>
      </c>
    </row>
    <row r="464" ht="30" customHeight="1">
      <c r="A464" s="33" t="inlineStr">
        <is>
          <t>https://africanmarketingconfederation.org/amc-marketing-conference-2024/speakers-2024/</t>
        </is>
      </c>
      <c r="B464" s="26" t="inlineStr">
        <is>
          <t>No Compression Header</t>
        </is>
      </c>
      <c r="C464" s="24" t="inlineStr">
        <is>
          <t>https://africanmarketingconfederation.org/amc-marketing-conference-2024/speakers-2024/::no_compression_header</t>
        </is>
      </c>
      <c r="D464" s="29" t="inlineStr">
        <is>
          <t>Info</t>
        </is>
      </c>
      <c r="E464" s="24" t="inlineStr">
        <is>
          <t>Server/Host</t>
        </is>
      </c>
      <c r="F464" s="24" t="inlineStr"/>
      <c r="G464" s="25" t="inlineStr">
        <is>
          <t>Open</t>
        </is>
      </c>
      <c r="H464">
        <f>IFERROR(HYPERLINK("#Main!A"&amp;MATCH(A464,Main!A:A,0),"Open"),HYPERLINK("#Main!A1","Open"))</f>
        <v/>
      </c>
    </row>
    <row r="465" ht="30" customHeight="1">
      <c r="A465" s="33" t="inlineStr">
        <is>
          <t>https://africanmarketingconfederation.org/amc-marketing-conference-2024/speakers-2024/</t>
        </is>
      </c>
      <c r="B465" s="26" t="inlineStr">
        <is>
          <t>No Cache-Control Header</t>
        </is>
      </c>
      <c r="C465" s="6" t="inlineStr">
        <is>
          <t>https://africanmarketingconfederation.org/amc-marketing-conference-2024/speakers-2024/::no_cache-control_header</t>
        </is>
      </c>
      <c r="D465" s="29" t="inlineStr">
        <is>
          <t>Info</t>
        </is>
      </c>
      <c r="E465" s="6" t="inlineStr">
        <is>
          <t>Server/Host</t>
        </is>
      </c>
      <c r="F465" s="6" t="inlineStr"/>
      <c r="G465" s="25" t="inlineStr">
        <is>
          <t>Open</t>
        </is>
      </c>
      <c r="H465">
        <f>IFERROR(HYPERLINK("#Main!A"&amp;MATCH(A465,Main!A:A,0),"Open"),HYPERLINK("#Main!A1","Open"))</f>
        <v/>
      </c>
    </row>
    <row r="466" ht="30" customHeight="1">
      <c r="A466" s="33" t="inlineStr">
        <is>
          <t>https://africanmarketingconfederation.org/amc-marketing-conference-2024/speakers-2024/</t>
        </is>
      </c>
      <c r="B466" s="26" t="inlineStr">
        <is>
          <t>No ETag Header</t>
        </is>
      </c>
      <c r="C466" s="24" t="inlineStr">
        <is>
          <t>https://africanmarketingconfederation.org/amc-marketing-conference-2024/speakers-2024/::no_etag_header</t>
        </is>
      </c>
      <c r="D466" s="29" t="inlineStr">
        <is>
          <t>Info</t>
        </is>
      </c>
      <c r="E466" s="24" t="inlineStr">
        <is>
          <t>Server/Host</t>
        </is>
      </c>
      <c r="F466" s="24" t="inlineStr"/>
      <c r="G466" s="25" t="inlineStr">
        <is>
          <t>Open</t>
        </is>
      </c>
      <c r="H466">
        <f>IFERROR(HYPERLINK("#Main!A"&amp;MATCH(A466,Main!A:A,0),"Open"),HYPERLINK("#Main!A1","Open"))</f>
        <v/>
      </c>
    </row>
    <row r="467" ht="30" customHeight="1">
      <c r="A467" s="33" t="inlineStr">
        <is>
          <t>https://africanmarketingconfederation.org/amc-marketing-conference-2024/speakers-2024/</t>
        </is>
      </c>
      <c r="B467" s="26" t="inlineStr">
        <is>
          <t>No FAQ/QA Schema</t>
        </is>
      </c>
      <c r="C467" s="6" t="inlineStr">
        <is>
          <t>https://africanmarketingconfederation.org/amc-marketing-conference-2024/speakers-2024/::no_faq_qa_schema</t>
        </is>
      </c>
      <c r="D467" s="29" t="inlineStr">
        <is>
          <t>Info</t>
        </is>
      </c>
      <c r="E467" s="6" t="inlineStr">
        <is>
          <t>Dev</t>
        </is>
      </c>
      <c r="F467" s="6" t="inlineStr"/>
      <c r="G467" s="25" t="inlineStr">
        <is>
          <t>Open</t>
        </is>
      </c>
      <c r="H467">
        <f>IFERROR(HYPERLINK("#Main!A"&amp;MATCH(A467,Main!A:A,0),"Open"),HYPERLINK("#Main!A1","Open"))</f>
        <v/>
      </c>
    </row>
    <row r="468" ht="30" customHeight="1">
      <c r="A468" s="33" t="inlineStr">
        <is>
          <t>https://africanmarketingconfederation.org/amc-marketing-conference-2024/speakers-2024/</t>
        </is>
      </c>
      <c r="B468" s="26" t="inlineStr">
        <is>
          <t>No Question Headings</t>
        </is>
      </c>
      <c r="C468" s="24" t="inlineStr">
        <is>
          <t>https://africanmarketingconfederation.org/amc-marketing-conference-2024/speakers-2024/::no_question_headings</t>
        </is>
      </c>
      <c r="D468" s="29" t="inlineStr">
        <is>
          <t>Info</t>
        </is>
      </c>
      <c r="E468" s="24" t="inlineStr">
        <is>
          <t>Copy Writer</t>
        </is>
      </c>
      <c r="F468" s="24" t="inlineStr"/>
      <c r="G468" s="25" t="inlineStr">
        <is>
          <t>Open</t>
        </is>
      </c>
      <c r="H468">
        <f>IFERROR(HYPERLINK("#Main!A"&amp;MATCH(A468,Main!A:A,0),"Open"),HYPERLINK("#Main!A1","Open"))</f>
        <v/>
      </c>
    </row>
    <row r="469" ht="30" customHeight="1">
      <c r="A469" s="33" t="inlineStr">
        <is>
          <t>https://africanmarketingconfederation.org/amc-marketing-conference-2024/speakers-2024/</t>
        </is>
      </c>
      <c r="B469" s="26" t="inlineStr">
        <is>
          <t>No Answer-Friendly Structure</t>
        </is>
      </c>
      <c r="C469" s="6" t="inlineStr">
        <is>
          <t>https://africanmarketingconfederation.org/amc-marketing-conference-2024/speakers-2024/::no_answer-friendly_structure</t>
        </is>
      </c>
      <c r="D469" s="29" t="inlineStr">
        <is>
          <t>Info</t>
        </is>
      </c>
      <c r="E469" s="6" t="inlineStr">
        <is>
          <t>Copy Writer</t>
        </is>
      </c>
      <c r="F469" s="6" t="inlineStr"/>
      <c r="G469" s="25" t="inlineStr">
        <is>
          <t>Open</t>
        </is>
      </c>
      <c r="H469">
        <f>IFERROR(HYPERLINK("#Main!A"&amp;MATCH(A469,Main!A:A,0),"Open"),HYPERLINK("#Main!A1","Open"))</f>
        <v/>
      </c>
    </row>
    <row r="470" ht="30" customHeight="1">
      <c r="A470" s="33" t="inlineStr">
        <is>
          <t>https://africanmarketingconfederation.org/amc-marketing-conference-2024/speakers-2024/</t>
        </is>
      </c>
      <c r="B470" s="26" t="inlineStr">
        <is>
          <t>No 40-60 Word Answer Paragraphs</t>
        </is>
      </c>
      <c r="C470" s="24" t="inlineStr">
        <is>
          <t>https://africanmarketingconfederation.org/amc-marketing-conference-2024/speakers-2024/::no_40-60_word_answer_paragraphs</t>
        </is>
      </c>
      <c r="D470" s="29" t="inlineStr">
        <is>
          <t>Info</t>
        </is>
      </c>
      <c r="E470" s="24" t="inlineStr">
        <is>
          <t>Copy Writer</t>
        </is>
      </c>
      <c r="F470" s="24" t="inlineStr"/>
      <c r="G470" s="25" t="inlineStr">
        <is>
          <t>Open</t>
        </is>
      </c>
      <c r="H470">
        <f>IFERROR(HYPERLINK("#Main!A"&amp;MATCH(A470,Main!A:A,0),"Open"),HYPERLINK("#Main!A1","Open"))</f>
        <v/>
      </c>
    </row>
    <row r="471" ht="30" customHeight="1">
      <c r="A471" s="33" t="inlineStr">
        <is>
          <t>https://africanmarketingconfederation.org/amc-conference-sponsors/</t>
        </is>
      </c>
      <c r="B471" s="26" t="inlineStr">
        <is>
          <t>Non-200 Status</t>
        </is>
      </c>
      <c r="C471" s="6" t="inlineStr">
        <is>
          <t>https://africanmarketingconfederation.org/amc-conference-sponsors/::non-200_status</t>
        </is>
      </c>
      <c r="D471" s="32" t="inlineStr">
        <is>
          <t>Critical</t>
        </is>
      </c>
      <c r="E471" s="6" t="inlineStr">
        <is>
          <t>Server/Host</t>
        </is>
      </c>
      <c r="F471" s="6" t="inlineStr"/>
      <c r="G471" s="25" t="inlineStr">
        <is>
          <t>Open</t>
        </is>
      </c>
      <c r="H471">
        <f>IFERROR(HYPERLINK("#Main!A"&amp;MATCH(A471,Main!A:A,0),"Open"),HYPERLINK("#Main!A1","Open"))</f>
        <v/>
      </c>
    </row>
    <row r="472" ht="30" customHeight="1">
      <c r="A472" s="33" t="inlineStr">
        <is>
          <t>https://africanmarketingconfederation.org/amc-conference-sponsors/</t>
        </is>
      </c>
      <c r="B472" s="26" t="inlineStr">
        <is>
          <t>Missing Title</t>
        </is>
      </c>
      <c r="C472" s="24" t="inlineStr">
        <is>
          <t>https://africanmarketingconfederation.org/amc-conference-sponsors/::missing_title</t>
        </is>
      </c>
      <c r="D472" s="25" t="inlineStr">
        <is>
          <t>Warning</t>
        </is>
      </c>
      <c r="E472" s="24" t="inlineStr">
        <is>
          <t>Copy Writer</t>
        </is>
      </c>
      <c r="F472" s="24" t="inlineStr"/>
      <c r="G472" s="25" t="inlineStr">
        <is>
          <t>Open</t>
        </is>
      </c>
      <c r="H472">
        <f>IFERROR(HYPERLINK("#Main!A"&amp;MATCH(A472,Main!A:A,0),"Open"),HYPERLINK("#Main!A1","Open"))</f>
        <v/>
      </c>
    </row>
    <row r="473" ht="30" customHeight="1">
      <c r="A473" s="33" t="inlineStr">
        <is>
          <t>https://africanmarketingconfederation.org/amc-conference-sponsors/</t>
        </is>
      </c>
      <c r="B473" s="26" t="inlineStr">
        <is>
          <t>Missing Meta Description</t>
        </is>
      </c>
      <c r="C473" s="6" t="inlineStr">
        <is>
          <t>https://africanmarketingconfederation.org/amc-conference-sponsors/::missing_meta_description</t>
        </is>
      </c>
      <c r="D473" s="25" t="inlineStr">
        <is>
          <t>Warning</t>
        </is>
      </c>
      <c r="E473" s="6" t="inlineStr">
        <is>
          <t>Copy Writer</t>
        </is>
      </c>
      <c r="F473" s="6" t="inlineStr"/>
      <c r="G473" s="25" t="inlineStr">
        <is>
          <t>Open</t>
        </is>
      </c>
      <c r="H473">
        <f>IFERROR(HYPERLINK("#Main!A"&amp;MATCH(A473,Main!A:A,0),"Open"),HYPERLINK("#Main!A1","Open"))</f>
        <v/>
      </c>
    </row>
    <row r="474" ht="30" customHeight="1">
      <c r="A474" s="33" t="inlineStr">
        <is>
          <t>https://africanmarketingconfederation.org/amc-conference-sponsors/</t>
        </is>
      </c>
      <c r="B474" s="26" t="inlineStr">
        <is>
          <t>Low AEO Readiness Score</t>
        </is>
      </c>
      <c r="C474" s="24" t="inlineStr">
        <is>
          <t>https://africanmarketingconfederation.org/amc-conference-sponsors/::low_aeo_readiness_score</t>
        </is>
      </c>
      <c r="D474" s="25" t="inlineStr">
        <is>
          <t>Warning</t>
        </is>
      </c>
      <c r="E474" s="24" t="inlineStr">
        <is>
          <t>Copy Writer</t>
        </is>
      </c>
      <c r="F474" s="24" t="inlineStr"/>
      <c r="G474" s="25" t="inlineStr">
        <is>
          <t>Open</t>
        </is>
      </c>
      <c r="H474">
        <f>IFERROR(HYPERLINK("#Main!A"&amp;MATCH(A474,Main!A:A,0),"Open"),HYPERLINK("#Main!A1","Open"))</f>
        <v/>
      </c>
    </row>
    <row r="475" ht="30" customHeight="1">
      <c r="A475" s="33" t="inlineStr">
        <is>
          <t>https://africanmarketingconfederation.org/amc-conference-sponsors/</t>
        </is>
      </c>
      <c r="B475" s="26" t="inlineStr">
        <is>
          <t>No Compression Header</t>
        </is>
      </c>
      <c r="C475" s="6" t="inlineStr">
        <is>
          <t>https://africanmarketingconfederation.org/amc-conference-sponsors/::no_compression_header</t>
        </is>
      </c>
      <c r="D475" s="29" t="inlineStr">
        <is>
          <t>Info</t>
        </is>
      </c>
      <c r="E475" s="6" t="inlineStr">
        <is>
          <t>Server/Host</t>
        </is>
      </c>
      <c r="F475" s="6" t="inlineStr"/>
      <c r="G475" s="25" t="inlineStr">
        <is>
          <t>Open</t>
        </is>
      </c>
      <c r="H475">
        <f>IFERROR(HYPERLINK("#Main!A"&amp;MATCH(A475,Main!A:A,0),"Open"),HYPERLINK("#Main!A1","Open"))</f>
        <v/>
      </c>
    </row>
    <row r="476" ht="30" customHeight="1">
      <c r="A476" s="33" t="inlineStr">
        <is>
          <t>https://africanmarketingconfederation.org/amc-conference-sponsors/</t>
        </is>
      </c>
      <c r="B476" s="26" t="inlineStr">
        <is>
          <t>No Cache-Control Header</t>
        </is>
      </c>
      <c r="C476" s="24" t="inlineStr">
        <is>
          <t>https://africanmarketingconfederation.org/amc-conference-sponsors/::no_cache-control_header</t>
        </is>
      </c>
      <c r="D476" s="29" t="inlineStr">
        <is>
          <t>Info</t>
        </is>
      </c>
      <c r="E476" s="24" t="inlineStr">
        <is>
          <t>Server/Host</t>
        </is>
      </c>
      <c r="F476" s="24" t="inlineStr"/>
      <c r="G476" s="25" t="inlineStr">
        <is>
          <t>Open</t>
        </is>
      </c>
      <c r="H476">
        <f>IFERROR(HYPERLINK("#Main!A"&amp;MATCH(A476,Main!A:A,0),"Open"),HYPERLINK("#Main!A1","Open"))</f>
        <v/>
      </c>
    </row>
    <row r="477" ht="30" customHeight="1">
      <c r="A477" s="33" t="inlineStr">
        <is>
          <t>https://africanmarketingconfederation.org/amc-conference-sponsors/</t>
        </is>
      </c>
      <c r="B477" s="26" t="inlineStr">
        <is>
          <t>No ETag Header</t>
        </is>
      </c>
      <c r="C477" s="6" t="inlineStr">
        <is>
          <t>https://africanmarketingconfederation.org/amc-conference-sponsors/::no_etag_header</t>
        </is>
      </c>
      <c r="D477" s="29" t="inlineStr">
        <is>
          <t>Info</t>
        </is>
      </c>
      <c r="E477" s="6" t="inlineStr">
        <is>
          <t>Server/Host</t>
        </is>
      </c>
      <c r="F477" s="6" t="inlineStr"/>
      <c r="G477" s="25" t="inlineStr">
        <is>
          <t>Open</t>
        </is>
      </c>
      <c r="H477">
        <f>IFERROR(HYPERLINK("#Main!A"&amp;MATCH(A477,Main!A:A,0),"Open"),HYPERLINK("#Main!A1","Open"))</f>
        <v/>
      </c>
    </row>
    <row r="478" ht="30" customHeight="1">
      <c r="A478" s="33" t="inlineStr">
        <is>
          <t>https://africanmarketingconfederation.org/amc-conference-sponsors/</t>
        </is>
      </c>
      <c r="B478" s="26" t="inlineStr">
        <is>
          <t>No FAQ/QA Schema</t>
        </is>
      </c>
      <c r="C478" s="24" t="inlineStr">
        <is>
          <t>https://africanmarketingconfederation.org/amc-conference-sponsors/::no_faq_qa_schema</t>
        </is>
      </c>
      <c r="D478" s="29" t="inlineStr">
        <is>
          <t>Info</t>
        </is>
      </c>
      <c r="E478" s="24" t="inlineStr">
        <is>
          <t>Dev</t>
        </is>
      </c>
      <c r="F478" s="24" t="inlineStr"/>
      <c r="G478" s="25" t="inlineStr">
        <is>
          <t>Open</t>
        </is>
      </c>
      <c r="H478">
        <f>IFERROR(HYPERLINK("#Main!A"&amp;MATCH(A478,Main!A:A,0),"Open"),HYPERLINK("#Main!A1","Open"))</f>
        <v/>
      </c>
    </row>
    <row r="479" ht="30" customHeight="1">
      <c r="A479" s="33" t="inlineStr">
        <is>
          <t>https://africanmarketingconfederation.org/amc-conference-sponsors/</t>
        </is>
      </c>
      <c r="B479" s="26" t="inlineStr">
        <is>
          <t>No Question Headings</t>
        </is>
      </c>
      <c r="C479" s="6" t="inlineStr">
        <is>
          <t>https://africanmarketingconfederation.org/amc-conference-sponsors/::no_question_headings</t>
        </is>
      </c>
      <c r="D479" s="29" t="inlineStr">
        <is>
          <t>Info</t>
        </is>
      </c>
      <c r="E479" s="6" t="inlineStr">
        <is>
          <t>Copy Writer</t>
        </is>
      </c>
      <c r="F479" s="6" t="inlineStr"/>
      <c r="G479" s="25" t="inlineStr">
        <is>
          <t>Open</t>
        </is>
      </c>
      <c r="H479">
        <f>IFERROR(HYPERLINK("#Main!A"&amp;MATCH(A479,Main!A:A,0),"Open"),HYPERLINK("#Main!A1","Open"))</f>
        <v/>
      </c>
    </row>
    <row r="480" ht="30" customHeight="1">
      <c r="A480" s="33" t="inlineStr">
        <is>
          <t>https://africanmarketingconfederation.org/amc-conference-sponsors/</t>
        </is>
      </c>
      <c r="B480" s="26" t="inlineStr">
        <is>
          <t>No Answer-Friendly Structure</t>
        </is>
      </c>
      <c r="C480" s="24" t="inlineStr">
        <is>
          <t>https://africanmarketingconfederation.org/amc-conference-sponsors/::no_answer-friendly_structure</t>
        </is>
      </c>
      <c r="D480" s="29" t="inlineStr">
        <is>
          <t>Info</t>
        </is>
      </c>
      <c r="E480" s="24" t="inlineStr">
        <is>
          <t>Copy Writer</t>
        </is>
      </c>
      <c r="F480" s="24" t="inlineStr"/>
      <c r="G480" s="25" t="inlineStr">
        <is>
          <t>Open</t>
        </is>
      </c>
      <c r="H480">
        <f>IFERROR(HYPERLINK("#Main!A"&amp;MATCH(A480,Main!A:A,0),"Open"),HYPERLINK("#Main!A1","Open"))</f>
        <v/>
      </c>
    </row>
    <row r="481" ht="30" customHeight="1">
      <c r="A481" s="33" t="inlineStr">
        <is>
          <t>https://africanmarketingconfederation.org/amc-conference-sponsors/</t>
        </is>
      </c>
      <c r="B481" s="26" t="inlineStr">
        <is>
          <t>No 40-60 Word Answer Paragraphs</t>
        </is>
      </c>
      <c r="C481" s="6" t="inlineStr">
        <is>
          <t>https://africanmarketingconfederation.org/amc-conference-sponsors/::no_40-60_word_answer_paragraphs</t>
        </is>
      </c>
      <c r="D481" s="29" t="inlineStr">
        <is>
          <t>Info</t>
        </is>
      </c>
      <c r="E481" s="6" t="inlineStr">
        <is>
          <t>Copy Writer</t>
        </is>
      </c>
      <c r="F481" s="6" t="inlineStr"/>
      <c r="G481" s="25" t="inlineStr">
        <is>
          <t>Open</t>
        </is>
      </c>
      <c r="H481">
        <f>IFERROR(HYPERLINK("#Main!A"&amp;MATCH(A481,Main!A:A,0),"Open"),HYPERLINK("#Main!A1","Open"))</f>
        <v/>
      </c>
    </row>
    <row r="482" ht="30" customHeight="1">
      <c r="A482" s="33" t="inlineStr">
        <is>
          <t>https://africanmarketingconfederation.org/elementor-20341/</t>
        </is>
      </c>
      <c r="B482" s="26" t="inlineStr">
        <is>
          <t>Missing Meta Description</t>
        </is>
      </c>
      <c r="C482" s="24" t="inlineStr">
        <is>
          <t>https://africanmarketingconfederation.org/elementor-20341/::missing_meta_description</t>
        </is>
      </c>
      <c r="D482" s="25" t="inlineStr">
        <is>
          <t>Warning</t>
        </is>
      </c>
      <c r="E482" s="24" t="inlineStr">
        <is>
          <t>Copy Writer</t>
        </is>
      </c>
      <c r="F482" s="24" t="inlineStr"/>
      <c r="G482" s="25" t="inlineStr">
        <is>
          <t>Open</t>
        </is>
      </c>
      <c r="H482">
        <f>IFERROR(HYPERLINK("#Main!A"&amp;MATCH(A482,Main!A:A,0),"Open"),HYPERLINK("#Main!A1","Open"))</f>
        <v/>
      </c>
    </row>
    <row r="483" ht="30" customHeight="1">
      <c r="A483" s="33" t="inlineStr">
        <is>
          <t>https://africanmarketingconfederation.org/elementor-20341/</t>
        </is>
      </c>
      <c r="B483" s="26" t="inlineStr">
        <is>
          <t>Missing H1</t>
        </is>
      </c>
      <c r="C483" s="6" t="inlineStr">
        <is>
          <t>https://africanmarketingconfederation.org/elementor-20341/::missing_h1</t>
        </is>
      </c>
      <c r="D483" s="25" t="inlineStr">
        <is>
          <t>Warning</t>
        </is>
      </c>
      <c r="E483" s="6" t="inlineStr">
        <is>
          <t>Copy Writer</t>
        </is>
      </c>
      <c r="F483" s="6" t="inlineStr"/>
      <c r="G483" s="25" t="inlineStr">
        <is>
          <t>Open</t>
        </is>
      </c>
      <c r="H483">
        <f>IFERROR(HYPERLINK("#Main!A"&amp;MATCH(A483,Main!A:A,0),"Open"),HYPERLINK("#Main!A1","Open"))</f>
        <v/>
      </c>
    </row>
    <row r="484" ht="30" customHeight="1">
      <c r="A484" s="33" t="inlineStr">
        <is>
          <t>https://africanmarketingconfederation.org/elementor-20341/</t>
        </is>
      </c>
      <c r="B484" s="26" t="inlineStr">
        <is>
          <t>Thin Content</t>
        </is>
      </c>
      <c r="C484" s="24" t="inlineStr">
        <is>
          <t>https://africanmarketingconfederation.org/elementor-20341/::thin_content</t>
        </is>
      </c>
      <c r="D484" s="25" t="inlineStr">
        <is>
          <t>Warning</t>
        </is>
      </c>
      <c r="E484" s="24" t="inlineStr">
        <is>
          <t>Copy Writer</t>
        </is>
      </c>
      <c r="F484" s="24" t="inlineStr"/>
      <c r="G484" s="25" t="inlineStr">
        <is>
          <t>Open</t>
        </is>
      </c>
      <c r="H484">
        <f>IFERROR(HYPERLINK("#Main!A"&amp;MATCH(A484,Main!A:A,0),"Open"),HYPERLINK("#Main!A1","Open"))</f>
        <v/>
      </c>
    </row>
    <row r="485" ht="30" customHeight="1">
      <c r="A485" s="33" t="inlineStr">
        <is>
          <t>https://africanmarketingconfederation.org/elementor-20341/</t>
        </is>
      </c>
      <c r="B485" s="26" t="inlineStr">
        <is>
          <t>Low AEO Readiness Score</t>
        </is>
      </c>
      <c r="C485" s="6" t="inlineStr">
        <is>
          <t>https://africanmarketingconfederation.org/elementor-20341/::low_aeo_readiness_score</t>
        </is>
      </c>
      <c r="D485" s="25" t="inlineStr">
        <is>
          <t>Warning</t>
        </is>
      </c>
      <c r="E485" s="6" t="inlineStr">
        <is>
          <t>Copy Writer</t>
        </is>
      </c>
      <c r="F485" s="6" t="inlineStr"/>
      <c r="G485" s="25" t="inlineStr">
        <is>
          <t>Open</t>
        </is>
      </c>
      <c r="H485">
        <f>IFERROR(HYPERLINK("#Main!A"&amp;MATCH(A485,Main!A:A,0),"Open"),HYPERLINK("#Main!A1","Open"))</f>
        <v/>
      </c>
    </row>
    <row r="486" ht="30" customHeight="1">
      <c r="A486" s="33" t="inlineStr">
        <is>
          <t>https://africanmarketingconfederation.org/elementor-20341/</t>
        </is>
      </c>
      <c r="B486" s="26" t="inlineStr">
        <is>
          <t>No Compression Header</t>
        </is>
      </c>
      <c r="C486" s="24" t="inlineStr">
        <is>
          <t>https://africanmarketingconfederation.org/elementor-20341/::no_compression_header</t>
        </is>
      </c>
      <c r="D486" s="29" t="inlineStr">
        <is>
          <t>Info</t>
        </is>
      </c>
      <c r="E486" s="24" t="inlineStr">
        <is>
          <t>Server/Host</t>
        </is>
      </c>
      <c r="F486" s="24" t="inlineStr"/>
      <c r="G486" s="25" t="inlineStr">
        <is>
          <t>Open</t>
        </is>
      </c>
      <c r="H486">
        <f>IFERROR(HYPERLINK("#Main!A"&amp;MATCH(A486,Main!A:A,0),"Open"),HYPERLINK("#Main!A1","Open"))</f>
        <v/>
      </c>
    </row>
    <row r="487" ht="30" customHeight="1">
      <c r="A487" s="33" t="inlineStr">
        <is>
          <t>https://africanmarketingconfederation.org/elementor-20341/</t>
        </is>
      </c>
      <c r="B487" s="26" t="inlineStr">
        <is>
          <t>No Cache-Control Header</t>
        </is>
      </c>
      <c r="C487" s="6" t="inlineStr">
        <is>
          <t>https://africanmarketingconfederation.org/elementor-20341/::no_cache-control_header</t>
        </is>
      </c>
      <c r="D487" s="29" t="inlineStr">
        <is>
          <t>Info</t>
        </is>
      </c>
      <c r="E487" s="6" t="inlineStr">
        <is>
          <t>Server/Host</t>
        </is>
      </c>
      <c r="F487" s="6" t="inlineStr"/>
      <c r="G487" s="25" t="inlineStr">
        <is>
          <t>Open</t>
        </is>
      </c>
      <c r="H487">
        <f>IFERROR(HYPERLINK("#Main!A"&amp;MATCH(A487,Main!A:A,0),"Open"),HYPERLINK("#Main!A1","Open"))</f>
        <v/>
      </c>
    </row>
    <row r="488" ht="30" customHeight="1">
      <c r="A488" s="33" t="inlineStr">
        <is>
          <t>https://africanmarketingconfederation.org/elementor-20341/</t>
        </is>
      </c>
      <c r="B488" s="26" t="inlineStr">
        <is>
          <t>No ETag Header</t>
        </is>
      </c>
      <c r="C488" s="24" t="inlineStr">
        <is>
          <t>https://africanmarketingconfederation.org/elementor-20341/::no_etag_header</t>
        </is>
      </c>
      <c r="D488" s="29" t="inlineStr">
        <is>
          <t>Info</t>
        </is>
      </c>
      <c r="E488" s="24" t="inlineStr">
        <is>
          <t>Server/Host</t>
        </is>
      </c>
      <c r="F488" s="24" t="inlineStr"/>
      <c r="G488" s="25" t="inlineStr">
        <is>
          <t>Open</t>
        </is>
      </c>
      <c r="H488">
        <f>IFERROR(HYPERLINK("#Main!A"&amp;MATCH(A488,Main!A:A,0),"Open"),HYPERLINK("#Main!A1","Open"))</f>
        <v/>
      </c>
    </row>
    <row r="489" ht="30" customHeight="1">
      <c r="A489" s="33" t="inlineStr">
        <is>
          <t>https://africanmarketingconfederation.org/elementor-20341/</t>
        </is>
      </c>
      <c r="B489" s="26" t="inlineStr">
        <is>
          <t>No FAQ/QA Schema</t>
        </is>
      </c>
      <c r="C489" s="6" t="inlineStr">
        <is>
          <t>https://africanmarketingconfederation.org/elementor-20341/::no_faq_qa_schema</t>
        </is>
      </c>
      <c r="D489" s="29" t="inlineStr">
        <is>
          <t>Info</t>
        </is>
      </c>
      <c r="E489" s="6" t="inlineStr">
        <is>
          <t>Dev</t>
        </is>
      </c>
      <c r="F489" s="6" t="inlineStr"/>
      <c r="G489" s="25" t="inlineStr">
        <is>
          <t>Open</t>
        </is>
      </c>
      <c r="H489">
        <f>IFERROR(HYPERLINK("#Main!A"&amp;MATCH(A489,Main!A:A,0),"Open"),HYPERLINK("#Main!A1","Open"))</f>
        <v/>
      </c>
    </row>
    <row r="490" ht="30" customHeight="1">
      <c r="A490" s="33" t="inlineStr">
        <is>
          <t>https://africanmarketingconfederation.org/elementor-20341/</t>
        </is>
      </c>
      <c r="B490" s="26" t="inlineStr">
        <is>
          <t>No Question Headings</t>
        </is>
      </c>
      <c r="C490" s="24" t="inlineStr">
        <is>
          <t>https://africanmarketingconfederation.org/elementor-20341/::no_question_headings</t>
        </is>
      </c>
      <c r="D490" s="29" t="inlineStr">
        <is>
          <t>Info</t>
        </is>
      </c>
      <c r="E490" s="24" t="inlineStr">
        <is>
          <t>Copy Writer</t>
        </is>
      </c>
      <c r="F490" s="24" t="inlineStr"/>
      <c r="G490" s="25" t="inlineStr">
        <is>
          <t>Open</t>
        </is>
      </c>
      <c r="H490">
        <f>IFERROR(HYPERLINK("#Main!A"&amp;MATCH(A490,Main!A:A,0),"Open"),HYPERLINK("#Main!A1","Open"))</f>
        <v/>
      </c>
    </row>
    <row r="491" ht="30" customHeight="1">
      <c r="A491" s="33" t="inlineStr">
        <is>
          <t>https://africanmarketingconfederation.org/elementor-20341/</t>
        </is>
      </c>
      <c r="B491" s="26" t="inlineStr">
        <is>
          <t>No Answer-Friendly Structure</t>
        </is>
      </c>
      <c r="C491" s="6" t="inlineStr">
        <is>
          <t>https://africanmarketingconfederation.org/elementor-20341/::no_answer-friendly_structure</t>
        </is>
      </c>
      <c r="D491" s="29" t="inlineStr">
        <is>
          <t>Info</t>
        </is>
      </c>
      <c r="E491" s="6" t="inlineStr">
        <is>
          <t>Copy Writer</t>
        </is>
      </c>
      <c r="F491" s="6" t="inlineStr"/>
      <c r="G491" s="25" t="inlineStr">
        <is>
          <t>Open</t>
        </is>
      </c>
      <c r="H491">
        <f>IFERROR(HYPERLINK("#Main!A"&amp;MATCH(A491,Main!A:A,0),"Open"),HYPERLINK("#Main!A1","Open"))</f>
        <v/>
      </c>
    </row>
    <row r="492" ht="30" customHeight="1">
      <c r="A492" s="33" t="inlineStr">
        <is>
          <t>https://africanmarketingconfederation.org/elementor-20341/</t>
        </is>
      </c>
      <c r="B492" s="26" t="inlineStr">
        <is>
          <t>No 40-60 Word Answer Paragraphs</t>
        </is>
      </c>
      <c r="C492" s="24" t="inlineStr">
        <is>
          <t>https://africanmarketingconfederation.org/elementor-20341/::no_40-60_word_answer_paragraphs</t>
        </is>
      </c>
      <c r="D492" s="29" t="inlineStr">
        <is>
          <t>Info</t>
        </is>
      </c>
      <c r="E492" s="24" t="inlineStr">
        <is>
          <t>Copy Writer</t>
        </is>
      </c>
      <c r="F492" s="24" t="inlineStr"/>
      <c r="G492" s="25" t="inlineStr">
        <is>
          <t>Open</t>
        </is>
      </c>
      <c r="H492">
        <f>IFERROR(HYPERLINK("#Main!A"&amp;MATCH(A492,Main!A:A,0),"Open"),HYPERLINK("#Main!A1","Open"))</f>
        <v/>
      </c>
    </row>
    <row r="493" ht="30" customHeight="1">
      <c r="A493" s="33" t="inlineStr">
        <is>
          <t>https://africanmarketingconfederation.org/chartered-marketer-africa-final-submission-fee/</t>
        </is>
      </c>
      <c r="B493" s="26" t="inlineStr">
        <is>
          <t>Thin Content</t>
        </is>
      </c>
      <c r="C493" s="6" t="inlineStr">
        <is>
          <t>https://africanmarketingconfederation.org/chartered-marketer-africa-final-submission-fee/::thin_content</t>
        </is>
      </c>
      <c r="D493" s="25" t="inlineStr">
        <is>
          <t>Warning</t>
        </is>
      </c>
      <c r="E493" s="6" t="inlineStr">
        <is>
          <t>Copy Writer</t>
        </is>
      </c>
      <c r="F493" s="6" t="inlineStr"/>
      <c r="G493" s="25" t="inlineStr">
        <is>
          <t>Open</t>
        </is>
      </c>
      <c r="H493">
        <f>IFERROR(HYPERLINK("#Main!A"&amp;MATCH(A493,Main!A:A,0),"Open"),HYPERLINK("#Main!A1","Open"))</f>
        <v/>
      </c>
    </row>
    <row r="494" ht="30" customHeight="1">
      <c r="A494" s="33" t="inlineStr">
        <is>
          <t>https://africanmarketingconfederation.org/chartered-marketer-africa-final-submission-fee/</t>
        </is>
      </c>
      <c r="B494" s="26" t="inlineStr">
        <is>
          <t>Low AEO Readiness Score</t>
        </is>
      </c>
      <c r="C494" s="24" t="inlineStr">
        <is>
          <t>https://africanmarketingconfederation.org/chartered-marketer-africa-final-submission-fee/::low_aeo_readiness_score</t>
        </is>
      </c>
      <c r="D494" s="25" t="inlineStr">
        <is>
          <t>Warning</t>
        </is>
      </c>
      <c r="E494" s="24" t="inlineStr">
        <is>
          <t>Copy Writer</t>
        </is>
      </c>
      <c r="F494" s="24" t="inlineStr"/>
      <c r="G494" s="25" t="inlineStr">
        <is>
          <t>Open</t>
        </is>
      </c>
      <c r="H494">
        <f>IFERROR(HYPERLINK("#Main!A"&amp;MATCH(A494,Main!A:A,0),"Open"),HYPERLINK("#Main!A1","Open"))</f>
        <v/>
      </c>
    </row>
    <row r="495" ht="30" customHeight="1">
      <c r="A495" s="33" t="inlineStr">
        <is>
          <t>https://africanmarketingconfederation.org/chartered-marketer-africa-final-submission-fee/</t>
        </is>
      </c>
      <c r="B495" s="26" t="inlineStr">
        <is>
          <t>No Compression Header</t>
        </is>
      </c>
      <c r="C495" s="6" t="inlineStr">
        <is>
          <t>https://africanmarketingconfederation.org/chartered-marketer-africa-final-submission-fee/::no_compression_header</t>
        </is>
      </c>
      <c r="D495" s="29" t="inlineStr">
        <is>
          <t>Info</t>
        </is>
      </c>
      <c r="E495" s="6" t="inlineStr">
        <is>
          <t>Server/Host</t>
        </is>
      </c>
      <c r="F495" s="6" t="inlineStr"/>
      <c r="G495" s="25" t="inlineStr">
        <is>
          <t>Open</t>
        </is>
      </c>
      <c r="H495">
        <f>IFERROR(HYPERLINK("#Main!A"&amp;MATCH(A495,Main!A:A,0),"Open"),HYPERLINK("#Main!A1","Open"))</f>
        <v/>
      </c>
    </row>
    <row r="496" ht="30" customHeight="1">
      <c r="A496" s="33" t="inlineStr">
        <is>
          <t>https://africanmarketingconfederation.org/chartered-marketer-africa-final-submission-fee/</t>
        </is>
      </c>
      <c r="B496" s="26" t="inlineStr">
        <is>
          <t>No Cache-Control Header</t>
        </is>
      </c>
      <c r="C496" s="24" t="inlineStr">
        <is>
          <t>https://africanmarketingconfederation.org/chartered-marketer-africa-final-submission-fee/::no_cache-control_header</t>
        </is>
      </c>
      <c r="D496" s="29" t="inlineStr">
        <is>
          <t>Info</t>
        </is>
      </c>
      <c r="E496" s="24" t="inlineStr">
        <is>
          <t>Server/Host</t>
        </is>
      </c>
      <c r="F496" s="24" t="inlineStr"/>
      <c r="G496" s="25" t="inlineStr">
        <is>
          <t>Open</t>
        </is>
      </c>
      <c r="H496">
        <f>IFERROR(HYPERLINK("#Main!A"&amp;MATCH(A496,Main!A:A,0),"Open"),HYPERLINK("#Main!A1","Open"))</f>
        <v/>
      </c>
    </row>
    <row r="497" ht="30" customHeight="1">
      <c r="A497" s="33" t="inlineStr">
        <is>
          <t>https://africanmarketingconfederation.org/chartered-marketer-africa-final-submission-fee/</t>
        </is>
      </c>
      <c r="B497" s="26" t="inlineStr">
        <is>
          <t>No ETag Header</t>
        </is>
      </c>
      <c r="C497" s="6" t="inlineStr">
        <is>
          <t>https://africanmarketingconfederation.org/chartered-marketer-africa-final-submission-fee/::no_etag_header</t>
        </is>
      </c>
      <c r="D497" s="29" t="inlineStr">
        <is>
          <t>Info</t>
        </is>
      </c>
      <c r="E497" s="6" t="inlineStr">
        <is>
          <t>Server/Host</t>
        </is>
      </c>
      <c r="F497" s="6" t="inlineStr"/>
      <c r="G497" s="25" t="inlineStr">
        <is>
          <t>Open</t>
        </is>
      </c>
      <c r="H497">
        <f>IFERROR(HYPERLINK("#Main!A"&amp;MATCH(A497,Main!A:A,0),"Open"),HYPERLINK("#Main!A1","Open"))</f>
        <v/>
      </c>
    </row>
    <row r="498" ht="30" customHeight="1">
      <c r="A498" s="33" t="inlineStr">
        <is>
          <t>https://africanmarketingconfederation.org/chartered-marketer-africa-final-submission-fee/</t>
        </is>
      </c>
      <c r="B498" s="26" t="inlineStr">
        <is>
          <t>No FAQ/QA Schema</t>
        </is>
      </c>
      <c r="C498" s="24" t="inlineStr">
        <is>
          <t>https://africanmarketingconfederation.org/chartered-marketer-africa-final-submission-fee/::no_faq_qa_schema</t>
        </is>
      </c>
      <c r="D498" s="29" t="inlineStr">
        <is>
          <t>Info</t>
        </is>
      </c>
      <c r="E498" s="24" t="inlineStr">
        <is>
          <t>Dev</t>
        </is>
      </c>
      <c r="F498" s="24" t="inlineStr"/>
      <c r="G498" s="25" t="inlineStr">
        <is>
          <t>Open</t>
        </is>
      </c>
      <c r="H498">
        <f>IFERROR(HYPERLINK("#Main!A"&amp;MATCH(A498,Main!A:A,0),"Open"),HYPERLINK("#Main!A1","Open"))</f>
        <v/>
      </c>
    </row>
    <row r="499" ht="30" customHeight="1">
      <c r="A499" s="33" t="inlineStr">
        <is>
          <t>https://africanmarketingconfederation.org/chartered-marketer-africa-final-submission-fee/</t>
        </is>
      </c>
      <c r="B499" s="26" t="inlineStr">
        <is>
          <t>No Question Headings</t>
        </is>
      </c>
      <c r="C499" s="6" t="inlineStr">
        <is>
          <t>https://africanmarketingconfederation.org/chartered-marketer-africa-final-submission-fee/::no_question_headings</t>
        </is>
      </c>
      <c r="D499" s="29" t="inlineStr">
        <is>
          <t>Info</t>
        </is>
      </c>
      <c r="E499" s="6" t="inlineStr">
        <is>
          <t>Copy Writer</t>
        </is>
      </c>
      <c r="F499" s="6" t="inlineStr"/>
      <c r="G499" s="25" t="inlineStr">
        <is>
          <t>Open</t>
        </is>
      </c>
      <c r="H499">
        <f>IFERROR(HYPERLINK("#Main!A"&amp;MATCH(A499,Main!A:A,0),"Open"),HYPERLINK("#Main!A1","Open"))</f>
        <v/>
      </c>
    </row>
    <row r="500" ht="30" customHeight="1">
      <c r="A500" s="33" t="inlineStr">
        <is>
          <t>https://africanmarketingconfederation.org/chartered-marketer-africa-final-submission-fee/</t>
        </is>
      </c>
      <c r="B500" s="26" t="inlineStr">
        <is>
          <t>No Answer-Friendly Structure</t>
        </is>
      </c>
      <c r="C500" s="24" t="inlineStr">
        <is>
          <t>https://africanmarketingconfederation.org/chartered-marketer-africa-final-submission-fee/::no_answer-friendly_structure</t>
        </is>
      </c>
      <c r="D500" s="29" t="inlineStr">
        <is>
          <t>Info</t>
        </is>
      </c>
      <c r="E500" s="24" t="inlineStr">
        <is>
          <t>Copy Writer</t>
        </is>
      </c>
      <c r="F500" s="24" t="inlineStr"/>
      <c r="G500" s="25" t="inlineStr">
        <is>
          <t>Open</t>
        </is>
      </c>
      <c r="H500">
        <f>IFERROR(HYPERLINK("#Main!A"&amp;MATCH(A500,Main!A:A,0),"Open"),HYPERLINK("#Main!A1","Open"))</f>
        <v/>
      </c>
    </row>
    <row r="501" ht="30" customHeight="1">
      <c r="A501" s="33" t="inlineStr">
        <is>
          <t>https://africanmarketingconfederation.org/chartered-marketer-africa-final-submission-fee/</t>
        </is>
      </c>
      <c r="B501" s="26" t="inlineStr">
        <is>
          <t>No 40-60 Word Answer Paragraphs</t>
        </is>
      </c>
      <c r="C501" s="6" t="inlineStr">
        <is>
          <t>https://africanmarketingconfederation.org/chartered-marketer-africa-final-submission-fee/::no_40-60_word_answer_paragraphs</t>
        </is>
      </c>
      <c r="D501" s="29" t="inlineStr">
        <is>
          <t>Info</t>
        </is>
      </c>
      <c r="E501" s="6" t="inlineStr">
        <is>
          <t>Copy Writer</t>
        </is>
      </c>
      <c r="F501" s="6" t="inlineStr"/>
      <c r="G501" s="25" t="inlineStr">
        <is>
          <t>Open</t>
        </is>
      </c>
      <c r="H501">
        <f>IFERROR(HYPERLINK("#Main!A"&amp;MATCH(A501,Main!A:A,0),"Open"),HYPERLINK("#Main!A1","Open"))</f>
        <v/>
      </c>
    </row>
    <row r="502" ht="30" customHeight="1">
      <c r="A502" s="33" t="inlineStr">
        <is>
          <t>https://africanmarketingconfederation.org/chartered-marketer-africa-programme-fee/</t>
        </is>
      </c>
      <c r="B502" s="26" t="inlineStr">
        <is>
          <t>Thin Content</t>
        </is>
      </c>
      <c r="C502" s="24" t="inlineStr">
        <is>
          <t>https://africanmarketingconfederation.org/chartered-marketer-africa-programme-fee/::thin_content</t>
        </is>
      </c>
      <c r="D502" s="25" t="inlineStr">
        <is>
          <t>Warning</t>
        </is>
      </c>
      <c r="E502" s="24" t="inlineStr">
        <is>
          <t>Copy Writer</t>
        </is>
      </c>
      <c r="F502" s="24" t="inlineStr"/>
      <c r="G502" s="25" t="inlineStr">
        <is>
          <t>Open</t>
        </is>
      </c>
      <c r="H502">
        <f>IFERROR(HYPERLINK("#Main!A"&amp;MATCH(A502,Main!A:A,0),"Open"),HYPERLINK("#Main!A1","Open"))</f>
        <v/>
      </c>
    </row>
    <row r="503" ht="30" customHeight="1">
      <c r="A503" s="33" t="inlineStr">
        <is>
          <t>https://africanmarketingconfederation.org/chartered-marketer-africa-programme-fee/</t>
        </is>
      </c>
      <c r="B503" s="26" t="inlineStr">
        <is>
          <t>Low AEO Readiness Score</t>
        </is>
      </c>
      <c r="C503" s="6" t="inlineStr">
        <is>
          <t>https://africanmarketingconfederation.org/chartered-marketer-africa-programme-fee/::low_aeo_readiness_score</t>
        </is>
      </c>
      <c r="D503" s="25" t="inlineStr">
        <is>
          <t>Warning</t>
        </is>
      </c>
      <c r="E503" s="6" t="inlineStr">
        <is>
          <t>Copy Writer</t>
        </is>
      </c>
      <c r="F503" s="6" t="inlineStr"/>
      <c r="G503" s="25" t="inlineStr">
        <is>
          <t>Open</t>
        </is>
      </c>
      <c r="H503">
        <f>IFERROR(HYPERLINK("#Main!A"&amp;MATCH(A503,Main!A:A,0),"Open"),HYPERLINK("#Main!A1","Open"))</f>
        <v/>
      </c>
    </row>
    <row r="504" ht="30" customHeight="1">
      <c r="A504" s="33" t="inlineStr">
        <is>
          <t>https://africanmarketingconfederation.org/chartered-marketer-africa-programme-fee/</t>
        </is>
      </c>
      <c r="B504" s="26" t="inlineStr">
        <is>
          <t>No Compression Header</t>
        </is>
      </c>
      <c r="C504" s="24" t="inlineStr">
        <is>
          <t>https://africanmarketingconfederation.org/chartered-marketer-africa-programme-fee/::no_compression_header</t>
        </is>
      </c>
      <c r="D504" s="29" t="inlineStr">
        <is>
          <t>Info</t>
        </is>
      </c>
      <c r="E504" s="24" t="inlineStr">
        <is>
          <t>Server/Host</t>
        </is>
      </c>
      <c r="F504" s="24" t="inlineStr"/>
      <c r="G504" s="25" t="inlineStr">
        <is>
          <t>Open</t>
        </is>
      </c>
      <c r="H504">
        <f>IFERROR(HYPERLINK("#Main!A"&amp;MATCH(A504,Main!A:A,0),"Open"),HYPERLINK("#Main!A1","Open"))</f>
        <v/>
      </c>
    </row>
    <row r="505" ht="30" customHeight="1">
      <c r="A505" s="33" t="inlineStr">
        <is>
          <t>https://africanmarketingconfederation.org/chartered-marketer-africa-programme-fee/</t>
        </is>
      </c>
      <c r="B505" s="26" t="inlineStr">
        <is>
          <t>No Cache-Control Header</t>
        </is>
      </c>
      <c r="C505" s="6" t="inlineStr">
        <is>
          <t>https://africanmarketingconfederation.org/chartered-marketer-africa-programme-fee/::no_cache-control_header</t>
        </is>
      </c>
      <c r="D505" s="29" t="inlineStr">
        <is>
          <t>Info</t>
        </is>
      </c>
      <c r="E505" s="6" t="inlineStr">
        <is>
          <t>Server/Host</t>
        </is>
      </c>
      <c r="F505" s="6" t="inlineStr"/>
      <c r="G505" s="25" t="inlineStr">
        <is>
          <t>Open</t>
        </is>
      </c>
      <c r="H505">
        <f>IFERROR(HYPERLINK("#Main!A"&amp;MATCH(A505,Main!A:A,0),"Open"),HYPERLINK("#Main!A1","Open"))</f>
        <v/>
      </c>
    </row>
    <row r="506" ht="30" customHeight="1">
      <c r="A506" s="33" t="inlineStr">
        <is>
          <t>https://africanmarketingconfederation.org/chartered-marketer-africa-programme-fee/</t>
        </is>
      </c>
      <c r="B506" s="26" t="inlineStr">
        <is>
          <t>No ETag Header</t>
        </is>
      </c>
      <c r="C506" s="24" t="inlineStr">
        <is>
          <t>https://africanmarketingconfederation.org/chartered-marketer-africa-programme-fee/::no_etag_header</t>
        </is>
      </c>
      <c r="D506" s="29" t="inlineStr">
        <is>
          <t>Info</t>
        </is>
      </c>
      <c r="E506" s="24" t="inlineStr">
        <is>
          <t>Server/Host</t>
        </is>
      </c>
      <c r="F506" s="24" t="inlineStr"/>
      <c r="G506" s="25" t="inlineStr">
        <is>
          <t>Open</t>
        </is>
      </c>
      <c r="H506">
        <f>IFERROR(HYPERLINK("#Main!A"&amp;MATCH(A506,Main!A:A,0),"Open"),HYPERLINK("#Main!A1","Open"))</f>
        <v/>
      </c>
    </row>
    <row r="507" ht="30" customHeight="1">
      <c r="A507" s="33" t="inlineStr">
        <is>
          <t>https://africanmarketingconfederation.org/chartered-marketer-africa-programme-fee/</t>
        </is>
      </c>
      <c r="B507" s="26" t="inlineStr">
        <is>
          <t>No FAQ/QA Schema</t>
        </is>
      </c>
      <c r="C507" s="6" t="inlineStr">
        <is>
          <t>https://africanmarketingconfederation.org/chartered-marketer-africa-programme-fee/::no_faq_qa_schema</t>
        </is>
      </c>
      <c r="D507" s="29" t="inlineStr">
        <is>
          <t>Info</t>
        </is>
      </c>
      <c r="E507" s="6" t="inlineStr">
        <is>
          <t>Dev</t>
        </is>
      </c>
      <c r="F507" s="6" t="inlineStr"/>
      <c r="G507" s="25" t="inlineStr">
        <is>
          <t>Open</t>
        </is>
      </c>
      <c r="H507">
        <f>IFERROR(HYPERLINK("#Main!A"&amp;MATCH(A507,Main!A:A,0),"Open"),HYPERLINK("#Main!A1","Open"))</f>
        <v/>
      </c>
    </row>
    <row r="508" ht="30" customHeight="1">
      <c r="A508" s="33" t="inlineStr">
        <is>
          <t>https://africanmarketingconfederation.org/chartered-marketer-africa-programme-fee/</t>
        </is>
      </c>
      <c r="B508" s="26" t="inlineStr">
        <is>
          <t>No Question Headings</t>
        </is>
      </c>
      <c r="C508" s="24" t="inlineStr">
        <is>
          <t>https://africanmarketingconfederation.org/chartered-marketer-africa-programme-fee/::no_question_headings</t>
        </is>
      </c>
      <c r="D508" s="29" t="inlineStr">
        <is>
          <t>Info</t>
        </is>
      </c>
      <c r="E508" s="24" t="inlineStr">
        <is>
          <t>Copy Writer</t>
        </is>
      </c>
      <c r="F508" s="24" t="inlineStr"/>
      <c r="G508" s="25" t="inlineStr">
        <is>
          <t>Open</t>
        </is>
      </c>
      <c r="H508">
        <f>IFERROR(HYPERLINK("#Main!A"&amp;MATCH(A508,Main!A:A,0),"Open"),HYPERLINK("#Main!A1","Open"))</f>
        <v/>
      </c>
    </row>
    <row r="509" ht="30" customHeight="1">
      <c r="A509" s="33" t="inlineStr">
        <is>
          <t>https://africanmarketingconfederation.org/chartered-marketer-africa-programme-fee/</t>
        </is>
      </c>
      <c r="B509" s="26" t="inlineStr">
        <is>
          <t>No Answer-Friendly Structure</t>
        </is>
      </c>
      <c r="C509" s="6" t="inlineStr">
        <is>
          <t>https://africanmarketingconfederation.org/chartered-marketer-africa-programme-fee/::no_answer-friendly_structure</t>
        </is>
      </c>
      <c r="D509" s="29" t="inlineStr">
        <is>
          <t>Info</t>
        </is>
      </c>
      <c r="E509" s="6" t="inlineStr">
        <is>
          <t>Copy Writer</t>
        </is>
      </c>
      <c r="F509" s="6" t="inlineStr"/>
      <c r="G509" s="25" t="inlineStr">
        <is>
          <t>Open</t>
        </is>
      </c>
      <c r="H509">
        <f>IFERROR(HYPERLINK("#Main!A"&amp;MATCH(A509,Main!A:A,0),"Open"),HYPERLINK("#Main!A1","Open"))</f>
        <v/>
      </c>
    </row>
    <row r="510" ht="30" customHeight="1">
      <c r="A510" s="33" t="inlineStr">
        <is>
          <t>https://africanmarketingconfederation.org/chartered-marketer-africa-programme-fee/</t>
        </is>
      </c>
      <c r="B510" s="26" t="inlineStr">
        <is>
          <t>No 40-60 Word Answer Paragraphs</t>
        </is>
      </c>
      <c r="C510" s="24" t="inlineStr">
        <is>
          <t>https://africanmarketingconfederation.org/chartered-marketer-africa-programme-fee/::no_40-60_word_answer_paragraphs</t>
        </is>
      </c>
      <c r="D510" s="29" t="inlineStr">
        <is>
          <t>Info</t>
        </is>
      </c>
      <c r="E510" s="24" t="inlineStr">
        <is>
          <t>Copy Writer</t>
        </is>
      </c>
      <c r="F510" s="24" t="inlineStr"/>
      <c r="G510" s="25" t="inlineStr">
        <is>
          <t>Open</t>
        </is>
      </c>
      <c r="H510">
        <f>IFERROR(HYPERLINK("#Main!A"&amp;MATCH(A510,Main!A:A,0),"Open"),HYPERLINK("#Main!A1","Open"))</f>
        <v/>
      </c>
    </row>
    <row r="511" ht="30" customHeight="1">
      <c r="A511" s="33" t="inlineStr">
        <is>
          <t>https://africanmarketingconfederation.org/download-brochure/</t>
        </is>
      </c>
      <c r="B511" s="26" t="inlineStr">
        <is>
          <t>Missing H1</t>
        </is>
      </c>
      <c r="C511" s="6" t="inlineStr">
        <is>
          <t>https://africanmarketingconfederation.org/download-brochure/::missing_h1</t>
        </is>
      </c>
      <c r="D511" s="25" t="inlineStr">
        <is>
          <t>Warning</t>
        </is>
      </c>
      <c r="E511" s="6" t="inlineStr">
        <is>
          <t>Copy Writer</t>
        </is>
      </c>
      <c r="F511" s="6" t="inlineStr"/>
      <c r="G511" s="25" t="inlineStr">
        <is>
          <t>Open</t>
        </is>
      </c>
      <c r="H511">
        <f>IFERROR(HYPERLINK("#Main!A"&amp;MATCH(A511,Main!A:A,0),"Open"),HYPERLINK("#Main!A1","Open"))</f>
        <v/>
      </c>
    </row>
    <row r="512" ht="30" customHeight="1">
      <c r="A512" s="33" t="inlineStr">
        <is>
          <t>https://africanmarketingconfederation.org/download-brochure/</t>
        </is>
      </c>
      <c r="B512" s="26" t="inlineStr">
        <is>
          <t>Thin Content</t>
        </is>
      </c>
      <c r="C512" s="24" t="inlineStr">
        <is>
          <t>https://africanmarketingconfederation.org/download-brochure/::thin_content</t>
        </is>
      </c>
      <c r="D512" s="25" t="inlineStr">
        <is>
          <t>Warning</t>
        </is>
      </c>
      <c r="E512" s="24" t="inlineStr">
        <is>
          <t>Copy Writer</t>
        </is>
      </c>
      <c r="F512" s="24" t="inlineStr"/>
      <c r="G512" s="25" t="inlineStr">
        <is>
          <t>Open</t>
        </is>
      </c>
      <c r="H512">
        <f>IFERROR(HYPERLINK("#Main!A"&amp;MATCH(A512,Main!A:A,0),"Open"),HYPERLINK("#Main!A1","Open"))</f>
        <v/>
      </c>
    </row>
    <row r="513" ht="30" customHeight="1">
      <c r="A513" s="33" t="inlineStr">
        <is>
          <t>https://africanmarketingconfederation.org/download-brochure/</t>
        </is>
      </c>
      <c r="B513" s="26" t="inlineStr">
        <is>
          <t>Low AEO Readiness Score</t>
        </is>
      </c>
      <c r="C513" s="6" t="inlineStr">
        <is>
          <t>https://africanmarketingconfederation.org/download-brochure/::low_aeo_readiness_score</t>
        </is>
      </c>
      <c r="D513" s="25" t="inlineStr">
        <is>
          <t>Warning</t>
        </is>
      </c>
      <c r="E513" s="6" t="inlineStr">
        <is>
          <t>Copy Writer</t>
        </is>
      </c>
      <c r="F513" s="6" t="inlineStr"/>
      <c r="G513" s="25" t="inlineStr">
        <is>
          <t>Open</t>
        </is>
      </c>
      <c r="H513">
        <f>IFERROR(HYPERLINK("#Main!A"&amp;MATCH(A513,Main!A:A,0),"Open"),HYPERLINK("#Main!A1","Open"))</f>
        <v/>
      </c>
    </row>
    <row r="514" ht="30" customHeight="1">
      <c r="A514" s="33" t="inlineStr">
        <is>
          <t>https://africanmarketingconfederation.org/download-brochure/</t>
        </is>
      </c>
      <c r="B514" s="26" t="inlineStr">
        <is>
          <t>No Compression Header</t>
        </is>
      </c>
      <c r="C514" s="24" t="inlineStr">
        <is>
          <t>https://africanmarketingconfederation.org/download-brochure/::no_compression_header</t>
        </is>
      </c>
      <c r="D514" s="29" t="inlineStr">
        <is>
          <t>Info</t>
        </is>
      </c>
      <c r="E514" s="24" t="inlineStr">
        <is>
          <t>Server/Host</t>
        </is>
      </c>
      <c r="F514" s="24" t="inlineStr"/>
      <c r="G514" s="25" t="inlineStr">
        <is>
          <t>Open</t>
        </is>
      </c>
      <c r="H514">
        <f>IFERROR(HYPERLINK("#Main!A"&amp;MATCH(A514,Main!A:A,0),"Open"),HYPERLINK("#Main!A1","Open"))</f>
        <v/>
      </c>
    </row>
    <row r="515" ht="30" customHeight="1">
      <c r="A515" s="33" t="inlineStr">
        <is>
          <t>https://africanmarketingconfederation.org/download-brochure/</t>
        </is>
      </c>
      <c r="B515" s="26" t="inlineStr">
        <is>
          <t>No Cache-Control Header</t>
        </is>
      </c>
      <c r="C515" s="6" t="inlineStr">
        <is>
          <t>https://africanmarketingconfederation.org/download-brochure/::no_cache-control_header</t>
        </is>
      </c>
      <c r="D515" s="29" t="inlineStr">
        <is>
          <t>Info</t>
        </is>
      </c>
      <c r="E515" s="6" t="inlineStr">
        <is>
          <t>Server/Host</t>
        </is>
      </c>
      <c r="F515" s="6" t="inlineStr"/>
      <c r="G515" s="25" t="inlineStr">
        <is>
          <t>Open</t>
        </is>
      </c>
      <c r="H515">
        <f>IFERROR(HYPERLINK("#Main!A"&amp;MATCH(A515,Main!A:A,0),"Open"),HYPERLINK("#Main!A1","Open"))</f>
        <v/>
      </c>
    </row>
    <row r="516" ht="30" customHeight="1">
      <c r="A516" s="33" t="inlineStr">
        <is>
          <t>https://africanmarketingconfederation.org/download-brochure/</t>
        </is>
      </c>
      <c r="B516" s="26" t="inlineStr">
        <is>
          <t>No ETag Header</t>
        </is>
      </c>
      <c r="C516" s="24" t="inlineStr">
        <is>
          <t>https://africanmarketingconfederation.org/download-brochure/::no_etag_header</t>
        </is>
      </c>
      <c r="D516" s="29" t="inlineStr">
        <is>
          <t>Info</t>
        </is>
      </c>
      <c r="E516" s="24" t="inlineStr">
        <is>
          <t>Server/Host</t>
        </is>
      </c>
      <c r="F516" s="24" t="inlineStr"/>
      <c r="G516" s="25" t="inlineStr">
        <is>
          <t>Open</t>
        </is>
      </c>
      <c r="H516">
        <f>IFERROR(HYPERLINK("#Main!A"&amp;MATCH(A516,Main!A:A,0),"Open"),HYPERLINK("#Main!A1","Open"))</f>
        <v/>
      </c>
    </row>
    <row r="517" ht="30" customHeight="1">
      <c r="A517" s="33" t="inlineStr">
        <is>
          <t>https://africanmarketingconfederation.org/download-brochure/</t>
        </is>
      </c>
      <c r="B517" s="26" t="inlineStr">
        <is>
          <t>No FAQ/QA Schema</t>
        </is>
      </c>
      <c r="C517" s="6" t="inlineStr">
        <is>
          <t>https://africanmarketingconfederation.org/download-brochure/::no_faq_qa_schema</t>
        </is>
      </c>
      <c r="D517" s="29" t="inlineStr">
        <is>
          <t>Info</t>
        </is>
      </c>
      <c r="E517" s="6" t="inlineStr">
        <is>
          <t>Dev</t>
        </is>
      </c>
      <c r="F517" s="6" t="inlineStr"/>
      <c r="G517" s="25" t="inlineStr">
        <is>
          <t>Open</t>
        </is>
      </c>
      <c r="H517">
        <f>IFERROR(HYPERLINK("#Main!A"&amp;MATCH(A517,Main!A:A,0),"Open"),HYPERLINK("#Main!A1","Open"))</f>
        <v/>
      </c>
    </row>
    <row r="518" ht="30" customHeight="1">
      <c r="A518" s="33" t="inlineStr">
        <is>
          <t>https://africanmarketingconfederation.org/download-brochure/</t>
        </is>
      </c>
      <c r="B518" s="26" t="inlineStr">
        <is>
          <t>No Question Headings</t>
        </is>
      </c>
      <c r="C518" s="24" t="inlineStr">
        <is>
          <t>https://africanmarketingconfederation.org/download-brochure/::no_question_headings</t>
        </is>
      </c>
      <c r="D518" s="29" t="inlineStr">
        <is>
          <t>Info</t>
        </is>
      </c>
      <c r="E518" s="24" t="inlineStr">
        <is>
          <t>Copy Writer</t>
        </is>
      </c>
      <c r="F518" s="24" t="inlineStr"/>
      <c r="G518" s="25" t="inlineStr">
        <is>
          <t>Open</t>
        </is>
      </c>
      <c r="H518">
        <f>IFERROR(HYPERLINK("#Main!A"&amp;MATCH(A518,Main!A:A,0),"Open"),HYPERLINK("#Main!A1","Open"))</f>
        <v/>
      </c>
    </row>
    <row r="519" ht="30" customHeight="1">
      <c r="A519" s="33" t="inlineStr">
        <is>
          <t>https://africanmarketingconfederation.org/download-brochure/</t>
        </is>
      </c>
      <c r="B519" s="26" t="inlineStr">
        <is>
          <t>No Answer-Friendly Structure</t>
        </is>
      </c>
      <c r="C519" s="6" t="inlineStr">
        <is>
          <t>https://africanmarketingconfederation.org/download-brochure/::no_answer-friendly_structure</t>
        </is>
      </c>
      <c r="D519" s="29" t="inlineStr">
        <is>
          <t>Info</t>
        </is>
      </c>
      <c r="E519" s="6" t="inlineStr">
        <is>
          <t>Copy Writer</t>
        </is>
      </c>
      <c r="F519" s="6" t="inlineStr"/>
      <c r="G519" s="25" t="inlineStr">
        <is>
          <t>Open</t>
        </is>
      </c>
      <c r="H519">
        <f>IFERROR(HYPERLINK("#Main!A"&amp;MATCH(A519,Main!A:A,0),"Open"),HYPERLINK("#Main!A1","Open"))</f>
        <v/>
      </c>
    </row>
    <row r="520" ht="30" customHeight="1">
      <c r="A520" s="33" t="inlineStr">
        <is>
          <t>https://africanmarketingconfederation.org/download-brochure/</t>
        </is>
      </c>
      <c r="B520" s="26" t="inlineStr">
        <is>
          <t>No 40-60 Word Answer Paragraphs</t>
        </is>
      </c>
      <c r="C520" s="24" t="inlineStr">
        <is>
          <t>https://africanmarketingconfederation.org/download-brochure/::no_40-60_word_answer_paragraphs</t>
        </is>
      </c>
      <c r="D520" s="29" t="inlineStr">
        <is>
          <t>Info</t>
        </is>
      </c>
      <c r="E520" s="24" t="inlineStr">
        <is>
          <t>Copy Writer</t>
        </is>
      </c>
      <c r="F520" s="24" t="inlineStr"/>
      <c r="G520" s="25" t="inlineStr">
        <is>
          <t>Open</t>
        </is>
      </c>
      <c r="H520">
        <f>IFERROR(HYPERLINK("#Main!A"&amp;MATCH(A520,Main!A:A,0),"Open"),HYPERLINK("#Main!A1","Open"))</f>
        <v/>
      </c>
    </row>
    <row r="521" ht="30" customHeight="1">
      <c r="A521" s="33" t="inlineStr">
        <is>
          <t>https://africanmarketingconfederation.org/thank-you-for-the-nomination-2024/</t>
        </is>
      </c>
      <c r="B521" s="26" t="inlineStr">
        <is>
          <t>Missing H1</t>
        </is>
      </c>
      <c r="C521" s="6" t="inlineStr">
        <is>
          <t>https://africanmarketingconfederation.org/thank-you-for-the-nomination-2024/::missing_h1</t>
        </is>
      </c>
      <c r="D521" s="25" t="inlineStr">
        <is>
          <t>Warning</t>
        </is>
      </c>
      <c r="E521" s="6" t="inlineStr">
        <is>
          <t>Copy Writer</t>
        </is>
      </c>
      <c r="F521" s="6" t="inlineStr"/>
      <c r="G521" s="25" t="inlineStr">
        <is>
          <t>Open</t>
        </is>
      </c>
      <c r="H521">
        <f>IFERROR(HYPERLINK("#Main!A"&amp;MATCH(A521,Main!A:A,0),"Open"),HYPERLINK("#Main!A1","Open"))</f>
        <v/>
      </c>
    </row>
    <row r="522" ht="30" customHeight="1">
      <c r="A522" s="33" t="inlineStr">
        <is>
          <t>https://africanmarketingconfederation.org/thank-you-for-the-nomination-2024/</t>
        </is>
      </c>
      <c r="B522" s="26" t="inlineStr">
        <is>
          <t>Thin Content</t>
        </is>
      </c>
      <c r="C522" s="24" t="inlineStr">
        <is>
          <t>https://africanmarketingconfederation.org/thank-you-for-the-nomination-2024/::thin_content</t>
        </is>
      </c>
      <c r="D522" s="25" t="inlineStr">
        <is>
          <t>Warning</t>
        </is>
      </c>
      <c r="E522" s="24" t="inlineStr">
        <is>
          <t>Copy Writer</t>
        </is>
      </c>
      <c r="F522" s="24" t="inlineStr"/>
      <c r="G522" s="25" t="inlineStr">
        <is>
          <t>Open</t>
        </is>
      </c>
      <c r="H522">
        <f>IFERROR(HYPERLINK("#Main!A"&amp;MATCH(A522,Main!A:A,0),"Open"),HYPERLINK("#Main!A1","Open"))</f>
        <v/>
      </c>
    </row>
    <row r="523" ht="30" customHeight="1">
      <c r="A523" s="33" t="inlineStr">
        <is>
          <t>https://africanmarketingconfederation.org/thank-you-for-the-nomination-2024/</t>
        </is>
      </c>
      <c r="B523" s="26" t="inlineStr">
        <is>
          <t>Low AEO Readiness Score</t>
        </is>
      </c>
      <c r="C523" s="6" t="inlineStr">
        <is>
          <t>https://africanmarketingconfederation.org/thank-you-for-the-nomination-2024/::low_aeo_readiness_score</t>
        </is>
      </c>
      <c r="D523" s="25" t="inlineStr">
        <is>
          <t>Warning</t>
        </is>
      </c>
      <c r="E523" s="6" t="inlineStr">
        <is>
          <t>Copy Writer</t>
        </is>
      </c>
      <c r="F523" s="6" t="inlineStr"/>
      <c r="G523" s="25" t="inlineStr">
        <is>
          <t>Open</t>
        </is>
      </c>
      <c r="H523">
        <f>IFERROR(HYPERLINK("#Main!A"&amp;MATCH(A523,Main!A:A,0),"Open"),HYPERLINK("#Main!A1","Open"))</f>
        <v/>
      </c>
    </row>
    <row r="524" ht="30" customHeight="1">
      <c r="A524" s="33" t="inlineStr">
        <is>
          <t>https://africanmarketingconfederation.org/thank-you-for-the-nomination-2024/</t>
        </is>
      </c>
      <c r="B524" s="26" t="inlineStr">
        <is>
          <t>No Compression Header</t>
        </is>
      </c>
      <c r="C524" s="24" t="inlineStr">
        <is>
          <t>https://africanmarketingconfederation.org/thank-you-for-the-nomination-2024/::no_compression_header</t>
        </is>
      </c>
      <c r="D524" s="29" t="inlineStr">
        <is>
          <t>Info</t>
        </is>
      </c>
      <c r="E524" s="24" t="inlineStr">
        <is>
          <t>Server/Host</t>
        </is>
      </c>
      <c r="F524" s="24" t="inlineStr"/>
      <c r="G524" s="25" t="inlineStr">
        <is>
          <t>Open</t>
        </is>
      </c>
      <c r="H524">
        <f>IFERROR(HYPERLINK("#Main!A"&amp;MATCH(A524,Main!A:A,0),"Open"),HYPERLINK("#Main!A1","Open"))</f>
        <v/>
      </c>
    </row>
    <row r="525" ht="30" customHeight="1">
      <c r="A525" s="33" t="inlineStr">
        <is>
          <t>https://africanmarketingconfederation.org/thank-you-for-the-nomination-2024/</t>
        </is>
      </c>
      <c r="B525" s="26" t="inlineStr">
        <is>
          <t>No Cache-Control Header</t>
        </is>
      </c>
      <c r="C525" s="6" t="inlineStr">
        <is>
          <t>https://africanmarketingconfederation.org/thank-you-for-the-nomination-2024/::no_cache-control_header</t>
        </is>
      </c>
      <c r="D525" s="29" t="inlineStr">
        <is>
          <t>Info</t>
        </is>
      </c>
      <c r="E525" s="6" t="inlineStr">
        <is>
          <t>Server/Host</t>
        </is>
      </c>
      <c r="F525" s="6" t="inlineStr"/>
      <c r="G525" s="25" t="inlineStr">
        <is>
          <t>Open</t>
        </is>
      </c>
      <c r="H525">
        <f>IFERROR(HYPERLINK("#Main!A"&amp;MATCH(A525,Main!A:A,0),"Open"),HYPERLINK("#Main!A1","Open"))</f>
        <v/>
      </c>
    </row>
    <row r="526" ht="30" customHeight="1">
      <c r="A526" s="33" t="inlineStr">
        <is>
          <t>https://africanmarketingconfederation.org/thank-you-for-the-nomination-2024/</t>
        </is>
      </c>
      <c r="B526" s="26" t="inlineStr">
        <is>
          <t>No ETag Header</t>
        </is>
      </c>
      <c r="C526" s="24" t="inlineStr">
        <is>
          <t>https://africanmarketingconfederation.org/thank-you-for-the-nomination-2024/::no_etag_header</t>
        </is>
      </c>
      <c r="D526" s="29" t="inlineStr">
        <is>
          <t>Info</t>
        </is>
      </c>
      <c r="E526" s="24" t="inlineStr">
        <is>
          <t>Server/Host</t>
        </is>
      </c>
      <c r="F526" s="24" t="inlineStr"/>
      <c r="G526" s="25" t="inlineStr">
        <is>
          <t>Open</t>
        </is>
      </c>
      <c r="H526">
        <f>IFERROR(HYPERLINK("#Main!A"&amp;MATCH(A526,Main!A:A,0),"Open"),HYPERLINK("#Main!A1","Open"))</f>
        <v/>
      </c>
    </row>
    <row r="527" ht="30" customHeight="1">
      <c r="A527" s="33" t="inlineStr">
        <is>
          <t>https://africanmarketingconfederation.org/thank-you-for-the-nomination-2024/</t>
        </is>
      </c>
      <c r="B527" s="26" t="inlineStr">
        <is>
          <t>No FAQ/QA Schema</t>
        </is>
      </c>
      <c r="C527" s="6" t="inlineStr">
        <is>
          <t>https://africanmarketingconfederation.org/thank-you-for-the-nomination-2024/::no_faq_qa_schema</t>
        </is>
      </c>
      <c r="D527" s="29" t="inlineStr">
        <is>
          <t>Info</t>
        </is>
      </c>
      <c r="E527" s="6" t="inlineStr">
        <is>
          <t>Dev</t>
        </is>
      </c>
      <c r="F527" s="6" t="inlineStr"/>
      <c r="G527" s="25" t="inlineStr">
        <is>
          <t>Open</t>
        </is>
      </c>
      <c r="H527">
        <f>IFERROR(HYPERLINK("#Main!A"&amp;MATCH(A527,Main!A:A,0),"Open"),HYPERLINK("#Main!A1","Open"))</f>
        <v/>
      </c>
    </row>
    <row r="528" ht="30" customHeight="1">
      <c r="A528" s="33" t="inlineStr">
        <is>
          <t>https://africanmarketingconfederation.org/thank-you-for-the-nomination-2024/</t>
        </is>
      </c>
      <c r="B528" s="26" t="inlineStr">
        <is>
          <t>No Question Headings</t>
        </is>
      </c>
      <c r="C528" s="24" t="inlineStr">
        <is>
          <t>https://africanmarketingconfederation.org/thank-you-for-the-nomination-2024/::no_question_headings</t>
        </is>
      </c>
      <c r="D528" s="29" t="inlineStr">
        <is>
          <t>Info</t>
        </is>
      </c>
      <c r="E528" s="24" t="inlineStr">
        <is>
          <t>Copy Writer</t>
        </is>
      </c>
      <c r="F528" s="24" t="inlineStr"/>
      <c r="G528" s="25" t="inlineStr">
        <is>
          <t>Open</t>
        </is>
      </c>
      <c r="H528">
        <f>IFERROR(HYPERLINK("#Main!A"&amp;MATCH(A528,Main!A:A,0),"Open"),HYPERLINK("#Main!A1","Open"))</f>
        <v/>
      </c>
    </row>
    <row r="529" ht="30" customHeight="1">
      <c r="A529" s="33" t="inlineStr">
        <is>
          <t>https://africanmarketingconfederation.org/thank-you-for-the-nomination-2024/</t>
        </is>
      </c>
      <c r="B529" s="26" t="inlineStr">
        <is>
          <t>No Answer-Friendly Structure</t>
        </is>
      </c>
      <c r="C529" s="6" t="inlineStr">
        <is>
          <t>https://africanmarketingconfederation.org/thank-you-for-the-nomination-2024/::no_answer-friendly_structure</t>
        </is>
      </c>
      <c r="D529" s="29" t="inlineStr">
        <is>
          <t>Info</t>
        </is>
      </c>
      <c r="E529" s="6" t="inlineStr">
        <is>
          <t>Copy Writer</t>
        </is>
      </c>
      <c r="F529" s="6" t="inlineStr"/>
      <c r="G529" s="25" t="inlineStr">
        <is>
          <t>Open</t>
        </is>
      </c>
      <c r="H529">
        <f>IFERROR(HYPERLINK("#Main!A"&amp;MATCH(A529,Main!A:A,0),"Open"),HYPERLINK("#Main!A1","Open"))</f>
        <v/>
      </c>
    </row>
    <row r="530" ht="30" customHeight="1">
      <c r="A530" s="33" t="inlineStr">
        <is>
          <t>https://africanmarketingconfederation.org/thank-you-for-the-nomination-2024/</t>
        </is>
      </c>
      <c r="B530" s="26" t="inlineStr">
        <is>
          <t>No 40-60 Word Answer Paragraphs</t>
        </is>
      </c>
      <c r="C530" s="24" t="inlineStr">
        <is>
          <t>https://africanmarketingconfederation.org/thank-you-for-the-nomination-2024/::no_40-60_word_answer_paragraphs</t>
        </is>
      </c>
      <c r="D530" s="29" t="inlineStr">
        <is>
          <t>Info</t>
        </is>
      </c>
      <c r="E530" s="24" t="inlineStr">
        <is>
          <t>Copy Writer</t>
        </is>
      </c>
      <c r="F530" s="24" t="inlineStr"/>
      <c r="G530" s="25" t="inlineStr">
        <is>
          <t>Open</t>
        </is>
      </c>
      <c r="H530">
        <f>IFERROR(HYPERLINK("#Main!A"&amp;MATCH(A530,Main!A:A,0),"Open"),HYPERLINK("#Main!A1","Open"))</f>
        <v/>
      </c>
    </row>
    <row r="531" ht="30" customHeight="1">
      <c r="A531" s="33" t="inlineStr">
        <is>
          <t>https://africanmarketingconfederation.org/thank-you-for-the-submission-2024/</t>
        </is>
      </c>
      <c r="B531" s="26" t="inlineStr">
        <is>
          <t>Missing H1</t>
        </is>
      </c>
      <c r="C531" s="6" t="inlineStr">
        <is>
          <t>https://africanmarketingconfederation.org/thank-you-for-the-submission-2024/::missing_h1</t>
        </is>
      </c>
      <c r="D531" s="25" t="inlineStr">
        <is>
          <t>Warning</t>
        </is>
      </c>
      <c r="E531" s="6" t="inlineStr">
        <is>
          <t>Copy Writer</t>
        </is>
      </c>
      <c r="F531" s="6" t="inlineStr"/>
      <c r="G531" s="25" t="inlineStr">
        <is>
          <t>Open</t>
        </is>
      </c>
      <c r="H531">
        <f>IFERROR(HYPERLINK("#Main!A"&amp;MATCH(A531,Main!A:A,0),"Open"),HYPERLINK("#Main!A1","Open"))</f>
        <v/>
      </c>
    </row>
    <row r="532" ht="30" customHeight="1">
      <c r="A532" s="33" t="inlineStr">
        <is>
          <t>https://africanmarketingconfederation.org/thank-you-for-the-submission-2024/</t>
        </is>
      </c>
      <c r="B532" s="26" t="inlineStr">
        <is>
          <t>Thin Content</t>
        </is>
      </c>
      <c r="C532" s="24" t="inlineStr">
        <is>
          <t>https://africanmarketingconfederation.org/thank-you-for-the-submission-2024/::thin_content</t>
        </is>
      </c>
      <c r="D532" s="25" t="inlineStr">
        <is>
          <t>Warning</t>
        </is>
      </c>
      <c r="E532" s="24" t="inlineStr">
        <is>
          <t>Copy Writer</t>
        </is>
      </c>
      <c r="F532" s="24" t="inlineStr"/>
      <c r="G532" s="25" t="inlineStr">
        <is>
          <t>Open</t>
        </is>
      </c>
      <c r="H532">
        <f>IFERROR(HYPERLINK("#Main!A"&amp;MATCH(A532,Main!A:A,0),"Open"),HYPERLINK("#Main!A1","Open"))</f>
        <v/>
      </c>
    </row>
    <row r="533" ht="30" customHeight="1">
      <c r="A533" s="33" t="inlineStr">
        <is>
          <t>https://africanmarketingconfederation.org/thank-you-for-the-submission-2024/</t>
        </is>
      </c>
      <c r="B533" s="26" t="inlineStr">
        <is>
          <t>Low AEO Readiness Score</t>
        </is>
      </c>
      <c r="C533" s="6" t="inlineStr">
        <is>
          <t>https://africanmarketingconfederation.org/thank-you-for-the-submission-2024/::low_aeo_readiness_score</t>
        </is>
      </c>
      <c r="D533" s="25" t="inlineStr">
        <is>
          <t>Warning</t>
        </is>
      </c>
      <c r="E533" s="6" t="inlineStr">
        <is>
          <t>Copy Writer</t>
        </is>
      </c>
      <c r="F533" s="6" t="inlineStr"/>
      <c r="G533" s="25" t="inlineStr">
        <is>
          <t>Open</t>
        </is>
      </c>
      <c r="H533">
        <f>IFERROR(HYPERLINK("#Main!A"&amp;MATCH(A533,Main!A:A,0),"Open"),HYPERLINK("#Main!A1","Open"))</f>
        <v/>
      </c>
    </row>
    <row r="534" ht="30" customHeight="1">
      <c r="A534" s="33" t="inlineStr">
        <is>
          <t>https://africanmarketingconfederation.org/thank-you-for-the-submission-2024/</t>
        </is>
      </c>
      <c r="B534" s="26" t="inlineStr">
        <is>
          <t>No Compression Header</t>
        </is>
      </c>
      <c r="C534" s="24" t="inlineStr">
        <is>
          <t>https://africanmarketingconfederation.org/thank-you-for-the-submission-2024/::no_compression_header</t>
        </is>
      </c>
      <c r="D534" s="29" t="inlineStr">
        <is>
          <t>Info</t>
        </is>
      </c>
      <c r="E534" s="24" t="inlineStr">
        <is>
          <t>Server/Host</t>
        </is>
      </c>
      <c r="F534" s="24" t="inlineStr"/>
      <c r="G534" s="25" t="inlineStr">
        <is>
          <t>Open</t>
        </is>
      </c>
      <c r="H534">
        <f>IFERROR(HYPERLINK("#Main!A"&amp;MATCH(A534,Main!A:A,0),"Open"),HYPERLINK("#Main!A1","Open"))</f>
        <v/>
      </c>
    </row>
    <row r="535" ht="30" customHeight="1">
      <c r="A535" s="33" t="inlineStr">
        <is>
          <t>https://africanmarketingconfederation.org/thank-you-for-the-submission-2024/</t>
        </is>
      </c>
      <c r="B535" s="26" t="inlineStr">
        <is>
          <t>No Cache-Control Header</t>
        </is>
      </c>
      <c r="C535" s="6" t="inlineStr">
        <is>
          <t>https://africanmarketingconfederation.org/thank-you-for-the-submission-2024/::no_cache-control_header</t>
        </is>
      </c>
      <c r="D535" s="29" t="inlineStr">
        <is>
          <t>Info</t>
        </is>
      </c>
      <c r="E535" s="6" t="inlineStr">
        <is>
          <t>Server/Host</t>
        </is>
      </c>
      <c r="F535" s="6" t="inlineStr"/>
      <c r="G535" s="25" t="inlineStr">
        <is>
          <t>Open</t>
        </is>
      </c>
      <c r="H535">
        <f>IFERROR(HYPERLINK("#Main!A"&amp;MATCH(A535,Main!A:A,0),"Open"),HYPERLINK("#Main!A1","Open"))</f>
        <v/>
      </c>
    </row>
    <row r="536" ht="30" customHeight="1">
      <c r="A536" s="33" t="inlineStr">
        <is>
          <t>https://africanmarketingconfederation.org/thank-you-for-the-submission-2024/</t>
        </is>
      </c>
      <c r="B536" s="26" t="inlineStr">
        <is>
          <t>No ETag Header</t>
        </is>
      </c>
      <c r="C536" s="24" t="inlineStr">
        <is>
          <t>https://africanmarketingconfederation.org/thank-you-for-the-submission-2024/::no_etag_header</t>
        </is>
      </c>
      <c r="D536" s="29" t="inlineStr">
        <is>
          <t>Info</t>
        </is>
      </c>
      <c r="E536" s="24" t="inlineStr">
        <is>
          <t>Server/Host</t>
        </is>
      </c>
      <c r="F536" s="24" t="inlineStr"/>
      <c r="G536" s="25" t="inlineStr">
        <is>
          <t>Open</t>
        </is>
      </c>
      <c r="H536">
        <f>IFERROR(HYPERLINK("#Main!A"&amp;MATCH(A536,Main!A:A,0),"Open"),HYPERLINK("#Main!A1","Open"))</f>
        <v/>
      </c>
    </row>
    <row r="537" ht="30" customHeight="1">
      <c r="A537" s="33" t="inlineStr">
        <is>
          <t>https://africanmarketingconfederation.org/thank-you-for-the-submission-2024/</t>
        </is>
      </c>
      <c r="B537" s="26" t="inlineStr">
        <is>
          <t>No FAQ/QA Schema</t>
        </is>
      </c>
      <c r="C537" s="6" t="inlineStr">
        <is>
          <t>https://africanmarketingconfederation.org/thank-you-for-the-submission-2024/::no_faq_qa_schema</t>
        </is>
      </c>
      <c r="D537" s="29" t="inlineStr">
        <is>
          <t>Info</t>
        </is>
      </c>
      <c r="E537" s="6" t="inlineStr">
        <is>
          <t>Dev</t>
        </is>
      </c>
      <c r="F537" s="6" t="inlineStr"/>
      <c r="G537" s="25" t="inlineStr">
        <is>
          <t>Open</t>
        </is>
      </c>
      <c r="H537">
        <f>IFERROR(HYPERLINK("#Main!A"&amp;MATCH(A537,Main!A:A,0),"Open"),HYPERLINK("#Main!A1","Open"))</f>
        <v/>
      </c>
    </row>
    <row r="538" ht="30" customHeight="1">
      <c r="A538" s="33" t="inlineStr">
        <is>
          <t>https://africanmarketingconfederation.org/thank-you-for-the-submission-2024/</t>
        </is>
      </c>
      <c r="B538" s="26" t="inlineStr">
        <is>
          <t>No Question Headings</t>
        </is>
      </c>
      <c r="C538" s="24" t="inlineStr">
        <is>
          <t>https://africanmarketingconfederation.org/thank-you-for-the-submission-2024/::no_question_headings</t>
        </is>
      </c>
      <c r="D538" s="29" t="inlineStr">
        <is>
          <t>Info</t>
        </is>
      </c>
      <c r="E538" s="24" t="inlineStr">
        <is>
          <t>Copy Writer</t>
        </is>
      </c>
      <c r="F538" s="24" t="inlineStr"/>
      <c r="G538" s="25" t="inlineStr">
        <is>
          <t>Open</t>
        </is>
      </c>
      <c r="H538">
        <f>IFERROR(HYPERLINK("#Main!A"&amp;MATCH(A538,Main!A:A,0),"Open"),HYPERLINK("#Main!A1","Open"))</f>
        <v/>
      </c>
    </row>
    <row r="539" ht="30" customHeight="1">
      <c r="A539" s="33" t="inlineStr">
        <is>
          <t>https://africanmarketingconfederation.org/thank-you-for-the-submission-2024/</t>
        </is>
      </c>
      <c r="B539" s="26" t="inlineStr">
        <is>
          <t>No Answer-Friendly Structure</t>
        </is>
      </c>
      <c r="C539" s="6" t="inlineStr">
        <is>
          <t>https://africanmarketingconfederation.org/thank-you-for-the-submission-2024/::no_answer-friendly_structure</t>
        </is>
      </c>
      <c r="D539" s="29" t="inlineStr">
        <is>
          <t>Info</t>
        </is>
      </c>
      <c r="E539" s="6" t="inlineStr">
        <is>
          <t>Copy Writer</t>
        </is>
      </c>
      <c r="F539" s="6" t="inlineStr"/>
      <c r="G539" s="25" t="inlineStr">
        <is>
          <t>Open</t>
        </is>
      </c>
      <c r="H539">
        <f>IFERROR(HYPERLINK("#Main!A"&amp;MATCH(A539,Main!A:A,0),"Open"),HYPERLINK("#Main!A1","Open"))</f>
        <v/>
      </c>
    </row>
    <row r="540" ht="30" customHeight="1">
      <c r="A540" s="33" t="inlineStr">
        <is>
          <t>https://africanmarketingconfederation.org/thank-you-for-the-submission-2024/</t>
        </is>
      </c>
      <c r="B540" s="26" t="inlineStr">
        <is>
          <t>No 40-60 Word Answer Paragraphs</t>
        </is>
      </c>
      <c r="C540" s="24" t="inlineStr">
        <is>
          <t>https://africanmarketingconfederation.org/thank-you-for-the-submission-2024/::no_40-60_word_answer_paragraphs</t>
        </is>
      </c>
      <c r="D540" s="29" t="inlineStr">
        <is>
          <t>Info</t>
        </is>
      </c>
      <c r="E540" s="24" t="inlineStr">
        <is>
          <t>Copy Writer</t>
        </is>
      </c>
      <c r="F540" s="24" t="inlineStr"/>
      <c r="G540" s="25" t="inlineStr">
        <is>
          <t>Open</t>
        </is>
      </c>
      <c r="H540">
        <f>IFERROR(HYPERLINK("#Main!A"&amp;MATCH(A540,Main!A:A,0),"Open"),HYPERLINK("#Main!A1","Open"))</f>
        <v/>
      </c>
    </row>
    <row r="541" ht="30" customHeight="1">
      <c r="A541" s="33" t="inlineStr">
        <is>
          <t>https://africanmarketingconfederation.org/amc-conference-2024-sponsors-packages/</t>
        </is>
      </c>
      <c r="B541" s="26" t="inlineStr">
        <is>
          <t>Thin Content</t>
        </is>
      </c>
      <c r="C541" s="6" t="inlineStr">
        <is>
          <t>https://africanmarketingconfederation.org/amc-conference-2024-sponsors-packages/::thin_content</t>
        </is>
      </c>
      <c r="D541" s="25" t="inlineStr">
        <is>
          <t>Warning</t>
        </is>
      </c>
      <c r="E541" s="6" t="inlineStr">
        <is>
          <t>Copy Writer</t>
        </is>
      </c>
      <c r="F541" s="6" t="inlineStr"/>
      <c r="G541" s="25" t="inlineStr">
        <is>
          <t>Open</t>
        </is>
      </c>
      <c r="H541">
        <f>IFERROR(HYPERLINK("#Main!A"&amp;MATCH(A541,Main!A:A,0),"Open"),HYPERLINK("#Main!A1","Open"))</f>
        <v/>
      </c>
    </row>
    <row r="542" ht="30" customHeight="1">
      <c r="A542" s="33" t="inlineStr">
        <is>
          <t>https://africanmarketingconfederation.org/amc-conference-2024-sponsors-packages/</t>
        </is>
      </c>
      <c r="B542" s="26" t="inlineStr">
        <is>
          <t>Low AEO Readiness Score</t>
        </is>
      </c>
      <c r="C542" s="24" t="inlineStr">
        <is>
          <t>https://africanmarketingconfederation.org/amc-conference-2024-sponsors-packages/::low_aeo_readiness_score</t>
        </is>
      </c>
      <c r="D542" s="25" t="inlineStr">
        <is>
          <t>Warning</t>
        </is>
      </c>
      <c r="E542" s="24" t="inlineStr">
        <is>
          <t>Copy Writer</t>
        </is>
      </c>
      <c r="F542" s="24" t="inlineStr"/>
      <c r="G542" s="25" t="inlineStr">
        <is>
          <t>Open</t>
        </is>
      </c>
      <c r="H542">
        <f>IFERROR(HYPERLINK("#Main!A"&amp;MATCH(A542,Main!A:A,0),"Open"),HYPERLINK("#Main!A1","Open"))</f>
        <v/>
      </c>
    </row>
    <row r="543" ht="30" customHeight="1">
      <c r="A543" s="33" t="inlineStr">
        <is>
          <t>https://africanmarketingconfederation.org/amc-conference-2024-sponsors-packages/</t>
        </is>
      </c>
      <c r="B543" s="26" t="inlineStr">
        <is>
          <t>No Compression Header</t>
        </is>
      </c>
      <c r="C543" s="6" t="inlineStr">
        <is>
          <t>https://africanmarketingconfederation.org/amc-conference-2024-sponsors-packages/::no_compression_header</t>
        </is>
      </c>
      <c r="D543" s="29" t="inlineStr">
        <is>
          <t>Info</t>
        </is>
      </c>
      <c r="E543" s="6" t="inlineStr">
        <is>
          <t>Server/Host</t>
        </is>
      </c>
      <c r="F543" s="6" t="inlineStr"/>
      <c r="G543" s="25" t="inlineStr">
        <is>
          <t>Open</t>
        </is>
      </c>
      <c r="H543">
        <f>IFERROR(HYPERLINK("#Main!A"&amp;MATCH(A543,Main!A:A,0),"Open"),HYPERLINK("#Main!A1","Open"))</f>
        <v/>
      </c>
    </row>
    <row r="544" ht="30" customHeight="1">
      <c r="A544" s="33" t="inlineStr">
        <is>
          <t>https://africanmarketingconfederation.org/amc-conference-2024-sponsors-packages/</t>
        </is>
      </c>
      <c r="B544" s="26" t="inlineStr">
        <is>
          <t>No Cache-Control Header</t>
        </is>
      </c>
      <c r="C544" s="24" t="inlineStr">
        <is>
          <t>https://africanmarketingconfederation.org/amc-conference-2024-sponsors-packages/::no_cache-control_header</t>
        </is>
      </c>
      <c r="D544" s="29" t="inlineStr">
        <is>
          <t>Info</t>
        </is>
      </c>
      <c r="E544" s="24" t="inlineStr">
        <is>
          <t>Server/Host</t>
        </is>
      </c>
      <c r="F544" s="24" t="inlineStr"/>
      <c r="G544" s="25" t="inlineStr">
        <is>
          <t>Open</t>
        </is>
      </c>
      <c r="H544">
        <f>IFERROR(HYPERLINK("#Main!A"&amp;MATCH(A544,Main!A:A,0),"Open"),HYPERLINK("#Main!A1","Open"))</f>
        <v/>
      </c>
    </row>
    <row r="545" ht="30" customHeight="1">
      <c r="A545" s="33" t="inlineStr">
        <is>
          <t>https://africanmarketingconfederation.org/amc-conference-2024-sponsors-packages/</t>
        </is>
      </c>
      <c r="B545" s="26" t="inlineStr">
        <is>
          <t>No ETag Header</t>
        </is>
      </c>
      <c r="C545" s="6" t="inlineStr">
        <is>
          <t>https://africanmarketingconfederation.org/amc-conference-2024-sponsors-packages/::no_etag_header</t>
        </is>
      </c>
      <c r="D545" s="29" t="inlineStr">
        <is>
          <t>Info</t>
        </is>
      </c>
      <c r="E545" s="6" t="inlineStr">
        <is>
          <t>Server/Host</t>
        </is>
      </c>
      <c r="F545" s="6" t="inlineStr"/>
      <c r="G545" s="25" t="inlineStr">
        <is>
          <t>Open</t>
        </is>
      </c>
      <c r="H545">
        <f>IFERROR(HYPERLINK("#Main!A"&amp;MATCH(A545,Main!A:A,0),"Open"),HYPERLINK("#Main!A1","Open"))</f>
        <v/>
      </c>
    </row>
    <row r="546" ht="30" customHeight="1">
      <c r="A546" s="33" t="inlineStr">
        <is>
          <t>https://africanmarketingconfederation.org/amc-conference-2024-sponsors-packages/</t>
        </is>
      </c>
      <c r="B546" s="26" t="inlineStr">
        <is>
          <t>No FAQ/QA Schema</t>
        </is>
      </c>
      <c r="C546" s="24" t="inlineStr">
        <is>
          <t>https://africanmarketingconfederation.org/amc-conference-2024-sponsors-packages/::no_faq_qa_schema</t>
        </is>
      </c>
      <c r="D546" s="29" t="inlineStr">
        <is>
          <t>Info</t>
        </is>
      </c>
      <c r="E546" s="24" t="inlineStr">
        <is>
          <t>Dev</t>
        </is>
      </c>
      <c r="F546" s="24" t="inlineStr"/>
      <c r="G546" s="25" t="inlineStr">
        <is>
          <t>Open</t>
        </is>
      </c>
      <c r="H546">
        <f>IFERROR(HYPERLINK("#Main!A"&amp;MATCH(A546,Main!A:A,0),"Open"),HYPERLINK("#Main!A1","Open"))</f>
        <v/>
      </c>
    </row>
    <row r="547" ht="30" customHeight="1">
      <c r="A547" s="33" t="inlineStr">
        <is>
          <t>https://africanmarketingconfederation.org/amc-conference-2024-sponsors-packages/</t>
        </is>
      </c>
      <c r="B547" s="26" t="inlineStr">
        <is>
          <t>No Question Headings</t>
        </is>
      </c>
      <c r="C547" s="6" t="inlineStr">
        <is>
          <t>https://africanmarketingconfederation.org/amc-conference-2024-sponsors-packages/::no_question_headings</t>
        </is>
      </c>
      <c r="D547" s="29" t="inlineStr">
        <is>
          <t>Info</t>
        </is>
      </c>
      <c r="E547" s="6" t="inlineStr">
        <is>
          <t>Copy Writer</t>
        </is>
      </c>
      <c r="F547" s="6" t="inlineStr"/>
      <c r="G547" s="25" t="inlineStr">
        <is>
          <t>Open</t>
        </is>
      </c>
      <c r="H547">
        <f>IFERROR(HYPERLINK("#Main!A"&amp;MATCH(A547,Main!A:A,0),"Open"),HYPERLINK("#Main!A1","Open"))</f>
        <v/>
      </c>
    </row>
    <row r="548" ht="30" customHeight="1">
      <c r="A548" s="33" t="inlineStr">
        <is>
          <t>https://africanmarketingconfederation.org/amc-conference-2024-sponsors-packages/</t>
        </is>
      </c>
      <c r="B548" s="26" t="inlineStr">
        <is>
          <t>No Answer-Friendly Structure</t>
        </is>
      </c>
      <c r="C548" s="24" t="inlineStr">
        <is>
          <t>https://africanmarketingconfederation.org/amc-conference-2024-sponsors-packages/::no_answer-friendly_structure</t>
        </is>
      </c>
      <c r="D548" s="29" t="inlineStr">
        <is>
          <t>Info</t>
        </is>
      </c>
      <c r="E548" s="24" t="inlineStr">
        <is>
          <t>Copy Writer</t>
        </is>
      </c>
      <c r="F548" s="24" t="inlineStr"/>
      <c r="G548" s="25" t="inlineStr">
        <is>
          <t>Open</t>
        </is>
      </c>
      <c r="H548">
        <f>IFERROR(HYPERLINK("#Main!A"&amp;MATCH(A548,Main!A:A,0),"Open"),HYPERLINK("#Main!A1","Open"))</f>
        <v/>
      </c>
    </row>
    <row r="549" ht="30" customHeight="1">
      <c r="A549" s="33" t="inlineStr">
        <is>
          <t>https://africanmarketingconfederation.org/amc-conference-2024-sponsors-packages/</t>
        </is>
      </c>
      <c r="B549" s="26" t="inlineStr">
        <is>
          <t>No 40-60 Word Answer Paragraphs</t>
        </is>
      </c>
      <c r="C549" s="6" t="inlineStr">
        <is>
          <t>https://africanmarketingconfederation.org/amc-conference-2024-sponsors-packages/::no_40-60_word_answer_paragraphs</t>
        </is>
      </c>
      <c r="D549" s="29" t="inlineStr">
        <is>
          <t>Info</t>
        </is>
      </c>
      <c r="E549" s="6" t="inlineStr">
        <is>
          <t>Copy Writer</t>
        </is>
      </c>
      <c r="F549" s="6" t="inlineStr"/>
      <c r="G549" s="25" t="inlineStr">
        <is>
          <t>Open</t>
        </is>
      </c>
      <c r="H549">
        <f>IFERROR(HYPERLINK("#Main!A"&amp;MATCH(A549,Main!A:A,0),"Open"),HYPERLINK("#Main!A1","Open"))</f>
        <v/>
      </c>
    </row>
    <row r="550" ht="30" customHeight="1">
      <c r="A550" s="33" t="inlineStr">
        <is>
          <t>https://africanmarketingconfederation.org/elementor-16548/</t>
        </is>
      </c>
      <c r="B550" s="26" t="inlineStr">
        <is>
          <t>Missing H1</t>
        </is>
      </c>
      <c r="C550" s="24" t="inlineStr">
        <is>
          <t>https://africanmarketingconfederation.org/elementor-16548/::missing_h1</t>
        </is>
      </c>
      <c r="D550" s="25" t="inlineStr">
        <is>
          <t>Warning</t>
        </is>
      </c>
      <c r="E550" s="24" t="inlineStr">
        <is>
          <t>Copy Writer</t>
        </is>
      </c>
      <c r="F550" s="24" t="inlineStr"/>
      <c r="G550" s="25" t="inlineStr">
        <is>
          <t>Open</t>
        </is>
      </c>
      <c r="H550">
        <f>IFERROR(HYPERLINK("#Main!A"&amp;MATCH(A550,Main!A:A,0),"Open"),HYPERLINK("#Main!A1","Open"))</f>
        <v/>
      </c>
    </row>
    <row r="551" ht="30" customHeight="1">
      <c r="A551" s="33" t="inlineStr">
        <is>
          <t>https://africanmarketingconfederation.org/elementor-16548/</t>
        </is>
      </c>
      <c r="B551" s="26" t="inlineStr">
        <is>
          <t>Thin Content</t>
        </is>
      </c>
      <c r="C551" s="6" t="inlineStr">
        <is>
          <t>https://africanmarketingconfederation.org/elementor-16548/::thin_content</t>
        </is>
      </c>
      <c r="D551" s="25" t="inlineStr">
        <is>
          <t>Warning</t>
        </is>
      </c>
      <c r="E551" s="6" t="inlineStr">
        <is>
          <t>Copy Writer</t>
        </is>
      </c>
      <c r="F551" s="6" t="inlineStr"/>
      <c r="G551" s="25" t="inlineStr">
        <is>
          <t>Open</t>
        </is>
      </c>
      <c r="H551">
        <f>IFERROR(HYPERLINK("#Main!A"&amp;MATCH(A551,Main!A:A,0),"Open"),HYPERLINK("#Main!A1","Open"))</f>
        <v/>
      </c>
    </row>
    <row r="552" ht="30" customHeight="1">
      <c r="A552" s="33" t="inlineStr">
        <is>
          <t>https://africanmarketingconfederation.org/elementor-16548/</t>
        </is>
      </c>
      <c r="B552" s="26" t="inlineStr">
        <is>
          <t>Low AEO Readiness Score</t>
        </is>
      </c>
      <c r="C552" s="24" t="inlineStr">
        <is>
          <t>https://africanmarketingconfederation.org/elementor-16548/::low_aeo_readiness_score</t>
        </is>
      </c>
      <c r="D552" s="25" t="inlineStr">
        <is>
          <t>Warning</t>
        </is>
      </c>
      <c r="E552" s="24" t="inlineStr">
        <is>
          <t>Copy Writer</t>
        </is>
      </c>
      <c r="F552" s="24" t="inlineStr"/>
      <c r="G552" s="25" t="inlineStr">
        <is>
          <t>Open</t>
        </is>
      </c>
      <c r="H552">
        <f>IFERROR(HYPERLINK("#Main!A"&amp;MATCH(A552,Main!A:A,0),"Open"),HYPERLINK("#Main!A1","Open"))</f>
        <v/>
      </c>
    </row>
    <row r="553" ht="30" customHeight="1">
      <c r="A553" s="33" t="inlineStr">
        <is>
          <t>https://africanmarketingconfederation.org/elementor-16548/</t>
        </is>
      </c>
      <c r="B553" s="26" t="inlineStr">
        <is>
          <t>No Compression Header</t>
        </is>
      </c>
      <c r="C553" s="6" t="inlineStr">
        <is>
          <t>https://africanmarketingconfederation.org/elementor-16548/::no_compression_header</t>
        </is>
      </c>
      <c r="D553" s="29" t="inlineStr">
        <is>
          <t>Info</t>
        </is>
      </c>
      <c r="E553" s="6" t="inlineStr">
        <is>
          <t>Server/Host</t>
        </is>
      </c>
      <c r="F553" s="6" t="inlineStr"/>
      <c r="G553" s="25" t="inlineStr">
        <is>
          <t>Open</t>
        </is>
      </c>
      <c r="H553">
        <f>IFERROR(HYPERLINK("#Main!A"&amp;MATCH(A553,Main!A:A,0),"Open"),HYPERLINK("#Main!A1","Open"))</f>
        <v/>
      </c>
    </row>
    <row r="554" ht="30" customHeight="1">
      <c r="A554" s="33" t="inlineStr">
        <is>
          <t>https://africanmarketingconfederation.org/elementor-16548/</t>
        </is>
      </c>
      <c r="B554" s="26" t="inlineStr">
        <is>
          <t>No Cache-Control Header</t>
        </is>
      </c>
      <c r="C554" s="24" t="inlineStr">
        <is>
          <t>https://africanmarketingconfederation.org/elementor-16548/::no_cache-control_header</t>
        </is>
      </c>
      <c r="D554" s="29" t="inlineStr">
        <is>
          <t>Info</t>
        </is>
      </c>
      <c r="E554" s="24" t="inlineStr">
        <is>
          <t>Server/Host</t>
        </is>
      </c>
      <c r="F554" s="24" t="inlineStr"/>
      <c r="G554" s="25" t="inlineStr">
        <is>
          <t>Open</t>
        </is>
      </c>
      <c r="H554">
        <f>IFERROR(HYPERLINK("#Main!A"&amp;MATCH(A554,Main!A:A,0),"Open"),HYPERLINK("#Main!A1","Open"))</f>
        <v/>
      </c>
    </row>
    <row r="555" ht="30" customHeight="1">
      <c r="A555" s="33" t="inlineStr">
        <is>
          <t>https://africanmarketingconfederation.org/elementor-16548/</t>
        </is>
      </c>
      <c r="B555" s="26" t="inlineStr">
        <is>
          <t>No ETag Header</t>
        </is>
      </c>
      <c r="C555" s="6" t="inlineStr">
        <is>
          <t>https://africanmarketingconfederation.org/elementor-16548/::no_etag_header</t>
        </is>
      </c>
      <c r="D555" s="29" t="inlineStr">
        <is>
          <t>Info</t>
        </is>
      </c>
      <c r="E555" s="6" t="inlineStr">
        <is>
          <t>Server/Host</t>
        </is>
      </c>
      <c r="F555" s="6" t="inlineStr"/>
      <c r="G555" s="25" t="inlineStr">
        <is>
          <t>Open</t>
        </is>
      </c>
      <c r="H555">
        <f>IFERROR(HYPERLINK("#Main!A"&amp;MATCH(A555,Main!A:A,0),"Open"),HYPERLINK("#Main!A1","Open"))</f>
        <v/>
      </c>
    </row>
    <row r="556" ht="30" customHeight="1">
      <c r="A556" s="33" t="inlineStr">
        <is>
          <t>https://africanmarketingconfederation.org/elementor-16548/</t>
        </is>
      </c>
      <c r="B556" s="26" t="inlineStr">
        <is>
          <t>No FAQ/QA Schema</t>
        </is>
      </c>
      <c r="C556" s="24" t="inlineStr">
        <is>
          <t>https://africanmarketingconfederation.org/elementor-16548/::no_faq_qa_schema</t>
        </is>
      </c>
      <c r="D556" s="29" t="inlineStr">
        <is>
          <t>Info</t>
        </is>
      </c>
      <c r="E556" s="24" t="inlineStr">
        <is>
          <t>Dev</t>
        </is>
      </c>
      <c r="F556" s="24" t="inlineStr"/>
      <c r="G556" s="25" t="inlineStr">
        <is>
          <t>Open</t>
        </is>
      </c>
      <c r="H556">
        <f>IFERROR(HYPERLINK("#Main!A"&amp;MATCH(A556,Main!A:A,0),"Open"),HYPERLINK("#Main!A1","Open"))</f>
        <v/>
      </c>
    </row>
    <row r="557" ht="30" customHeight="1">
      <c r="A557" s="33" t="inlineStr">
        <is>
          <t>https://africanmarketingconfederation.org/elementor-16548/</t>
        </is>
      </c>
      <c r="B557" s="26" t="inlineStr">
        <is>
          <t>No Question Headings</t>
        </is>
      </c>
      <c r="C557" s="6" t="inlineStr">
        <is>
          <t>https://africanmarketingconfederation.org/elementor-16548/::no_question_headings</t>
        </is>
      </c>
      <c r="D557" s="29" t="inlineStr">
        <is>
          <t>Info</t>
        </is>
      </c>
      <c r="E557" s="6" t="inlineStr">
        <is>
          <t>Copy Writer</t>
        </is>
      </c>
      <c r="F557" s="6" t="inlineStr"/>
      <c r="G557" s="25" t="inlineStr">
        <is>
          <t>Open</t>
        </is>
      </c>
      <c r="H557">
        <f>IFERROR(HYPERLINK("#Main!A"&amp;MATCH(A557,Main!A:A,0),"Open"),HYPERLINK("#Main!A1","Open"))</f>
        <v/>
      </c>
    </row>
    <row r="558" ht="30" customHeight="1">
      <c r="A558" s="33" t="inlineStr">
        <is>
          <t>https://africanmarketingconfederation.org/elementor-16548/</t>
        </is>
      </c>
      <c r="B558" s="26" t="inlineStr">
        <is>
          <t>No Answer-Friendly Structure</t>
        </is>
      </c>
      <c r="C558" s="24" t="inlineStr">
        <is>
          <t>https://africanmarketingconfederation.org/elementor-16548/::no_answer-friendly_structure</t>
        </is>
      </c>
      <c r="D558" s="29" t="inlineStr">
        <is>
          <t>Info</t>
        </is>
      </c>
      <c r="E558" s="24" t="inlineStr">
        <is>
          <t>Copy Writer</t>
        </is>
      </c>
      <c r="F558" s="24" t="inlineStr"/>
      <c r="G558" s="25" t="inlineStr">
        <is>
          <t>Open</t>
        </is>
      </c>
      <c r="H558">
        <f>IFERROR(HYPERLINK("#Main!A"&amp;MATCH(A558,Main!A:A,0),"Open"),HYPERLINK("#Main!A1","Open"))</f>
        <v/>
      </c>
    </row>
    <row r="559" ht="30" customHeight="1">
      <c r="A559" s="33" t="inlineStr">
        <is>
          <t>https://africanmarketingconfederation.org/elementor-16548/</t>
        </is>
      </c>
      <c r="B559" s="26" t="inlineStr">
        <is>
          <t>No 40-60 Word Answer Paragraphs</t>
        </is>
      </c>
      <c r="C559" s="6" t="inlineStr">
        <is>
          <t>https://africanmarketingconfederation.org/elementor-16548/::no_40-60_word_answer_paragraphs</t>
        </is>
      </c>
      <c r="D559" s="29" t="inlineStr">
        <is>
          <t>Info</t>
        </is>
      </c>
      <c r="E559" s="6" t="inlineStr">
        <is>
          <t>Copy Writer</t>
        </is>
      </c>
      <c r="F559" s="6" t="inlineStr"/>
      <c r="G559" s="25" t="inlineStr">
        <is>
          <t>Open</t>
        </is>
      </c>
      <c r="H559">
        <f>IFERROR(HYPERLINK("#Main!A"&amp;MATCH(A559,Main!A:A,0),"Open"),HYPERLINK("#Main!A1","Open"))</f>
        <v/>
      </c>
    </row>
    <row r="560" ht="30" customHeight="1">
      <c r="A560" s="33" t="inlineStr">
        <is>
          <t>https://africanmarketingconfederation.org/amc-marketing-conference-2024/programme-2024/</t>
        </is>
      </c>
      <c r="B560" s="26" t="inlineStr">
        <is>
          <t>Low AEO Readiness Score</t>
        </is>
      </c>
      <c r="C560" s="24" t="inlineStr">
        <is>
          <t>https://africanmarketingconfederation.org/amc-marketing-conference-2024/programme-2024/::low_aeo_readiness_score</t>
        </is>
      </c>
      <c r="D560" s="25" t="inlineStr">
        <is>
          <t>Warning</t>
        </is>
      </c>
      <c r="E560" s="24" t="inlineStr">
        <is>
          <t>Copy Writer</t>
        </is>
      </c>
      <c r="F560" s="24" t="inlineStr"/>
      <c r="G560" s="25" t="inlineStr">
        <is>
          <t>Open</t>
        </is>
      </c>
      <c r="H560">
        <f>IFERROR(HYPERLINK("#Main!A"&amp;MATCH(A560,Main!A:A,0),"Open"),HYPERLINK("#Main!A1","Open"))</f>
        <v/>
      </c>
    </row>
    <row r="561" ht="30" customHeight="1">
      <c r="A561" s="33" t="inlineStr">
        <is>
          <t>https://africanmarketingconfederation.org/amc-marketing-conference-2024/programme-2024/</t>
        </is>
      </c>
      <c r="B561" s="26" t="inlineStr">
        <is>
          <t>No Compression Header</t>
        </is>
      </c>
      <c r="C561" s="6" t="inlineStr">
        <is>
          <t>https://africanmarketingconfederation.org/amc-marketing-conference-2024/programme-2024/::no_compression_header</t>
        </is>
      </c>
      <c r="D561" s="29" t="inlineStr">
        <is>
          <t>Info</t>
        </is>
      </c>
      <c r="E561" s="6" t="inlineStr">
        <is>
          <t>Server/Host</t>
        </is>
      </c>
      <c r="F561" s="6" t="inlineStr"/>
      <c r="G561" s="25" t="inlineStr">
        <is>
          <t>Open</t>
        </is>
      </c>
      <c r="H561">
        <f>IFERROR(HYPERLINK("#Main!A"&amp;MATCH(A561,Main!A:A,0),"Open"),HYPERLINK("#Main!A1","Open"))</f>
        <v/>
      </c>
    </row>
    <row r="562" ht="30" customHeight="1">
      <c r="A562" s="33" t="inlineStr">
        <is>
          <t>https://africanmarketingconfederation.org/amc-marketing-conference-2024/programme-2024/</t>
        </is>
      </c>
      <c r="B562" s="26" t="inlineStr">
        <is>
          <t>No Cache-Control Header</t>
        </is>
      </c>
      <c r="C562" s="24" t="inlineStr">
        <is>
          <t>https://africanmarketingconfederation.org/amc-marketing-conference-2024/programme-2024/::no_cache-control_header</t>
        </is>
      </c>
      <c r="D562" s="29" t="inlineStr">
        <is>
          <t>Info</t>
        </is>
      </c>
      <c r="E562" s="24" t="inlineStr">
        <is>
          <t>Server/Host</t>
        </is>
      </c>
      <c r="F562" s="24" t="inlineStr"/>
      <c r="G562" s="25" t="inlineStr">
        <is>
          <t>Open</t>
        </is>
      </c>
      <c r="H562">
        <f>IFERROR(HYPERLINK("#Main!A"&amp;MATCH(A562,Main!A:A,0),"Open"),HYPERLINK("#Main!A1","Open"))</f>
        <v/>
      </c>
    </row>
    <row r="563" ht="30" customHeight="1">
      <c r="A563" s="33" t="inlineStr">
        <is>
          <t>https://africanmarketingconfederation.org/amc-marketing-conference-2024/programme-2024/</t>
        </is>
      </c>
      <c r="B563" s="26" t="inlineStr">
        <is>
          <t>No ETag Header</t>
        </is>
      </c>
      <c r="C563" s="6" t="inlineStr">
        <is>
          <t>https://africanmarketingconfederation.org/amc-marketing-conference-2024/programme-2024/::no_etag_header</t>
        </is>
      </c>
      <c r="D563" s="29" t="inlineStr">
        <is>
          <t>Info</t>
        </is>
      </c>
      <c r="E563" s="6" t="inlineStr">
        <is>
          <t>Server/Host</t>
        </is>
      </c>
      <c r="F563" s="6" t="inlineStr"/>
      <c r="G563" s="25" t="inlineStr">
        <is>
          <t>Open</t>
        </is>
      </c>
      <c r="H563">
        <f>IFERROR(HYPERLINK("#Main!A"&amp;MATCH(A563,Main!A:A,0),"Open"),HYPERLINK("#Main!A1","Open"))</f>
        <v/>
      </c>
    </row>
    <row r="564" ht="30" customHeight="1">
      <c r="A564" s="33" t="inlineStr">
        <is>
          <t>https://africanmarketingconfederation.org/amc-marketing-conference-2024/programme-2024/</t>
        </is>
      </c>
      <c r="B564" s="26" t="inlineStr">
        <is>
          <t>No FAQ/QA Schema</t>
        </is>
      </c>
      <c r="C564" s="24" t="inlineStr">
        <is>
          <t>https://africanmarketingconfederation.org/amc-marketing-conference-2024/programme-2024/::no_faq_qa_schema</t>
        </is>
      </c>
      <c r="D564" s="29" t="inlineStr">
        <is>
          <t>Info</t>
        </is>
      </c>
      <c r="E564" s="24" t="inlineStr">
        <is>
          <t>Dev</t>
        </is>
      </c>
      <c r="F564" s="24" t="inlineStr"/>
      <c r="G564" s="25" t="inlineStr">
        <is>
          <t>Open</t>
        </is>
      </c>
      <c r="H564">
        <f>IFERROR(HYPERLINK("#Main!A"&amp;MATCH(A564,Main!A:A,0),"Open"),HYPERLINK("#Main!A1","Open"))</f>
        <v/>
      </c>
    </row>
    <row r="565" ht="30" customHeight="1">
      <c r="A565" s="33" t="inlineStr">
        <is>
          <t>https://africanmarketingconfederation.org/amc-marketing-conference-2024/programme-2024/</t>
        </is>
      </c>
      <c r="B565" s="26" t="inlineStr">
        <is>
          <t>No Question Headings</t>
        </is>
      </c>
      <c r="C565" s="6" t="inlineStr">
        <is>
          <t>https://africanmarketingconfederation.org/amc-marketing-conference-2024/programme-2024/::no_question_headings</t>
        </is>
      </c>
      <c r="D565" s="29" t="inlineStr">
        <is>
          <t>Info</t>
        </is>
      </c>
      <c r="E565" s="6" t="inlineStr">
        <is>
          <t>Copy Writer</t>
        </is>
      </c>
      <c r="F565" s="6" t="inlineStr"/>
      <c r="G565" s="25" t="inlineStr">
        <is>
          <t>Open</t>
        </is>
      </c>
      <c r="H565">
        <f>IFERROR(HYPERLINK("#Main!A"&amp;MATCH(A565,Main!A:A,0),"Open"),HYPERLINK("#Main!A1","Open"))</f>
        <v/>
      </c>
    </row>
    <row r="566" ht="30" customHeight="1">
      <c r="A566" s="33" t="inlineStr">
        <is>
          <t>https://africanmarketingconfederation.org/amc-marketing-conference-2024/programme-2024/</t>
        </is>
      </c>
      <c r="B566" s="26" t="inlineStr">
        <is>
          <t>No Answer-Friendly Structure</t>
        </is>
      </c>
      <c r="C566" s="24" t="inlineStr">
        <is>
          <t>https://africanmarketingconfederation.org/amc-marketing-conference-2024/programme-2024/::no_answer-friendly_structure</t>
        </is>
      </c>
      <c r="D566" s="29" t="inlineStr">
        <is>
          <t>Info</t>
        </is>
      </c>
      <c r="E566" s="24" t="inlineStr">
        <is>
          <t>Copy Writer</t>
        </is>
      </c>
      <c r="F566" s="24" t="inlineStr"/>
      <c r="G566" s="25" t="inlineStr">
        <is>
          <t>Open</t>
        </is>
      </c>
      <c r="H566">
        <f>IFERROR(HYPERLINK("#Main!A"&amp;MATCH(A566,Main!A:A,0),"Open"),HYPERLINK("#Main!A1","Open"))</f>
        <v/>
      </c>
    </row>
    <row r="567" ht="30" customHeight="1">
      <c r="A567" s="33" t="inlineStr">
        <is>
          <t>https://africanmarketingconfederation.org/amc-marketing-conference-2024/programme-2024/</t>
        </is>
      </c>
      <c r="B567" s="26" t="inlineStr">
        <is>
          <t>No 40-60 Word Answer Paragraphs</t>
        </is>
      </c>
      <c r="C567" s="6" t="inlineStr">
        <is>
          <t>https://africanmarketingconfederation.org/amc-marketing-conference-2024/programme-2024/::no_40-60_word_answer_paragraphs</t>
        </is>
      </c>
      <c r="D567" s="29" t="inlineStr">
        <is>
          <t>Info</t>
        </is>
      </c>
      <c r="E567" s="6" t="inlineStr">
        <is>
          <t>Copy Writer</t>
        </is>
      </c>
      <c r="F567" s="6" t="inlineStr"/>
      <c r="G567" s="25" t="inlineStr">
        <is>
          <t>Open</t>
        </is>
      </c>
      <c r="H567">
        <f>IFERROR(HYPERLINK("#Main!A"&amp;MATCH(A567,Main!A:A,0),"Open"),HYPERLINK("#Main!A1","Open"))</f>
        <v/>
      </c>
    </row>
    <row r="568" ht="30" customHeight="1">
      <c r="A568" s="33" t="inlineStr">
        <is>
          <t>https://africanmarketingconfederation.org/amc-conference-2023/programme/</t>
        </is>
      </c>
      <c r="B568" s="26" t="inlineStr">
        <is>
          <t>Low AEO Readiness Score</t>
        </is>
      </c>
      <c r="C568" s="24" t="inlineStr">
        <is>
          <t>https://africanmarketingconfederation.org/amc-conference-2023/programme/::low_aeo_readiness_score</t>
        </is>
      </c>
      <c r="D568" s="25" t="inlineStr">
        <is>
          <t>Warning</t>
        </is>
      </c>
      <c r="E568" s="24" t="inlineStr">
        <is>
          <t>Copy Writer</t>
        </is>
      </c>
      <c r="F568" s="24" t="inlineStr"/>
      <c r="G568" s="25" t="inlineStr">
        <is>
          <t>Open</t>
        </is>
      </c>
      <c r="H568">
        <f>IFERROR(HYPERLINK("#Main!A"&amp;MATCH(A568,Main!A:A,0),"Open"),HYPERLINK("#Main!A1","Open"))</f>
        <v/>
      </c>
    </row>
    <row r="569" ht="30" customHeight="1">
      <c r="A569" s="33" t="inlineStr">
        <is>
          <t>https://africanmarketingconfederation.org/amc-conference-2023/programme/</t>
        </is>
      </c>
      <c r="B569" s="26" t="inlineStr">
        <is>
          <t>No Compression Header</t>
        </is>
      </c>
      <c r="C569" s="6" t="inlineStr">
        <is>
          <t>https://africanmarketingconfederation.org/amc-conference-2023/programme/::no_compression_header</t>
        </is>
      </c>
      <c r="D569" s="29" t="inlineStr">
        <is>
          <t>Info</t>
        </is>
      </c>
      <c r="E569" s="6" t="inlineStr">
        <is>
          <t>Server/Host</t>
        </is>
      </c>
      <c r="F569" s="6" t="inlineStr"/>
      <c r="G569" s="25" t="inlineStr">
        <is>
          <t>Open</t>
        </is>
      </c>
      <c r="H569">
        <f>IFERROR(HYPERLINK("#Main!A"&amp;MATCH(A569,Main!A:A,0),"Open"),HYPERLINK("#Main!A1","Open"))</f>
        <v/>
      </c>
    </row>
    <row r="570" ht="30" customHeight="1">
      <c r="A570" s="33" t="inlineStr">
        <is>
          <t>https://africanmarketingconfederation.org/amc-conference-2023/programme/</t>
        </is>
      </c>
      <c r="B570" s="26" t="inlineStr">
        <is>
          <t>No Cache-Control Header</t>
        </is>
      </c>
      <c r="C570" s="24" t="inlineStr">
        <is>
          <t>https://africanmarketingconfederation.org/amc-conference-2023/programme/::no_cache-control_header</t>
        </is>
      </c>
      <c r="D570" s="29" t="inlineStr">
        <is>
          <t>Info</t>
        </is>
      </c>
      <c r="E570" s="24" t="inlineStr">
        <is>
          <t>Server/Host</t>
        </is>
      </c>
      <c r="F570" s="24" t="inlineStr"/>
      <c r="G570" s="25" t="inlineStr">
        <is>
          <t>Open</t>
        </is>
      </c>
      <c r="H570">
        <f>IFERROR(HYPERLINK("#Main!A"&amp;MATCH(A570,Main!A:A,0),"Open"),HYPERLINK("#Main!A1","Open"))</f>
        <v/>
      </c>
    </row>
    <row r="571" ht="30" customHeight="1">
      <c r="A571" s="33" t="inlineStr">
        <is>
          <t>https://africanmarketingconfederation.org/amc-conference-2023/programme/</t>
        </is>
      </c>
      <c r="B571" s="26" t="inlineStr">
        <is>
          <t>No ETag Header</t>
        </is>
      </c>
      <c r="C571" s="6" t="inlineStr">
        <is>
          <t>https://africanmarketingconfederation.org/amc-conference-2023/programme/::no_etag_header</t>
        </is>
      </c>
      <c r="D571" s="29" t="inlineStr">
        <is>
          <t>Info</t>
        </is>
      </c>
      <c r="E571" s="6" t="inlineStr">
        <is>
          <t>Server/Host</t>
        </is>
      </c>
      <c r="F571" s="6" t="inlineStr"/>
      <c r="G571" s="25" t="inlineStr">
        <is>
          <t>Open</t>
        </is>
      </c>
      <c r="H571">
        <f>IFERROR(HYPERLINK("#Main!A"&amp;MATCH(A571,Main!A:A,0),"Open"),HYPERLINK("#Main!A1","Open"))</f>
        <v/>
      </c>
    </row>
    <row r="572" ht="30" customHeight="1">
      <c r="A572" s="33" t="inlineStr">
        <is>
          <t>https://africanmarketingconfederation.org/amc-conference-2023/programme/</t>
        </is>
      </c>
      <c r="B572" s="26" t="inlineStr">
        <is>
          <t>No FAQ/QA Schema</t>
        </is>
      </c>
      <c r="C572" s="24" t="inlineStr">
        <is>
          <t>https://africanmarketingconfederation.org/amc-conference-2023/programme/::no_faq_qa_schema</t>
        </is>
      </c>
      <c r="D572" s="29" t="inlineStr">
        <is>
          <t>Info</t>
        </is>
      </c>
      <c r="E572" s="24" t="inlineStr">
        <is>
          <t>Dev</t>
        </is>
      </c>
      <c r="F572" s="24" t="inlineStr"/>
      <c r="G572" s="25" t="inlineStr">
        <is>
          <t>Open</t>
        </is>
      </c>
      <c r="H572">
        <f>IFERROR(HYPERLINK("#Main!A"&amp;MATCH(A572,Main!A:A,0),"Open"),HYPERLINK("#Main!A1","Open"))</f>
        <v/>
      </c>
    </row>
    <row r="573" ht="30" customHeight="1">
      <c r="A573" s="33" t="inlineStr">
        <is>
          <t>https://africanmarketingconfederation.org/amc-conference-2023/programme/</t>
        </is>
      </c>
      <c r="B573" s="26" t="inlineStr">
        <is>
          <t>No Question Headings</t>
        </is>
      </c>
      <c r="C573" s="6" t="inlineStr">
        <is>
          <t>https://africanmarketingconfederation.org/amc-conference-2023/programme/::no_question_headings</t>
        </is>
      </c>
      <c r="D573" s="29" t="inlineStr">
        <is>
          <t>Info</t>
        </is>
      </c>
      <c r="E573" s="6" t="inlineStr">
        <is>
          <t>Copy Writer</t>
        </is>
      </c>
      <c r="F573" s="6" t="inlineStr"/>
      <c r="G573" s="25" t="inlineStr">
        <is>
          <t>Open</t>
        </is>
      </c>
      <c r="H573">
        <f>IFERROR(HYPERLINK("#Main!A"&amp;MATCH(A573,Main!A:A,0),"Open"),HYPERLINK("#Main!A1","Open"))</f>
        <v/>
      </c>
    </row>
    <row r="574" ht="30" customHeight="1">
      <c r="A574" s="33" t="inlineStr">
        <is>
          <t>https://africanmarketingconfederation.org/amc-conference-2023/programme/</t>
        </is>
      </c>
      <c r="B574" s="26" t="inlineStr">
        <is>
          <t>No Answer-Friendly Structure</t>
        </is>
      </c>
      <c r="C574" s="24" t="inlineStr">
        <is>
          <t>https://africanmarketingconfederation.org/amc-conference-2023/programme/::no_answer-friendly_structure</t>
        </is>
      </c>
      <c r="D574" s="29" t="inlineStr">
        <is>
          <t>Info</t>
        </is>
      </c>
      <c r="E574" s="24" t="inlineStr">
        <is>
          <t>Copy Writer</t>
        </is>
      </c>
      <c r="F574" s="24" t="inlineStr"/>
      <c r="G574" s="25" t="inlineStr">
        <is>
          <t>Open</t>
        </is>
      </c>
      <c r="H574">
        <f>IFERROR(HYPERLINK("#Main!A"&amp;MATCH(A574,Main!A:A,0),"Open"),HYPERLINK("#Main!A1","Open"))</f>
        <v/>
      </c>
    </row>
    <row r="575" ht="30" customHeight="1">
      <c r="A575" s="33" t="inlineStr">
        <is>
          <t>https://africanmarketingconfederation.org/amc-conference-2023/programme/</t>
        </is>
      </c>
      <c r="B575" s="26" t="inlineStr">
        <is>
          <t>No 40-60 Word Answer Paragraphs</t>
        </is>
      </c>
      <c r="C575" s="6" t="inlineStr">
        <is>
          <t>https://africanmarketingconfederation.org/amc-conference-2023/programme/::no_40-60_word_answer_paragraphs</t>
        </is>
      </c>
      <c r="D575" s="29" t="inlineStr">
        <is>
          <t>Info</t>
        </is>
      </c>
      <c r="E575" s="6" t="inlineStr">
        <is>
          <t>Copy Writer</t>
        </is>
      </c>
      <c r="F575" s="6" t="inlineStr"/>
      <c r="G575" s="25" t="inlineStr">
        <is>
          <t>Open</t>
        </is>
      </c>
      <c r="H575">
        <f>IFERROR(HYPERLINK("#Main!A"&amp;MATCH(A575,Main!A:A,0),"Open"),HYPERLINK("#Main!A1","Open"))</f>
        <v/>
      </c>
    </row>
    <row r="576" ht="30" customHeight="1">
      <c r="A576" s="33" t="inlineStr">
        <is>
          <t>https://africanmarketingconfederation.org/amc-conference-2023/amc-awards/</t>
        </is>
      </c>
      <c r="B576" s="26" t="inlineStr">
        <is>
          <t>Low AEO Readiness Score</t>
        </is>
      </c>
      <c r="C576" s="24" t="inlineStr">
        <is>
          <t>https://africanmarketingconfederation.org/amc-conference-2023/amc-awards/::low_aeo_readiness_score</t>
        </is>
      </c>
      <c r="D576" s="25" t="inlineStr">
        <is>
          <t>Warning</t>
        </is>
      </c>
      <c r="E576" s="24" t="inlineStr">
        <is>
          <t>Copy Writer</t>
        </is>
      </c>
      <c r="F576" s="24" t="inlineStr"/>
      <c r="G576" s="25" t="inlineStr">
        <is>
          <t>Open</t>
        </is>
      </c>
      <c r="H576">
        <f>IFERROR(HYPERLINK("#Main!A"&amp;MATCH(A576,Main!A:A,0),"Open"),HYPERLINK("#Main!A1","Open"))</f>
        <v/>
      </c>
    </row>
    <row r="577" ht="30" customHeight="1">
      <c r="A577" s="33" t="inlineStr">
        <is>
          <t>https://africanmarketingconfederation.org/amc-conference-2023/amc-awards/</t>
        </is>
      </c>
      <c r="B577" s="26" t="inlineStr">
        <is>
          <t>No Compression Header</t>
        </is>
      </c>
      <c r="C577" s="6" t="inlineStr">
        <is>
          <t>https://africanmarketingconfederation.org/amc-conference-2023/amc-awards/::no_compression_header</t>
        </is>
      </c>
      <c r="D577" s="29" t="inlineStr">
        <is>
          <t>Info</t>
        </is>
      </c>
      <c r="E577" s="6" t="inlineStr">
        <is>
          <t>Server/Host</t>
        </is>
      </c>
      <c r="F577" s="6" t="inlineStr"/>
      <c r="G577" s="25" t="inlineStr">
        <is>
          <t>Open</t>
        </is>
      </c>
      <c r="H577">
        <f>IFERROR(HYPERLINK("#Main!A"&amp;MATCH(A577,Main!A:A,0),"Open"),HYPERLINK("#Main!A1","Open"))</f>
        <v/>
      </c>
    </row>
    <row r="578" ht="30" customHeight="1">
      <c r="A578" s="33" t="inlineStr">
        <is>
          <t>https://africanmarketingconfederation.org/amc-conference-2023/amc-awards/</t>
        </is>
      </c>
      <c r="B578" s="26" t="inlineStr">
        <is>
          <t>No Cache-Control Header</t>
        </is>
      </c>
      <c r="C578" s="24" t="inlineStr">
        <is>
          <t>https://africanmarketingconfederation.org/amc-conference-2023/amc-awards/::no_cache-control_header</t>
        </is>
      </c>
      <c r="D578" s="29" t="inlineStr">
        <is>
          <t>Info</t>
        </is>
      </c>
      <c r="E578" s="24" t="inlineStr">
        <is>
          <t>Server/Host</t>
        </is>
      </c>
      <c r="F578" s="24" t="inlineStr"/>
      <c r="G578" s="25" t="inlineStr">
        <is>
          <t>Open</t>
        </is>
      </c>
      <c r="H578">
        <f>IFERROR(HYPERLINK("#Main!A"&amp;MATCH(A578,Main!A:A,0),"Open"),HYPERLINK("#Main!A1","Open"))</f>
        <v/>
      </c>
    </row>
    <row r="579" ht="30" customHeight="1">
      <c r="A579" s="33" t="inlineStr">
        <is>
          <t>https://africanmarketingconfederation.org/amc-conference-2023/amc-awards/</t>
        </is>
      </c>
      <c r="B579" s="26" t="inlineStr">
        <is>
          <t>No ETag Header</t>
        </is>
      </c>
      <c r="C579" s="6" t="inlineStr">
        <is>
          <t>https://africanmarketingconfederation.org/amc-conference-2023/amc-awards/::no_etag_header</t>
        </is>
      </c>
      <c r="D579" s="29" t="inlineStr">
        <is>
          <t>Info</t>
        </is>
      </c>
      <c r="E579" s="6" t="inlineStr">
        <is>
          <t>Server/Host</t>
        </is>
      </c>
      <c r="F579" s="6" t="inlineStr"/>
      <c r="G579" s="25" t="inlineStr">
        <is>
          <t>Open</t>
        </is>
      </c>
      <c r="H579">
        <f>IFERROR(HYPERLINK("#Main!A"&amp;MATCH(A579,Main!A:A,0),"Open"),HYPERLINK("#Main!A1","Open"))</f>
        <v/>
      </c>
    </row>
    <row r="580" ht="30" customHeight="1">
      <c r="A580" s="33" t="inlineStr">
        <is>
          <t>https://africanmarketingconfederation.org/amc-conference-2023/amc-awards/</t>
        </is>
      </c>
      <c r="B580" s="26" t="inlineStr">
        <is>
          <t>No FAQ/QA Schema</t>
        </is>
      </c>
      <c r="C580" s="24" t="inlineStr">
        <is>
          <t>https://africanmarketingconfederation.org/amc-conference-2023/amc-awards/::no_faq_qa_schema</t>
        </is>
      </c>
      <c r="D580" s="29" t="inlineStr">
        <is>
          <t>Info</t>
        </is>
      </c>
      <c r="E580" s="24" t="inlineStr">
        <is>
          <t>Dev</t>
        </is>
      </c>
      <c r="F580" s="24" t="inlineStr"/>
      <c r="G580" s="25" t="inlineStr">
        <is>
          <t>Open</t>
        </is>
      </c>
      <c r="H580">
        <f>IFERROR(HYPERLINK("#Main!A"&amp;MATCH(A580,Main!A:A,0),"Open"),HYPERLINK("#Main!A1","Open"))</f>
        <v/>
      </c>
    </row>
    <row r="581" ht="30" customHeight="1">
      <c r="A581" s="33" t="inlineStr">
        <is>
          <t>https://africanmarketingconfederation.org/amc-conference-2023/amc-awards/</t>
        </is>
      </c>
      <c r="B581" s="26" t="inlineStr">
        <is>
          <t>No Question Headings</t>
        </is>
      </c>
      <c r="C581" s="6" t="inlineStr">
        <is>
          <t>https://africanmarketingconfederation.org/amc-conference-2023/amc-awards/::no_question_headings</t>
        </is>
      </c>
      <c r="D581" s="29" t="inlineStr">
        <is>
          <t>Info</t>
        </is>
      </c>
      <c r="E581" s="6" t="inlineStr">
        <is>
          <t>Copy Writer</t>
        </is>
      </c>
      <c r="F581" s="6" t="inlineStr"/>
      <c r="G581" s="25" t="inlineStr">
        <is>
          <t>Open</t>
        </is>
      </c>
      <c r="H581">
        <f>IFERROR(HYPERLINK("#Main!A"&amp;MATCH(A581,Main!A:A,0),"Open"),HYPERLINK("#Main!A1","Open"))</f>
        <v/>
      </c>
    </row>
    <row r="582" ht="30" customHeight="1">
      <c r="A582" s="33" t="inlineStr">
        <is>
          <t>https://africanmarketingconfederation.org/amc-conference-2023/amc-awards/</t>
        </is>
      </c>
      <c r="B582" s="26" t="inlineStr">
        <is>
          <t>No Answer-Friendly Structure</t>
        </is>
      </c>
      <c r="C582" s="24" t="inlineStr">
        <is>
          <t>https://africanmarketingconfederation.org/amc-conference-2023/amc-awards/::no_answer-friendly_structure</t>
        </is>
      </c>
      <c r="D582" s="29" t="inlineStr">
        <is>
          <t>Info</t>
        </is>
      </c>
      <c r="E582" s="24" t="inlineStr">
        <is>
          <t>Copy Writer</t>
        </is>
      </c>
      <c r="F582" s="24" t="inlineStr"/>
      <c r="G582" s="25" t="inlineStr">
        <is>
          <t>Open</t>
        </is>
      </c>
      <c r="H582">
        <f>IFERROR(HYPERLINK("#Main!A"&amp;MATCH(A582,Main!A:A,0),"Open"),HYPERLINK("#Main!A1","Open"))</f>
        <v/>
      </c>
    </row>
    <row r="583" ht="30" customHeight="1">
      <c r="A583" s="33" t="inlineStr">
        <is>
          <t>https://africanmarketingconfederation.org/amc-conference-2023/amc-awards/</t>
        </is>
      </c>
      <c r="B583" s="26" t="inlineStr">
        <is>
          <t>No 40-60 Word Answer Paragraphs</t>
        </is>
      </c>
      <c r="C583" s="6" t="inlineStr">
        <is>
          <t>https://africanmarketingconfederation.org/amc-conference-2023/amc-awards/::no_40-60_word_answer_paragraphs</t>
        </is>
      </c>
      <c r="D583" s="29" t="inlineStr">
        <is>
          <t>Info</t>
        </is>
      </c>
      <c r="E583" s="6" t="inlineStr">
        <is>
          <t>Copy Writer</t>
        </is>
      </c>
      <c r="F583" s="6" t="inlineStr"/>
      <c r="G583" s="25" t="inlineStr">
        <is>
          <t>Open</t>
        </is>
      </c>
      <c r="H583">
        <f>IFERROR(HYPERLINK("#Main!A"&amp;MATCH(A583,Main!A:A,0),"Open"),HYPERLINK("#Main!A1","Open"))</f>
        <v/>
      </c>
    </row>
    <row r="584" ht="30" customHeight="1">
      <c r="A584" s="33" t="inlineStr">
        <is>
          <t>https://africanmarketingconfederation.org/amc-conference-2023/partners/</t>
        </is>
      </c>
      <c r="B584" s="26" t="inlineStr">
        <is>
          <t>Thin Content</t>
        </is>
      </c>
      <c r="C584" s="24" t="inlineStr">
        <is>
          <t>https://africanmarketingconfederation.org/amc-conference-2023/partners/::thin_content</t>
        </is>
      </c>
      <c r="D584" s="25" t="inlineStr">
        <is>
          <t>Warning</t>
        </is>
      </c>
      <c r="E584" s="24" t="inlineStr">
        <is>
          <t>Copy Writer</t>
        </is>
      </c>
      <c r="F584" s="24" t="inlineStr"/>
      <c r="G584" s="25" t="inlineStr">
        <is>
          <t>Open</t>
        </is>
      </c>
      <c r="H584">
        <f>IFERROR(HYPERLINK("#Main!A"&amp;MATCH(A584,Main!A:A,0),"Open"),HYPERLINK("#Main!A1","Open"))</f>
        <v/>
      </c>
    </row>
    <row r="585" ht="30" customHeight="1">
      <c r="A585" s="33" t="inlineStr">
        <is>
          <t>https://africanmarketingconfederation.org/amc-conference-2023/partners/</t>
        </is>
      </c>
      <c r="B585" s="26" t="inlineStr">
        <is>
          <t>Low AEO Readiness Score</t>
        </is>
      </c>
      <c r="C585" s="6" t="inlineStr">
        <is>
          <t>https://africanmarketingconfederation.org/amc-conference-2023/partners/::low_aeo_readiness_score</t>
        </is>
      </c>
      <c r="D585" s="25" t="inlineStr">
        <is>
          <t>Warning</t>
        </is>
      </c>
      <c r="E585" s="6" t="inlineStr">
        <is>
          <t>Copy Writer</t>
        </is>
      </c>
      <c r="F585" s="6" t="inlineStr"/>
      <c r="G585" s="25" t="inlineStr">
        <is>
          <t>Open</t>
        </is>
      </c>
      <c r="H585">
        <f>IFERROR(HYPERLINK("#Main!A"&amp;MATCH(A585,Main!A:A,0),"Open"),HYPERLINK("#Main!A1","Open"))</f>
        <v/>
      </c>
    </row>
    <row r="586" ht="30" customHeight="1">
      <c r="A586" s="33" t="inlineStr">
        <is>
          <t>https://africanmarketingconfederation.org/amc-conference-2023/partners/</t>
        </is>
      </c>
      <c r="B586" s="26" t="inlineStr">
        <is>
          <t>No Compression Header</t>
        </is>
      </c>
      <c r="C586" s="24" t="inlineStr">
        <is>
          <t>https://africanmarketingconfederation.org/amc-conference-2023/partners/::no_compression_header</t>
        </is>
      </c>
      <c r="D586" s="29" t="inlineStr">
        <is>
          <t>Info</t>
        </is>
      </c>
      <c r="E586" s="24" t="inlineStr">
        <is>
          <t>Server/Host</t>
        </is>
      </c>
      <c r="F586" s="24" t="inlineStr"/>
      <c r="G586" s="25" t="inlineStr">
        <is>
          <t>Open</t>
        </is>
      </c>
      <c r="H586">
        <f>IFERROR(HYPERLINK("#Main!A"&amp;MATCH(A586,Main!A:A,0),"Open"),HYPERLINK("#Main!A1","Open"))</f>
        <v/>
      </c>
    </row>
    <row r="587" ht="30" customHeight="1">
      <c r="A587" s="33" t="inlineStr">
        <is>
          <t>https://africanmarketingconfederation.org/amc-conference-2023/partners/</t>
        </is>
      </c>
      <c r="B587" s="26" t="inlineStr">
        <is>
          <t>No Cache-Control Header</t>
        </is>
      </c>
      <c r="C587" s="6" t="inlineStr">
        <is>
          <t>https://africanmarketingconfederation.org/amc-conference-2023/partners/::no_cache-control_header</t>
        </is>
      </c>
      <c r="D587" s="29" t="inlineStr">
        <is>
          <t>Info</t>
        </is>
      </c>
      <c r="E587" s="6" t="inlineStr">
        <is>
          <t>Server/Host</t>
        </is>
      </c>
      <c r="F587" s="6" t="inlineStr"/>
      <c r="G587" s="25" t="inlineStr">
        <is>
          <t>Open</t>
        </is>
      </c>
      <c r="H587">
        <f>IFERROR(HYPERLINK("#Main!A"&amp;MATCH(A587,Main!A:A,0),"Open"),HYPERLINK("#Main!A1","Open"))</f>
        <v/>
      </c>
    </row>
    <row r="588" ht="30" customHeight="1">
      <c r="A588" s="33" t="inlineStr">
        <is>
          <t>https://africanmarketingconfederation.org/amc-conference-2023/partners/</t>
        </is>
      </c>
      <c r="B588" s="26" t="inlineStr">
        <is>
          <t>No ETag Header</t>
        </is>
      </c>
      <c r="C588" s="24" t="inlineStr">
        <is>
          <t>https://africanmarketingconfederation.org/amc-conference-2023/partners/::no_etag_header</t>
        </is>
      </c>
      <c r="D588" s="29" t="inlineStr">
        <is>
          <t>Info</t>
        </is>
      </c>
      <c r="E588" s="24" t="inlineStr">
        <is>
          <t>Server/Host</t>
        </is>
      </c>
      <c r="F588" s="24" t="inlineStr"/>
      <c r="G588" s="25" t="inlineStr">
        <is>
          <t>Open</t>
        </is>
      </c>
      <c r="H588">
        <f>IFERROR(HYPERLINK("#Main!A"&amp;MATCH(A588,Main!A:A,0),"Open"),HYPERLINK("#Main!A1","Open"))</f>
        <v/>
      </c>
    </row>
    <row r="589" ht="30" customHeight="1">
      <c r="A589" s="33" t="inlineStr">
        <is>
          <t>https://africanmarketingconfederation.org/amc-conference-2023/partners/</t>
        </is>
      </c>
      <c r="B589" s="26" t="inlineStr">
        <is>
          <t>No FAQ/QA Schema</t>
        </is>
      </c>
      <c r="C589" s="6" t="inlineStr">
        <is>
          <t>https://africanmarketingconfederation.org/amc-conference-2023/partners/::no_faq_qa_schema</t>
        </is>
      </c>
      <c r="D589" s="29" t="inlineStr">
        <is>
          <t>Info</t>
        </is>
      </c>
      <c r="E589" s="6" t="inlineStr">
        <is>
          <t>Dev</t>
        </is>
      </c>
      <c r="F589" s="6" t="inlineStr"/>
      <c r="G589" s="25" t="inlineStr">
        <is>
          <t>Open</t>
        </is>
      </c>
      <c r="H589">
        <f>IFERROR(HYPERLINK("#Main!A"&amp;MATCH(A589,Main!A:A,0),"Open"),HYPERLINK("#Main!A1","Open"))</f>
        <v/>
      </c>
    </row>
    <row r="590" ht="30" customHeight="1">
      <c r="A590" s="33" t="inlineStr">
        <is>
          <t>https://africanmarketingconfederation.org/amc-conference-2023/partners/</t>
        </is>
      </c>
      <c r="B590" s="26" t="inlineStr">
        <is>
          <t>No Question Headings</t>
        </is>
      </c>
      <c r="C590" s="24" t="inlineStr">
        <is>
          <t>https://africanmarketingconfederation.org/amc-conference-2023/partners/::no_question_headings</t>
        </is>
      </c>
      <c r="D590" s="29" t="inlineStr">
        <is>
          <t>Info</t>
        </is>
      </c>
      <c r="E590" s="24" t="inlineStr">
        <is>
          <t>Copy Writer</t>
        </is>
      </c>
      <c r="F590" s="24" t="inlineStr"/>
      <c r="G590" s="25" t="inlineStr">
        <is>
          <t>Open</t>
        </is>
      </c>
      <c r="H590">
        <f>IFERROR(HYPERLINK("#Main!A"&amp;MATCH(A590,Main!A:A,0),"Open"),HYPERLINK("#Main!A1","Open"))</f>
        <v/>
      </c>
    </row>
    <row r="591" ht="30" customHeight="1">
      <c r="A591" s="33" t="inlineStr">
        <is>
          <t>https://africanmarketingconfederation.org/amc-conference-2023/partners/</t>
        </is>
      </c>
      <c r="B591" s="26" t="inlineStr">
        <is>
          <t>No Answer-Friendly Structure</t>
        </is>
      </c>
      <c r="C591" s="6" t="inlineStr">
        <is>
          <t>https://africanmarketingconfederation.org/amc-conference-2023/partners/::no_answer-friendly_structure</t>
        </is>
      </c>
      <c r="D591" s="29" t="inlineStr">
        <is>
          <t>Info</t>
        </is>
      </c>
      <c r="E591" s="6" t="inlineStr">
        <is>
          <t>Copy Writer</t>
        </is>
      </c>
      <c r="F591" s="6" t="inlineStr"/>
      <c r="G591" s="25" t="inlineStr">
        <is>
          <t>Open</t>
        </is>
      </c>
      <c r="H591">
        <f>IFERROR(HYPERLINK("#Main!A"&amp;MATCH(A591,Main!A:A,0),"Open"),HYPERLINK("#Main!A1","Open"))</f>
        <v/>
      </c>
    </row>
    <row r="592" ht="30" customHeight="1">
      <c r="A592" s="33" t="inlineStr">
        <is>
          <t>https://africanmarketingconfederation.org/amc-conference-2023/partners/</t>
        </is>
      </c>
      <c r="B592" s="26" t="inlineStr">
        <is>
          <t>No 40-60 Word Answer Paragraphs</t>
        </is>
      </c>
      <c r="C592" s="24" t="inlineStr">
        <is>
          <t>https://africanmarketingconfederation.org/amc-conference-2023/partners/::no_40-60_word_answer_paragraphs</t>
        </is>
      </c>
      <c r="D592" s="29" t="inlineStr">
        <is>
          <t>Info</t>
        </is>
      </c>
      <c r="E592" s="24" t="inlineStr">
        <is>
          <t>Copy Writer</t>
        </is>
      </c>
      <c r="F592" s="24" t="inlineStr"/>
      <c r="G592" s="25" t="inlineStr">
        <is>
          <t>Open</t>
        </is>
      </c>
      <c r="H592">
        <f>IFERROR(HYPERLINK("#Main!A"&amp;MATCH(A592,Main!A:A,0),"Open"),HYPERLINK("#Main!A1","Open"))</f>
        <v/>
      </c>
    </row>
    <row r="593" ht="30" customHeight="1">
      <c r="A593" s="33" t="inlineStr">
        <is>
          <t>https://africanmarketingconfederation.org/amc-conference-2023/speakers/</t>
        </is>
      </c>
      <c r="B593" s="26" t="inlineStr">
        <is>
          <t>Low AEO Readiness Score</t>
        </is>
      </c>
      <c r="C593" s="6" t="inlineStr">
        <is>
          <t>https://africanmarketingconfederation.org/amc-conference-2023/speakers/::low_aeo_readiness_score</t>
        </is>
      </c>
      <c r="D593" s="25" t="inlineStr">
        <is>
          <t>Warning</t>
        </is>
      </c>
      <c r="E593" s="6" t="inlineStr">
        <is>
          <t>Copy Writer</t>
        </is>
      </c>
      <c r="F593" s="6" t="inlineStr"/>
      <c r="G593" s="25" t="inlineStr">
        <is>
          <t>Open</t>
        </is>
      </c>
      <c r="H593">
        <f>IFERROR(HYPERLINK("#Main!A"&amp;MATCH(A593,Main!A:A,0),"Open"),HYPERLINK("#Main!A1","Open"))</f>
        <v/>
      </c>
    </row>
    <row r="594" ht="30" customHeight="1">
      <c r="A594" s="33" t="inlineStr">
        <is>
          <t>https://africanmarketingconfederation.org/amc-conference-2023/speakers/</t>
        </is>
      </c>
      <c r="B594" s="26" t="inlineStr">
        <is>
          <t>No Compression Header</t>
        </is>
      </c>
      <c r="C594" s="24" t="inlineStr">
        <is>
          <t>https://africanmarketingconfederation.org/amc-conference-2023/speakers/::no_compression_header</t>
        </is>
      </c>
      <c r="D594" s="29" t="inlineStr">
        <is>
          <t>Info</t>
        </is>
      </c>
      <c r="E594" s="24" t="inlineStr">
        <is>
          <t>Server/Host</t>
        </is>
      </c>
      <c r="F594" s="24" t="inlineStr"/>
      <c r="G594" s="25" t="inlineStr">
        <is>
          <t>Open</t>
        </is>
      </c>
      <c r="H594">
        <f>IFERROR(HYPERLINK("#Main!A"&amp;MATCH(A594,Main!A:A,0),"Open"),HYPERLINK("#Main!A1","Open"))</f>
        <v/>
      </c>
    </row>
    <row r="595" ht="30" customHeight="1">
      <c r="A595" s="33" t="inlineStr">
        <is>
          <t>https://africanmarketingconfederation.org/amc-conference-2023/speakers/</t>
        </is>
      </c>
      <c r="B595" s="26" t="inlineStr">
        <is>
          <t>No Cache-Control Header</t>
        </is>
      </c>
      <c r="C595" s="6" t="inlineStr">
        <is>
          <t>https://africanmarketingconfederation.org/amc-conference-2023/speakers/::no_cache-control_header</t>
        </is>
      </c>
      <c r="D595" s="29" t="inlineStr">
        <is>
          <t>Info</t>
        </is>
      </c>
      <c r="E595" s="6" t="inlineStr">
        <is>
          <t>Server/Host</t>
        </is>
      </c>
      <c r="F595" s="6" t="inlineStr"/>
      <c r="G595" s="25" t="inlineStr">
        <is>
          <t>Open</t>
        </is>
      </c>
      <c r="H595">
        <f>IFERROR(HYPERLINK("#Main!A"&amp;MATCH(A595,Main!A:A,0),"Open"),HYPERLINK("#Main!A1","Open"))</f>
        <v/>
      </c>
    </row>
    <row r="596" ht="30" customHeight="1">
      <c r="A596" s="33" t="inlineStr">
        <is>
          <t>https://africanmarketingconfederation.org/amc-conference-2023/speakers/</t>
        </is>
      </c>
      <c r="B596" s="26" t="inlineStr">
        <is>
          <t>No ETag Header</t>
        </is>
      </c>
      <c r="C596" s="24" t="inlineStr">
        <is>
          <t>https://africanmarketingconfederation.org/amc-conference-2023/speakers/::no_etag_header</t>
        </is>
      </c>
      <c r="D596" s="29" t="inlineStr">
        <is>
          <t>Info</t>
        </is>
      </c>
      <c r="E596" s="24" t="inlineStr">
        <is>
          <t>Server/Host</t>
        </is>
      </c>
      <c r="F596" s="24" t="inlineStr"/>
      <c r="G596" s="25" t="inlineStr">
        <is>
          <t>Open</t>
        </is>
      </c>
      <c r="H596">
        <f>IFERROR(HYPERLINK("#Main!A"&amp;MATCH(A596,Main!A:A,0),"Open"),HYPERLINK("#Main!A1","Open"))</f>
        <v/>
      </c>
    </row>
    <row r="597" ht="30" customHeight="1">
      <c r="A597" s="33" t="inlineStr">
        <is>
          <t>https://africanmarketingconfederation.org/amc-conference-2023/speakers/</t>
        </is>
      </c>
      <c r="B597" s="26" t="inlineStr">
        <is>
          <t>No FAQ/QA Schema</t>
        </is>
      </c>
      <c r="C597" s="6" t="inlineStr">
        <is>
          <t>https://africanmarketingconfederation.org/amc-conference-2023/speakers/::no_faq_qa_schema</t>
        </is>
      </c>
      <c r="D597" s="29" t="inlineStr">
        <is>
          <t>Info</t>
        </is>
      </c>
      <c r="E597" s="6" t="inlineStr">
        <is>
          <t>Dev</t>
        </is>
      </c>
      <c r="F597" s="6" t="inlineStr"/>
      <c r="G597" s="25" t="inlineStr">
        <is>
          <t>Open</t>
        </is>
      </c>
      <c r="H597">
        <f>IFERROR(HYPERLINK("#Main!A"&amp;MATCH(A597,Main!A:A,0),"Open"),HYPERLINK("#Main!A1","Open"))</f>
        <v/>
      </c>
    </row>
    <row r="598" ht="30" customHeight="1">
      <c r="A598" s="33" t="inlineStr">
        <is>
          <t>https://africanmarketingconfederation.org/amc-conference-2023/speakers/</t>
        </is>
      </c>
      <c r="B598" s="26" t="inlineStr">
        <is>
          <t>No Question Headings</t>
        </is>
      </c>
      <c r="C598" s="24" t="inlineStr">
        <is>
          <t>https://africanmarketingconfederation.org/amc-conference-2023/speakers/::no_question_headings</t>
        </is>
      </c>
      <c r="D598" s="29" t="inlineStr">
        <is>
          <t>Info</t>
        </is>
      </c>
      <c r="E598" s="24" t="inlineStr">
        <is>
          <t>Copy Writer</t>
        </is>
      </c>
      <c r="F598" s="24" t="inlineStr"/>
      <c r="G598" s="25" t="inlineStr">
        <is>
          <t>Open</t>
        </is>
      </c>
      <c r="H598">
        <f>IFERROR(HYPERLINK("#Main!A"&amp;MATCH(A598,Main!A:A,0),"Open"),HYPERLINK("#Main!A1","Open"))</f>
        <v/>
      </c>
    </row>
    <row r="599" ht="30" customHeight="1">
      <c r="A599" s="33" t="inlineStr">
        <is>
          <t>https://africanmarketingconfederation.org/amc-conference-2023/speakers/</t>
        </is>
      </c>
      <c r="B599" s="26" t="inlineStr">
        <is>
          <t>No Answer-Friendly Structure</t>
        </is>
      </c>
      <c r="C599" s="6" t="inlineStr">
        <is>
          <t>https://africanmarketingconfederation.org/amc-conference-2023/speakers/::no_answer-friendly_structure</t>
        </is>
      </c>
      <c r="D599" s="29" t="inlineStr">
        <is>
          <t>Info</t>
        </is>
      </c>
      <c r="E599" s="6" t="inlineStr">
        <is>
          <t>Copy Writer</t>
        </is>
      </c>
      <c r="F599" s="6" t="inlineStr"/>
      <c r="G599" s="25" t="inlineStr">
        <is>
          <t>Open</t>
        </is>
      </c>
      <c r="H599">
        <f>IFERROR(HYPERLINK("#Main!A"&amp;MATCH(A599,Main!A:A,0),"Open"),HYPERLINK("#Main!A1","Open"))</f>
        <v/>
      </c>
    </row>
    <row r="600" ht="30" customHeight="1">
      <c r="A600" s="33" t="inlineStr">
        <is>
          <t>https://africanmarketingconfederation.org/amc-conference-2023/speakers/</t>
        </is>
      </c>
      <c r="B600" s="26" t="inlineStr">
        <is>
          <t>No 40-60 Word Answer Paragraphs</t>
        </is>
      </c>
      <c r="C600" s="24" t="inlineStr">
        <is>
          <t>https://africanmarketingconfederation.org/amc-conference-2023/speakers/::no_40-60_word_answer_paragraphs</t>
        </is>
      </c>
      <c r="D600" s="29" t="inlineStr">
        <is>
          <t>Info</t>
        </is>
      </c>
      <c r="E600" s="24" t="inlineStr">
        <is>
          <t>Copy Writer</t>
        </is>
      </c>
      <c r="F600" s="24" t="inlineStr"/>
      <c r="G600" s="25" t="inlineStr">
        <is>
          <t>Open</t>
        </is>
      </c>
      <c r="H600">
        <f>IFERROR(HYPERLINK("#Main!A"&amp;MATCH(A600,Main!A:A,0),"Open"),HYPERLINK("#Main!A1","Open"))</f>
        <v/>
      </c>
    </row>
    <row r="601" ht="30" customHeight="1">
      <c r="A601" s="33" t="inlineStr">
        <is>
          <t>https://africanmarketingconfederation.org/chartered-marketer-africa-thank-you/</t>
        </is>
      </c>
      <c r="B601" s="26" t="inlineStr">
        <is>
          <t>Missing H1</t>
        </is>
      </c>
      <c r="C601" s="6" t="inlineStr">
        <is>
          <t>https://africanmarketingconfederation.org/chartered-marketer-africa-thank-you/::missing_h1</t>
        </is>
      </c>
      <c r="D601" s="25" t="inlineStr">
        <is>
          <t>Warning</t>
        </is>
      </c>
      <c r="E601" s="6" t="inlineStr">
        <is>
          <t>Copy Writer</t>
        </is>
      </c>
      <c r="F601" s="6" t="inlineStr"/>
      <c r="G601" s="25" t="inlineStr">
        <is>
          <t>Open</t>
        </is>
      </c>
      <c r="H601">
        <f>IFERROR(HYPERLINK("#Main!A"&amp;MATCH(A601,Main!A:A,0),"Open"),HYPERLINK("#Main!A1","Open"))</f>
        <v/>
      </c>
    </row>
    <row r="602" ht="30" customHeight="1">
      <c r="A602" s="33" t="inlineStr">
        <is>
          <t>https://africanmarketingconfederation.org/chartered-marketer-africa-thank-you/</t>
        </is>
      </c>
      <c r="B602" s="26" t="inlineStr">
        <is>
          <t>Thin Content</t>
        </is>
      </c>
      <c r="C602" s="24" t="inlineStr">
        <is>
          <t>https://africanmarketingconfederation.org/chartered-marketer-africa-thank-you/::thin_content</t>
        </is>
      </c>
      <c r="D602" s="25" t="inlineStr">
        <is>
          <t>Warning</t>
        </is>
      </c>
      <c r="E602" s="24" t="inlineStr">
        <is>
          <t>Copy Writer</t>
        </is>
      </c>
      <c r="F602" s="24" t="inlineStr"/>
      <c r="G602" s="25" t="inlineStr">
        <is>
          <t>Open</t>
        </is>
      </c>
      <c r="H602">
        <f>IFERROR(HYPERLINK("#Main!A"&amp;MATCH(A602,Main!A:A,0),"Open"),HYPERLINK("#Main!A1","Open"))</f>
        <v/>
      </c>
    </row>
    <row r="603" ht="30" customHeight="1">
      <c r="A603" s="33" t="inlineStr">
        <is>
          <t>https://africanmarketingconfederation.org/chartered-marketer-africa-thank-you/</t>
        </is>
      </c>
      <c r="B603" s="26" t="inlineStr">
        <is>
          <t>Low AEO Readiness Score</t>
        </is>
      </c>
      <c r="C603" s="6" t="inlineStr">
        <is>
          <t>https://africanmarketingconfederation.org/chartered-marketer-africa-thank-you/::low_aeo_readiness_score</t>
        </is>
      </c>
      <c r="D603" s="25" t="inlineStr">
        <is>
          <t>Warning</t>
        </is>
      </c>
      <c r="E603" s="6" t="inlineStr">
        <is>
          <t>Copy Writer</t>
        </is>
      </c>
      <c r="F603" s="6" t="inlineStr"/>
      <c r="G603" s="25" t="inlineStr">
        <is>
          <t>Open</t>
        </is>
      </c>
      <c r="H603">
        <f>IFERROR(HYPERLINK("#Main!A"&amp;MATCH(A603,Main!A:A,0),"Open"),HYPERLINK("#Main!A1","Open"))</f>
        <v/>
      </c>
    </row>
    <row r="604" ht="30" customHeight="1">
      <c r="A604" s="33" t="inlineStr">
        <is>
          <t>https://africanmarketingconfederation.org/chartered-marketer-africa-thank-you/</t>
        </is>
      </c>
      <c r="B604" s="26" t="inlineStr">
        <is>
          <t>No Compression Header</t>
        </is>
      </c>
      <c r="C604" s="24" t="inlineStr">
        <is>
          <t>https://africanmarketingconfederation.org/chartered-marketer-africa-thank-you/::no_compression_header</t>
        </is>
      </c>
      <c r="D604" s="29" t="inlineStr">
        <is>
          <t>Info</t>
        </is>
      </c>
      <c r="E604" s="24" t="inlineStr">
        <is>
          <t>Server/Host</t>
        </is>
      </c>
      <c r="F604" s="24" t="inlineStr"/>
      <c r="G604" s="25" t="inlineStr">
        <is>
          <t>Open</t>
        </is>
      </c>
      <c r="H604">
        <f>IFERROR(HYPERLINK("#Main!A"&amp;MATCH(A604,Main!A:A,0),"Open"),HYPERLINK("#Main!A1","Open"))</f>
        <v/>
      </c>
    </row>
    <row r="605" ht="30" customHeight="1">
      <c r="A605" s="33" t="inlineStr">
        <is>
          <t>https://africanmarketingconfederation.org/chartered-marketer-africa-thank-you/</t>
        </is>
      </c>
      <c r="B605" s="26" t="inlineStr">
        <is>
          <t>No Cache-Control Header</t>
        </is>
      </c>
      <c r="C605" s="6" t="inlineStr">
        <is>
          <t>https://africanmarketingconfederation.org/chartered-marketer-africa-thank-you/::no_cache-control_header</t>
        </is>
      </c>
      <c r="D605" s="29" t="inlineStr">
        <is>
          <t>Info</t>
        </is>
      </c>
      <c r="E605" s="6" t="inlineStr">
        <is>
          <t>Server/Host</t>
        </is>
      </c>
      <c r="F605" s="6" t="inlineStr"/>
      <c r="G605" s="25" t="inlineStr">
        <is>
          <t>Open</t>
        </is>
      </c>
      <c r="H605">
        <f>IFERROR(HYPERLINK("#Main!A"&amp;MATCH(A605,Main!A:A,0),"Open"),HYPERLINK("#Main!A1","Open"))</f>
        <v/>
      </c>
    </row>
    <row r="606" ht="30" customHeight="1">
      <c r="A606" s="33" t="inlineStr">
        <is>
          <t>https://africanmarketingconfederation.org/chartered-marketer-africa-thank-you/</t>
        </is>
      </c>
      <c r="B606" s="26" t="inlineStr">
        <is>
          <t>No ETag Header</t>
        </is>
      </c>
      <c r="C606" s="24" t="inlineStr">
        <is>
          <t>https://africanmarketingconfederation.org/chartered-marketer-africa-thank-you/::no_etag_header</t>
        </is>
      </c>
      <c r="D606" s="29" t="inlineStr">
        <is>
          <t>Info</t>
        </is>
      </c>
      <c r="E606" s="24" t="inlineStr">
        <is>
          <t>Server/Host</t>
        </is>
      </c>
      <c r="F606" s="24" t="inlineStr"/>
      <c r="G606" s="25" t="inlineStr">
        <is>
          <t>Open</t>
        </is>
      </c>
      <c r="H606">
        <f>IFERROR(HYPERLINK("#Main!A"&amp;MATCH(A606,Main!A:A,0),"Open"),HYPERLINK("#Main!A1","Open"))</f>
        <v/>
      </c>
    </row>
    <row r="607" ht="30" customHeight="1">
      <c r="A607" s="33" t="inlineStr">
        <is>
          <t>https://africanmarketingconfederation.org/chartered-marketer-africa-thank-you/</t>
        </is>
      </c>
      <c r="B607" s="26" t="inlineStr">
        <is>
          <t>No FAQ/QA Schema</t>
        </is>
      </c>
      <c r="C607" s="6" t="inlineStr">
        <is>
          <t>https://africanmarketingconfederation.org/chartered-marketer-africa-thank-you/::no_faq_qa_schema</t>
        </is>
      </c>
      <c r="D607" s="29" t="inlineStr">
        <is>
          <t>Info</t>
        </is>
      </c>
      <c r="E607" s="6" t="inlineStr">
        <is>
          <t>Dev</t>
        </is>
      </c>
      <c r="F607" s="6" t="inlineStr"/>
      <c r="G607" s="25" t="inlineStr">
        <is>
          <t>Open</t>
        </is>
      </c>
      <c r="H607">
        <f>IFERROR(HYPERLINK("#Main!A"&amp;MATCH(A607,Main!A:A,0),"Open"),HYPERLINK("#Main!A1","Open"))</f>
        <v/>
      </c>
    </row>
    <row r="608" ht="30" customHeight="1">
      <c r="A608" s="33" t="inlineStr">
        <is>
          <t>https://africanmarketingconfederation.org/chartered-marketer-africa-thank-you/</t>
        </is>
      </c>
      <c r="B608" s="26" t="inlineStr">
        <is>
          <t>No Question Headings</t>
        </is>
      </c>
      <c r="C608" s="24" t="inlineStr">
        <is>
          <t>https://africanmarketingconfederation.org/chartered-marketer-africa-thank-you/::no_question_headings</t>
        </is>
      </c>
      <c r="D608" s="29" t="inlineStr">
        <is>
          <t>Info</t>
        </is>
      </c>
      <c r="E608" s="24" t="inlineStr">
        <is>
          <t>Copy Writer</t>
        </is>
      </c>
      <c r="F608" s="24" t="inlineStr"/>
      <c r="G608" s="25" t="inlineStr">
        <is>
          <t>Open</t>
        </is>
      </c>
      <c r="H608">
        <f>IFERROR(HYPERLINK("#Main!A"&amp;MATCH(A608,Main!A:A,0),"Open"),HYPERLINK("#Main!A1","Open"))</f>
        <v/>
      </c>
    </row>
    <row r="609" ht="30" customHeight="1">
      <c r="A609" s="33" t="inlineStr">
        <is>
          <t>https://africanmarketingconfederation.org/chartered-marketer-africa-thank-you/</t>
        </is>
      </c>
      <c r="B609" s="26" t="inlineStr">
        <is>
          <t>No Answer-Friendly Structure</t>
        </is>
      </c>
      <c r="C609" s="6" t="inlineStr">
        <is>
          <t>https://africanmarketingconfederation.org/chartered-marketer-africa-thank-you/::no_answer-friendly_structure</t>
        </is>
      </c>
      <c r="D609" s="29" t="inlineStr">
        <is>
          <t>Info</t>
        </is>
      </c>
      <c r="E609" s="6" t="inlineStr">
        <is>
          <t>Copy Writer</t>
        </is>
      </c>
      <c r="F609" s="6" t="inlineStr"/>
      <c r="G609" s="25" t="inlineStr">
        <is>
          <t>Open</t>
        </is>
      </c>
      <c r="H609">
        <f>IFERROR(HYPERLINK("#Main!A"&amp;MATCH(A609,Main!A:A,0),"Open"),HYPERLINK("#Main!A1","Open"))</f>
        <v/>
      </c>
    </row>
    <row r="610" ht="30" customHeight="1">
      <c r="A610" s="33" t="inlineStr">
        <is>
          <t>https://africanmarketingconfederation.org/chartered-marketer-africa-thank-you/</t>
        </is>
      </c>
      <c r="B610" s="26" t="inlineStr">
        <is>
          <t>No 40-60 Word Answer Paragraphs</t>
        </is>
      </c>
      <c r="C610" s="24" t="inlineStr">
        <is>
          <t>https://africanmarketingconfederation.org/chartered-marketer-africa-thank-you/::no_40-60_word_answer_paragraphs</t>
        </is>
      </c>
      <c r="D610" s="29" t="inlineStr">
        <is>
          <t>Info</t>
        </is>
      </c>
      <c r="E610" s="24" t="inlineStr">
        <is>
          <t>Copy Writer</t>
        </is>
      </c>
      <c r="F610" s="24" t="inlineStr"/>
      <c r="G610" s="25" t="inlineStr">
        <is>
          <t>Open</t>
        </is>
      </c>
      <c r="H610">
        <f>IFERROR(HYPERLINK("#Main!A"&amp;MATCH(A610,Main!A:A,0),"Open"),HYPERLINK("#Main!A1","Open"))</f>
        <v/>
      </c>
    </row>
    <row r="611" ht="30" customHeight="1">
      <c r="A611" s="33" t="inlineStr">
        <is>
          <t>https://africanmarketingconfederation.org/amc-conference-2023/amc-awards-book-now/</t>
        </is>
      </c>
      <c r="B611" s="26" t="inlineStr">
        <is>
          <t>Missing Meta Description</t>
        </is>
      </c>
      <c r="C611" s="6" t="inlineStr">
        <is>
          <t>https://africanmarketingconfederation.org/amc-conference-2023/amc-awards-book-now/::missing_meta_description</t>
        </is>
      </c>
      <c r="D611" s="25" t="inlineStr">
        <is>
          <t>Warning</t>
        </is>
      </c>
      <c r="E611" s="6" t="inlineStr">
        <is>
          <t>Copy Writer</t>
        </is>
      </c>
      <c r="F611" s="6" t="inlineStr"/>
      <c r="G611" s="25" t="inlineStr">
        <is>
          <t>Open</t>
        </is>
      </c>
      <c r="H611">
        <f>IFERROR(HYPERLINK("#Main!A"&amp;MATCH(A611,Main!A:A,0),"Open"),HYPERLINK("#Main!A1","Open"))</f>
        <v/>
      </c>
    </row>
    <row r="612" ht="30" customHeight="1">
      <c r="A612" s="33" t="inlineStr">
        <is>
          <t>https://africanmarketingconfederation.org/amc-conference-2023/amc-awards-book-now/</t>
        </is>
      </c>
      <c r="B612" s="26" t="inlineStr">
        <is>
          <t>Missing H1</t>
        </is>
      </c>
      <c r="C612" s="24" t="inlineStr">
        <is>
          <t>https://africanmarketingconfederation.org/amc-conference-2023/amc-awards-book-now/::missing_h1</t>
        </is>
      </c>
      <c r="D612" s="25" t="inlineStr">
        <is>
          <t>Warning</t>
        </is>
      </c>
      <c r="E612" s="24" t="inlineStr">
        <is>
          <t>Copy Writer</t>
        </is>
      </c>
      <c r="F612" s="24" t="inlineStr"/>
      <c r="G612" s="25" t="inlineStr">
        <is>
          <t>Open</t>
        </is>
      </c>
      <c r="H612">
        <f>IFERROR(HYPERLINK("#Main!A"&amp;MATCH(A612,Main!A:A,0),"Open"),HYPERLINK("#Main!A1","Open"))</f>
        <v/>
      </c>
    </row>
    <row r="613" ht="30" customHeight="1">
      <c r="A613" s="33" t="inlineStr">
        <is>
          <t>https://africanmarketingconfederation.org/amc-conference-2023/amc-awards-book-now/</t>
        </is>
      </c>
      <c r="B613" s="26" t="inlineStr">
        <is>
          <t>Thin Content</t>
        </is>
      </c>
      <c r="C613" s="6" t="inlineStr">
        <is>
          <t>https://africanmarketingconfederation.org/amc-conference-2023/amc-awards-book-now/::thin_content</t>
        </is>
      </c>
      <c r="D613" s="25" t="inlineStr">
        <is>
          <t>Warning</t>
        </is>
      </c>
      <c r="E613" s="6" t="inlineStr">
        <is>
          <t>Copy Writer</t>
        </is>
      </c>
      <c r="F613" s="6" t="inlineStr"/>
      <c r="G613" s="25" t="inlineStr">
        <is>
          <t>Open</t>
        </is>
      </c>
      <c r="H613">
        <f>IFERROR(HYPERLINK("#Main!A"&amp;MATCH(A613,Main!A:A,0),"Open"),HYPERLINK("#Main!A1","Open"))</f>
        <v/>
      </c>
    </row>
    <row r="614" ht="30" customHeight="1">
      <c r="A614" s="33" t="inlineStr">
        <is>
          <t>https://africanmarketingconfederation.org/amc-conference-2023/amc-awards-book-now/</t>
        </is>
      </c>
      <c r="B614" s="26" t="inlineStr">
        <is>
          <t>Low AEO Readiness Score</t>
        </is>
      </c>
      <c r="C614" s="24" t="inlineStr">
        <is>
          <t>https://africanmarketingconfederation.org/amc-conference-2023/amc-awards-book-now/::low_aeo_readiness_score</t>
        </is>
      </c>
      <c r="D614" s="25" t="inlineStr">
        <is>
          <t>Warning</t>
        </is>
      </c>
      <c r="E614" s="24" t="inlineStr">
        <is>
          <t>Copy Writer</t>
        </is>
      </c>
      <c r="F614" s="24" t="inlineStr"/>
      <c r="G614" s="25" t="inlineStr">
        <is>
          <t>Open</t>
        </is>
      </c>
      <c r="H614">
        <f>IFERROR(HYPERLINK("#Main!A"&amp;MATCH(A614,Main!A:A,0),"Open"),HYPERLINK("#Main!A1","Open"))</f>
        <v/>
      </c>
    </row>
    <row r="615" ht="30" customHeight="1">
      <c r="A615" s="33" t="inlineStr">
        <is>
          <t>https://africanmarketingconfederation.org/amc-conference-2023/amc-awards-book-now/</t>
        </is>
      </c>
      <c r="B615" s="26" t="inlineStr">
        <is>
          <t>No Compression Header</t>
        </is>
      </c>
      <c r="C615" s="6" t="inlineStr">
        <is>
          <t>https://africanmarketingconfederation.org/amc-conference-2023/amc-awards-book-now/::no_compression_header</t>
        </is>
      </c>
      <c r="D615" s="29" t="inlineStr">
        <is>
          <t>Info</t>
        </is>
      </c>
      <c r="E615" s="6" t="inlineStr">
        <is>
          <t>Server/Host</t>
        </is>
      </c>
      <c r="F615" s="6" t="inlineStr"/>
      <c r="G615" s="25" t="inlineStr">
        <is>
          <t>Open</t>
        </is>
      </c>
      <c r="H615">
        <f>IFERROR(HYPERLINK("#Main!A"&amp;MATCH(A615,Main!A:A,0),"Open"),HYPERLINK("#Main!A1","Open"))</f>
        <v/>
      </c>
    </row>
    <row r="616" ht="30" customHeight="1">
      <c r="A616" s="33" t="inlineStr">
        <is>
          <t>https://africanmarketingconfederation.org/amc-conference-2023/amc-awards-book-now/</t>
        </is>
      </c>
      <c r="B616" s="26" t="inlineStr">
        <is>
          <t>No Cache-Control Header</t>
        </is>
      </c>
      <c r="C616" s="24" t="inlineStr">
        <is>
          <t>https://africanmarketingconfederation.org/amc-conference-2023/amc-awards-book-now/::no_cache-control_header</t>
        </is>
      </c>
      <c r="D616" s="29" t="inlineStr">
        <is>
          <t>Info</t>
        </is>
      </c>
      <c r="E616" s="24" t="inlineStr">
        <is>
          <t>Server/Host</t>
        </is>
      </c>
      <c r="F616" s="24" t="inlineStr"/>
      <c r="G616" s="25" t="inlineStr">
        <is>
          <t>Open</t>
        </is>
      </c>
      <c r="H616">
        <f>IFERROR(HYPERLINK("#Main!A"&amp;MATCH(A616,Main!A:A,0),"Open"),HYPERLINK("#Main!A1","Open"))</f>
        <v/>
      </c>
    </row>
    <row r="617" ht="30" customHeight="1">
      <c r="A617" s="33" t="inlineStr">
        <is>
          <t>https://africanmarketingconfederation.org/amc-conference-2023/amc-awards-book-now/</t>
        </is>
      </c>
      <c r="B617" s="26" t="inlineStr">
        <is>
          <t>No ETag Header</t>
        </is>
      </c>
      <c r="C617" s="6" t="inlineStr">
        <is>
          <t>https://africanmarketingconfederation.org/amc-conference-2023/amc-awards-book-now/::no_etag_header</t>
        </is>
      </c>
      <c r="D617" s="29" t="inlineStr">
        <is>
          <t>Info</t>
        </is>
      </c>
      <c r="E617" s="6" t="inlineStr">
        <is>
          <t>Server/Host</t>
        </is>
      </c>
      <c r="F617" s="6" t="inlineStr"/>
      <c r="G617" s="25" t="inlineStr">
        <is>
          <t>Open</t>
        </is>
      </c>
      <c r="H617">
        <f>IFERROR(HYPERLINK("#Main!A"&amp;MATCH(A617,Main!A:A,0),"Open"),HYPERLINK("#Main!A1","Open"))</f>
        <v/>
      </c>
    </row>
    <row r="618" ht="30" customHeight="1">
      <c r="A618" s="33" t="inlineStr">
        <is>
          <t>https://africanmarketingconfederation.org/amc-conference-2023/amc-awards-book-now/</t>
        </is>
      </c>
      <c r="B618" s="26" t="inlineStr">
        <is>
          <t>No FAQ/QA Schema</t>
        </is>
      </c>
      <c r="C618" s="24" t="inlineStr">
        <is>
          <t>https://africanmarketingconfederation.org/amc-conference-2023/amc-awards-book-now/::no_faq_qa_schema</t>
        </is>
      </c>
      <c r="D618" s="29" t="inlineStr">
        <is>
          <t>Info</t>
        </is>
      </c>
      <c r="E618" s="24" t="inlineStr">
        <is>
          <t>Dev</t>
        </is>
      </c>
      <c r="F618" s="24" t="inlineStr"/>
      <c r="G618" s="25" t="inlineStr">
        <is>
          <t>Open</t>
        </is>
      </c>
      <c r="H618">
        <f>IFERROR(HYPERLINK("#Main!A"&amp;MATCH(A618,Main!A:A,0),"Open"),HYPERLINK("#Main!A1","Open"))</f>
        <v/>
      </c>
    </row>
    <row r="619" ht="30" customHeight="1">
      <c r="A619" s="33" t="inlineStr">
        <is>
          <t>https://africanmarketingconfederation.org/amc-conference-2023/amc-awards-book-now/</t>
        </is>
      </c>
      <c r="B619" s="26" t="inlineStr">
        <is>
          <t>No Question Headings</t>
        </is>
      </c>
      <c r="C619" s="6" t="inlineStr">
        <is>
          <t>https://africanmarketingconfederation.org/amc-conference-2023/amc-awards-book-now/::no_question_headings</t>
        </is>
      </c>
      <c r="D619" s="29" t="inlineStr">
        <is>
          <t>Info</t>
        </is>
      </c>
      <c r="E619" s="6" t="inlineStr">
        <is>
          <t>Copy Writer</t>
        </is>
      </c>
      <c r="F619" s="6" t="inlineStr"/>
      <c r="G619" s="25" t="inlineStr">
        <is>
          <t>Open</t>
        </is>
      </c>
      <c r="H619">
        <f>IFERROR(HYPERLINK("#Main!A"&amp;MATCH(A619,Main!A:A,0),"Open"),HYPERLINK("#Main!A1","Open"))</f>
        <v/>
      </c>
    </row>
    <row r="620" ht="30" customHeight="1">
      <c r="A620" s="33" t="inlineStr">
        <is>
          <t>https://africanmarketingconfederation.org/amc-conference-2023/amc-awards-book-now/</t>
        </is>
      </c>
      <c r="B620" s="26" t="inlineStr">
        <is>
          <t>No Answer-Friendly Structure</t>
        </is>
      </c>
      <c r="C620" s="24" t="inlineStr">
        <is>
          <t>https://africanmarketingconfederation.org/amc-conference-2023/amc-awards-book-now/::no_answer-friendly_structure</t>
        </is>
      </c>
      <c r="D620" s="29" t="inlineStr">
        <is>
          <t>Info</t>
        </is>
      </c>
      <c r="E620" s="24" t="inlineStr">
        <is>
          <t>Copy Writer</t>
        </is>
      </c>
      <c r="F620" s="24" t="inlineStr"/>
      <c r="G620" s="25" t="inlineStr">
        <is>
          <t>Open</t>
        </is>
      </c>
      <c r="H620">
        <f>IFERROR(HYPERLINK("#Main!A"&amp;MATCH(A620,Main!A:A,0),"Open"),HYPERLINK("#Main!A1","Open"))</f>
        <v/>
      </c>
    </row>
    <row r="621" ht="30" customHeight="1">
      <c r="A621" s="33" t="inlineStr">
        <is>
          <t>https://africanmarketingconfederation.org/amc-conference-2023/amc-awards-book-now/</t>
        </is>
      </c>
      <c r="B621" s="26" t="inlineStr">
        <is>
          <t>No 40-60 Word Answer Paragraphs</t>
        </is>
      </c>
      <c r="C621" s="6" t="inlineStr">
        <is>
          <t>https://africanmarketingconfederation.org/amc-conference-2023/amc-awards-book-now/::no_40-60_word_answer_paragraphs</t>
        </is>
      </c>
      <c r="D621" s="29" t="inlineStr">
        <is>
          <t>Info</t>
        </is>
      </c>
      <c r="E621" s="6" t="inlineStr">
        <is>
          <t>Copy Writer</t>
        </is>
      </c>
      <c r="F621" s="6" t="inlineStr"/>
      <c r="G621" s="25" t="inlineStr">
        <is>
          <t>Open</t>
        </is>
      </c>
      <c r="H621">
        <f>IFERROR(HYPERLINK("#Main!A"&amp;MATCH(A621,Main!A:A,0),"Open"),HYPERLINK("#Main!A1","Open"))</f>
        <v/>
      </c>
    </row>
    <row r="622" ht="30" customHeight="1">
      <c r="A622" s="33" t="inlineStr">
        <is>
          <t>https://africanmarketingconfederation.org/amc-conference-2023/book-now/</t>
        </is>
      </c>
      <c r="B622" s="26" t="inlineStr">
        <is>
          <t>Thin Content</t>
        </is>
      </c>
      <c r="C622" s="24" t="inlineStr">
        <is>
          <t>https://africanmarketingconfederation.org/amc-conference-2023/book-now/::thin_content</t>
        </is>
      </c>
      <c r="D622" s="25" t="inlineStr">
        <is>
          <t>Warning</t>
        </is>
      </c>
      <c r="E622" s="24" t="inlineStr">
        <is>
          <t>Copy Writer</t>
        </is>
      </c>
      <c r="F622" s="24" t="inlineStr"/>
      <c r="G622" s="25" t="inlineStr">
        <is>
          <t>Open</t>
        </is>
      </c>
      <c r="H622">
        <f>IFERROR(HYPERLINK("#Main!A"&amp;MATCH(A622,Main!A:A,0),"Open"),HYPERLINK("#Main!A1","Open"))</f>
        <v/>
      </c>
    </row>
    <row r="623" ht="30" customHeight="1">
      <c r="A623" s="33" t="inlineStr">
        <is>
          <t>https://africanmarketingconfederation.org/amc-conference-2023/book-now/</t>
        </is>
      </c>
      <c r="B623" s="26" t="inlineStr">
        <is>
          <t>Low AEO Readiness Score</t>
        </is>
      </c>
      <c r="C623" s="6" t="inlineStr">
        <is>
          <t>https://africanmarketingconfederation.org/amc-conference-2023/book-now/::low_aeo_readiness_score</t>
        </is>
      </c>
      <c r="D623" s="25" t="inlineStr">
        <is>
          <t>Warning</t>
        </is>
      </c>
      <c r="E623" s="6" t="inlineStr">
        <is>
          <t>Copy Writer</t>
        </is>
      </c>
      <c r="F623" s="6" t="inlineStr"/>
      <c r="G623" s="25" t="inlineStr">
        <is>
          <t>Open</t>
        </is>
      </c>
      <c r="H623">
        <f>IFERROR(HYPERLINK("#Main!A"&amp;MATCH(A623,Main!A:A,0),"Open"),HYPERLINK("#Main!A1","Open"))</f>
        <v/>
      </c>
    </row>
    <row r="624" ht="30" customHeight="1">
      <c r="A624" s="33" t="inlineStr">
        <is>
          <t>https://africanmarketingconfederation.org/amc-conference-2023/book-now/</t>
        </is>
      </c>
      <c r="B624" s="26" t="inlineStr">
        <is>
          <t>No Compression Header</t>
        </is>
      </c>
      <c r="C624" s="24" t="inlineStr">
        <is>
          <t>https://africanmarketingconfederation.org/amc-conference-2023/book-now/::no_compression_header</t>
        </is>
      </c>
      <c r="D624" s="29" t="inlineStr">
        <is>
          <t>Info</t>
        </is>
      </c>
      <c r="E624" s="24" t="inlineStr">
        <is>
          <t>Server/Host</t>
        </is>
      </c>
      <c r="F624" s="24" t="inlineStr"/>
      <c r="G624" s="25" t="inlineStr">
        <is>
          <t>Open</t>
        </is>
      </c>
      <c r="H624">
        <f>IFERROR(HYPERLINK("#Main!A"&amp;MATCH(A624,Main!A:A,0),"Open"),HYPERLINK("#Main!A1","Open"))</f>
        <v/>
      </c>
    </row>
    <row r="625" ht="30" customHeight="1">
      <c r="A625" s="33" t="inlineStr">
        <is>
          <t>https://africanmarketingconfederation.org/amc-conference-2023/book-now/</t>
        </is>
      </c>
      <c r="B625" s="26" t="inlineStr">
        <is>
          <t>No Cache-Control Header</t>
        </is>
      </c>
      <c r="C625" s="6" t="inlineStr">
        <is>
          <t>https://africanmarketingconfederation.org/amc-conference-2023/book-now/::no_cache-control_header</t>
        </is>
      </c>
      <c r="D625" s="29" t="inlineStr">
        <is>
          <t>Info</t>
        </is>
      </c>
      <c r="E625" s="6" t="inlineStr">
        <is>
          <t>Server/Host</t>
        </is>
      </c>
      <c r="F625" s="6" t="inlineStr"/>
      <c r="G625" s="25" t="inlineStr">
        <is>
          <t>Open</t>
        </is>
      </c>
      <c r="H625">
        <f>IFERROR(HYPERLINK("#Main!A"&amp;MATCH(A625,Main!A:A,0),"Open"),HYPERLINK("#Main!A1","Open"))</f>
        <v/>
      </c>
    </row>
    <row r="626" ht="30" customHeight="1">
      <c r="A626" s="33" t="inlineStr">
        <is>
          <t>https://africanmarketingconfederation.org/amc-conference-2023/book-now/</t>
        </is>
      </c>
      <c r="B626" s="26" t="inlineStr">
        <is>
          <t>No ETag Header</t>
        </is>
      </c>
      <c r="C626" s="24" t="inlineStr">
        <is>
          <t>https://africanmarketingconfederation.org/amc-conference-2023/book-now/::no_etag_header</t>
        </is>
      </c>
      <c r="D626" s="29" t="inlineStr">
        <is>
          <t>Info</t>
        </is>
      </c>
      <c r="E626" s="24" t="inlineStr">
        <is>
          <t>Server/Host</t>
        </is>
      </c>
      <c r="F626" s="24" t="inlineStr"/>
      <c r="G626" s="25" t="inlineStr">
        <is>
          <t>Open</t>
        </is>
      </c>
      <c r="H626">
        <f>IFERROR(HYPERLINK("#Main!A"&amp;MATCH(A626,Main!A:A,0),"Open"),HYPERLINK("#Main!A1","Open"))</f>
        <v/>
      </c>
    </row>
    <row r="627" ht="30" customHeight="1">
      <c r="A627" s="33" t="inlineStr">
        <is>
          <t>https://africanmarketingconfederation.org/amc-conference-2023/book-now/</t>
        </is>
      </c>
      <c r="B627" s="26" t="inlineStr">
        <is>
          <t>No FAQ/QA Schema</t>
        </is>
      </c>
      <c r="C627" s="6" t="inlineStr">
        <is>
          <t>https://africanmarketingconfederation.org/amc-conference-2023/book-now/::no_faq_qa_schema</t>
        </is>
      </c>
      <c r="D627" s="29" t="inlineStr">
        <is>
          <t>Info</t>
        </is>
      </c>
      <c r="E627" s="6" t="inlineStr">
        <is>
          <t>Dev</t>
        </is>
      </c>
      <c r="F627" s="6" t="inlineStr"/>
      <c r="G627" s="25" t="inlineStr">
        <is>
          <t>Open</t>
        </is>
      </c>
      <c r="H627">
        <f>IFERROR(HYPERLINK("#Main!A"&amp;MATCH(A627,Main!A:A,0),"Open"),HYPERLINK("#Main!A1","Open"))</f>
        <v/>
      </c>
    </row>
    <row r="628" ht="30" customHeight="1">
      <c r="A628" s="33" t="inlineStr">
        <is>
          <t>https://africanmarketingconfederation.org/amc-conference-2023/book-now/</t>
        </is>
      </c>
      <c r="B628" s="26" t="inlineStr">
        <is>
          <t>No Question Headings</t>
        </is>
      </c>
      <c r="C628" s="24" t="inlineStr">
        <is>
          <t>https://africanmarketingconfederation.org/amc-conference-2023/book-now/::no_question_headings</t>
        </is>
      </c>
      <c r="D628" s="29" t="inlineStr">
        <is>
          <t>Info</t>
        </is>
      </c>
      <c r="E628" s="24" t="inlineStr">
        <is>
          <t>Copy Writer</t>
        </is>
      </c>
      <c r="F628" s="24" t="inlineStr"/>
      <c r="G628" s="25" t="inlineStr">
        <is>
          <t>Open</t>
        </is>
      </c>
      <c r="H628">
        <f>IFERROR(HYPERLINK("#Main!A"&amp;MATCH(A628,Main!A:A,0),"Open"),HYPERLINK("#Main!A1","Open"))</f>
        <v/>
      </c>
    </row>
    <row r="629" ht="30" customHeight="1">
      <c r="A629" s="33" t="inlineStr">
        <is>
          <t>https://africanmarketingconfederation.org/amc-conference-2023/book-now/</t>
        </is>
      </c>
      <c r="B629" s="26" t="inlineStr">
        <is>
          <t>No Answer-Friendly Structure</t>
        </is>
      </c>
      <c r="C629" s="6" t="inlineStr">
        <is>
          <t>https://africanmarketingconfederation.org/amc-conference-2023/book-now/::no_answer-friendly_structure</t>
        </is>
      </c>
      <c r="D629" s="29" t="inlineStr">
        <is>
          <t>Info</t>
        </is>
      </c>
      <c r="E629" s="6" t="inlineStr">
        <is>
          <t>Copy Writer</t>
        </is>
      </c>
      <c r="F629" s="6" t="inlineStr"/>
      <c r="G629" s="25" t="inlineStr">
        <is>
          <t>Open</t>
        </is>
      </c>
      <c r="H629">
        <f>IFERROR(HYPERLINK("#Main!A"&amp;MATCH(A629,Main!A:A,0),"Open"),HYPERLINK("#Main!A1","Open"))</f>
        <v/>
      </c>
    </row>
    <row r="630" ht="30" customHeight="1">
      <c r="A630" s="33" t="inlineStr">
        <is>
          <t>https://africanmarketingconfederation.org/amc-conference-2023/book-now/</t>
        </is>
      </c>
      <c r="B630" s="26" t="inlineStr">
        <is>
          <t>No 40-60 Word Answer Paragraphs</t>
        </is>
      </c>
      <c r="C630" s="24" t="inlineStr">
        <is>
          <t>https://africanmarketingconfederation.org/amc-conference-2023/book-now/::no_40-60_word_answer_paragraphs</t>
        </is>
      </c>
      <c r="D630" s="29" t="inlineStr">
        <is>
          <t>Info</t>
        </is>
      </c>
      <c r="E630" s="24" t="inlineStr">
        <is>
          <t>Copy Writer</t>
        </is>
      </c>
      <c r="F630" s="24" t="inlineStr"/>
      <c r="G630" s="25" t="inlineStr">
        <is>
          <t>Open</t>
        </is>
      </c>
      <c r="H630">
        <f>IFERROR(HYPERLINK("#Main!A"&amp;MATCH(A630,Main!A:A,0),"Open"),HYPERLINK("#Main!A1","Open"))</f>
        <v/>
      </c>
    </row>
    <row r="631" ht="30" customHeight="1">
      <c r="A631" s="33" t="inlineStr">
        <is>
          <t>https://africanmarketingconfederation.org/amc-conference-2023/download-prospectus/</t>
        </is>
      </c>
      <c r="B631" s="26" t="inlineStr">
        <is>
          <t>Thin Content</t>
        </is>
      </c>
      <c r="C631" s="6" t="inlineStr">
        <is>
          <t>https://africanmarketingconfederation.org/amc-conference-2023/download-prospectus/::thin_content</t>
        </is>
      </c>
      <c r="D631" s="25" t="inlineStr">
        <is>
          <t>Warning</t>
        </is>
      </c>
      <c r="E631" s="6" t="inlineStr">
        <is>
          <t>Copy Writer</t>
        </is>
      </c>
      <c r="F631" s="6" t="inlineStr"/>
      <c r="G631" s="25" t="inlineStr">
        <is>
          <t>Open</t>
        </is>
      </c>
      <c r="H631">
        <f>IFERROR(HYPERLINK("#Main!A"&amp;MATCH(A631,Main!A:A,0),"Open"),HYPERLINK("#Main!A1","Open"))</f>
        <v/>
      </c>
    </row>
    <row r="632" ht="30" customHeight="1">
      <c r="A632" s="33" t="inlineStr">
        <is>
          <t>https://africanmarketingconfederation.org/amc-conference-2023/download-prospectus/</t>
        </is>
      </c>
      <c r="B632" s="26" t="inlineStr">
        <is>
          <t>Low AEO Readiness Score</t>
        </is>
      </c>
      <c r="C632" s="24" t="inlineStr">
        <is>
          <t>https://africanmarketingconfederation.org/amc-conference-2023/download-prospectus/::low_aeo_readiness_score</t>
        </is>
      </c>
      <c r="D632" s="25" t="inlineStr">
        <is>
          <t>Warning</t>
        </is>
      </c>
      <c r="E632" s="24" t="inlineStr">
        <is>
          <t>Copy Writer</t>
        </is>
      </c>
      <c r="F632" s="24" t="inlineStr"/>
      <c r="G632" s="25" t="inlineStr">
        <is>
          <t>Open</t>
        </is>
      </c>
      <c r="H632">
        <f>IFERROR(HYPERLINK("#Main!A"&amp;MATCH(A632,Main!A:A,0),"Open"),HYPERLINK("#Main!A1","Open"))</f>
        <v/>
      </c>
    </row>
    <row r="633" ht="30" customHeight="1">
      <c r="A633" s="33" t="inlineStr">
        <is>
          <t>https://africanmarketingconfederation.org/amc-conference-2023/download-prospectus/</t>
        </is>
      </c>
      <c r="B633" s="26" t="inlineStr">
        <is>
          <t>No Compression Header</t>
        </is>
      </c>
      <c r="C633" s="6" t="inlineStr">
        <is>
          <t>https://africanmarketingconfederation.org/amc-conference-2023/download-prospectus/::no_compression_header</t>
        </is>
      </c>
      <c r="D633" s="29" t="inlineStr">
        <is>
          <t>Info</t>
        </is>
      </c>
      <c r="E633" s="6" t="inlineStr">
        <is>
          <t>Server/Host</t>
        </is>
      </c>
      <c r="F633" s="6" t="inlineStr"/>
      <c r="G633" s="25" t="inlineStr">
        <is>
          <t>Open</t>
        </is>
      </c>
      <c r="H633">
        <f>IFERROR(HYPERLINK("#Main!A"&amp;MATCH(A633,Main!A:A,0),"Open"),HYPERLINK("#Main!A1","Open"))</f>
        <v/>
      </c>
    </row>
    <row r="634" ht="30" customHeight="1">
      <c r="A634" s="33" t="inlineStr">
        <is>
          <t>https://africanmarketingconfederation.org/amc-conference-2023/download-prospectus/</t>
        </is>
      </c>
      <c r="B634" s="26" t="inlineStr">
        <is>
          <t>No Cache-Control Header</t>
        </is>
      </c>
      <c r="C634" s="24" t="inlineStr">
        <is>
          <t>https://africanmarketingconfederation.org/amc-conference-2023/download-prospectus/::no_cache-control_header</t>
        </is>
      </c>
      <c r="D634" s="29" t="inlineStr">
        <is>
          <t>Info</t>
        </is>
      </c>
      <c r="E634" s="24" t="inlineStr">
        <is>
          <t>Server/Host</t>
        </is>
      </c>
      <c r="F634" s="24" t="inlineStr"/>
      <c r="G634" s="25" t="inlineStr">
        <is>
          <t>Open</t>
        </is>
      </c>
      <c r="H634">
        <f>IFERROR(HYPERLINK("#Main!A"&amp;MATCH(A634,Main!A:A,0),"Open"),HYPERLINK("#Main!A1","Open"))</f>
        <v/>
      </c>
    </row>
    <row r="635" ht="30" customHeight="1">
      <c r="A635" s="33" t="inlineStr">
        <is>
          <t>https://africanmarketingconfederation.org/amc-conference-2023/download-prospectus/</t>
        </is>
      </c>
      <c r="B635" s="26" t="inlineStr">
        <is>
          <t>No ETag Header</t>
        </is>
      </c>
      <c r="C635" s="6" t="inlineStr">
        <is>
          <t>https://africanmarketingconfederation.org/amc-conference-2023/download-prospectus/::no_etag_header</t>
        </is>
      </c>
      <c r="D635" s="29" t="inlineStr">
        <is>
          <t>Info</t>
        </is>
      </c>
      <c r="E635" s="6" t="inlineStr">
        <is>
          <t>Server/Host</t>
        </is>
      </c>
      <c r="F635" s="6" t="inlineStr"/>
      <c r="G635" s="25" t="inlineStr">
        <is>
          <t>Open</t>
        </is>
      </c>
      <c r="H635">
        <f>IFERROR(HYPERLINK("#Main!A"&amp;MATCH(A635,Main!A:A,0),"Open"),HYPERLINK("#Main!A1","Open"))</f>
        <v/>
      </c>
    </row>
    <row r="636" ht="30" customHeight="1">
      <c r="A636" s="33" t="inlineStr">
        <is>
          <t>https://africanmarketingconfederation.org/amc-conference-2023/download-prospectus/</t>
        </is>
      </c>
      <c r="B636" s="26" t="inlineStr">
        <is>
          <t>No FAQ/QA Schema</t>
        </is>
      </c>
      <c r="C636" s="24" t="inlineStr">
        <is>
          <t>https://africanmarketingconfederation.org/amc-conference-2023/download-prospectus/::no_faq_qa_schema</t>
        </is>
      </c>
      <c r="D636" s="29" t="inlineStr">
        <is>
          <t>Info</t>
        </is>
      </c>
      <c r="E636" s="24" t="inlineStr">
        <is>
          <t>Dev</t>
        </is>
      </c>
      <c r="F636" s="24" t="inlineStr"/>
      <c r="G636" s="25" t="inlineStr">
        <is>
          <t>Open</t>
        </is>
      </c>
      <c r="H636">
        <f>IFERROR(HYPERLINK("#Main!A"&amp;MATCH(A636,Main!A:A,0),"Open"),HYPERLINK("#Main!A1","Open"))</f>
        <v/>
      </c>
    </row>
    <row r="637" ht="30" customHeight="1">
      <c r="A637" s="33" t="inlineStr">
        <is>
          <t>https://africanmarketingconfederation.org/amc-conference-2023/download-prospectus/</t>
        </is>
      </c>
      <c r="B637" s="26" t="inlineStr">
        <is>
          <t>No Question Headings</t>
        </is>
      </c>
      <c r="C637" s="6" t="inlineStr">
        <is>
          <t>https://africanmarketingconfederation.org/amc-conference-2023/download-prospectus/::no_question_headings</t>
        </is>
      </c>
      <c r="D637" s="29" t="inlineStr">
        <is>
          <t>Info</t>
        </is>
      </c>
      <c r="E637" s="6" t="inlineStr">
        <is>
          <t>Copy Writer</t>
        </is>
      </c>
      <c r="F637" s="6" t="inlineStr"/>
      <c r="G637" s="25" t="inlineStr">
        <is>
          <t>Open</t>
        </is>
      </c>
      <c r="H637">
        <f>IFERROR(HYPERLINK("#Main!A"&amp;MATCH(A637,Main!A:A,0),"Open"),HYPERLINK("#Main!A1","Open"))</f>
        <v/>
      </c>
    </row>
    <row r="638" ht="30" customHeight="1">
      <c r="A638" s="33" t="inlineStr">
        <is>
          <t>https://africanmarketingconfederation.org/amc-conference-2023/download-prospectus/</t>
        </is>
      </c>
      <c r="B638" s="26" t="inlineStr">
        <is>
          <t>No Answer-Friendly Structure</t>
        </is>
      </c>
      <c r="C638" s="24" t="inlineStr">
        <is>
          <t>https://africanmarketingconfederation.org/amc-conference-2023/download-prospectus/::no_answer-friendly_structure</t>
        </is>
      </c>
      <c r="D638" s="29" t="inlineStr">
        <is>
          <t>Info</t>
        </is>
      </c>
      <c r="E638" s="24" t="inlineStr">
        <is>
          <t>Copy Writer</t>
        </is>
      </c>
      <c r="F638" s="24" t="inlineStr"/>
      <c r="G638" s="25" t="inlineStr">
        <is>
          <t>Open</t>
        </is>
      </c>
      <c r="H638">
        <f>IFERROR(HYPERLINK("#Main!A"&amp;MATCH(A638,Main!A:A,0),"Open"),HYPERLINK("#Main!A1","Open"))</f>
        <v/>
      </c>
    </row>
    <row r="639" ht="30" customHeight="1">
      <c r="A639" s="33" t="inlineStr">
        <is>
          <t>https://africanmarketingconfederation.org/amc-conference-2023/download-prospectus/</t>
        </is>
      </c>
      <c r="B639" s="26" t="inlineStr">
        <is>
          <t>No 40-60 Word Answer Paragraphs</t>
        </is>
      </c>
      <c r="C639" s="6" t="inlineStr">
        <is>
          <t>https://africanmarketingconfederation.org/amc-conference-2023/download-prospectus/::no_40-60_word_answer_paragraphs</t>
        </is>
      </c>
      <c r="D639" s="29" t="inlineStr">
        <is>
          <t>Info</t>
        </is>
      </c>
      <c r="E639" s="6" t="inlineStr">
        <is>
          <t>Copy Writer</t>
        </is>
      </c>
      <c r="F639" s="6" t="inlineStr"/>
      <c r="G639" s="25" t="inlineStr">
        <is>
          <t>Open</t>
        </is>
      </c>
      <c r="H639">
        <f>IFERROR(HYPERLINK("#Main!A"&amp;MATCH(A639,Main!A:A,0),"Open"),HYPERLINK("#Main!A1","Open"))</f>
        <v/>
      </c>
    </row>
    <row r="640" ht="30" customHeight="1">
      <c r="A640" s="33" t="inlineStr">
        <is>
          <t>https://africanmarketingconfederation.org/thank-you-for-subscribing/</t>
        </is>
      </c>
      <c r="B640" s="26" t="inlineStr">
        <is>
          <t>Missing H1</t>
        </is>
      </c>
      <c r="C640" s="24" t="inlineStr">
        <is>
          <t>https://africanmarketingconfederation.org/thank-you-for-subscribing/::missing_h1</t>
        </is>
      </c>
      <c r="D640" s="25" t="inlineStr">
        <is>
          <t>Warning</t>
        </is>
      </c>
      <c r="E640" s="24" t="inlineStr">
        <is>
          <t>Copy Writer</t>
        </is>
      </c>
      <c r="F640" s="24" t="inlineStr"/>
      <c r="G640" s="25" t="inlineStr">
        <is>
          <t>Open</t>
        </is>
      </c>
      <c r="H640">
        <f>IFERROR(HYPERLINK("#Main!A"&amp;MATCH(A640,Main!A:A,0),"Open"),HYPERLINK("#Main!A1","Open"))</f>
        <v/>
      </c>
    </row>
    <row r="641" ht="30" customHeight="1">
      <c r="A641" s="33" t="inlineStr">
        <is>
          <t>https://africanmarketingconfederation.org/thank-you-for-subscribing/</t>
        </is>
      </c>
      <c r="B641" s="26" t="inlineStr">
        <is>
          <t>Thin Content</t>
        </is>
      </c>
      <c r="C641" s="6" t="inlineStr">
        <is>
          <t>https://africanmarketingconfederation.org/thank-you-for-subscribing/::thin_content</t>
        </is>
      </c>
      <c r="D641" s="25" t="inlineStr">
        <is>
          <t>Warning</t>
        </is>
      </c>
      <c r="E641" s="6" t="inlineStr">
        <is>
          <t>Copy Writer</t>
        </is>
      </c>
      <c r="F641" s="6" t="inlineStr"/>
      <c r="G641" s="25" t="inlineStr">
        <is>
          <t>Open</t>
        </is>
      </c>
      <c r="H641">
        <f>IFERROR(HYPERLINK("#Main!A"&amp;MATCH(A641,Main!A:A,0),"Open"),HYPERLINK("#Main!A1","Open"))</f>
        <v/>
      </c>
    </row>
    <row r="642" ht="30" customHeight="1">
      <c r="A642" s="33" t="inlineStr">
        <is>
          <t>https://africanmarketingconfederation.org/thank-you-for-subscribing/</t>
        </is>
      </c>
      <c r="B642" s="26" t="inlineStr">
        <is>
          <t>Low AEO Readiness Score</t>
        </is>
      </c>
      <c r="C642" s="24" t="inlineStr">
        <is>
          <t>https://africanmarketingconfederation.org/thank-you-for-subscribing/::low_aeo_readiness_score</t>
        </is>
      </c>
      <c r="D642" s="25" t="inlineStr">
        <is>
          <t>Warning</t>
        </is>
      </c>
      <c r="E642" s="24" t="inlineStr">
        <is>
          <t>Copy Writer</t>
        </is>
      </c>
      <c r="F642" s="24" t="inlineStr"/>
      <c r="G642" s="25" t="inlineStr">
        <is>
          <t>Open</t>
        </is>
      </c>
      <c r="H642">
        <f>IFERROR(HYPERLINK("#Main!A"&amp;MATCH(A642,Main!A:A,0),"Open"),HYPERLINK("#Main!A1","Open"))</f>
        <v/>
      </c>
    </row>
    <row r="643" ht="30" customHeight="1">
      <c r="A643" s="33" t="inlineStr">
        <is>
          <t>https://africanmarketingconfederation.org/thank-you-for-subscribing/</t>
        </is>
      </c>
      <c r="B643" s="26" t="inlineStr">
        <is>
          <t>No Compression Header</t>
        </is>
      </c>
      <c r="C643" s="6" t="inlineStr">
        <is>
          <t>https://africanmarketingconfederation.org/thank-you-for-subscribing/::no_compression_header</t>
        </is>
      </c>
      <c r="D643" s="29" t="inlineStr">
        <is>
          <t>Info</t>
        </is>
      </c>
      <c r="E643" s="6" t="inlineStr">
        <is>
          <t>Server/Host</t>
        </is>
      </c>
      <c r="F643" s="6" t="inlineStr"/>
      <c r="G643" s="25" t="inlineStr">
        <is>
          <t>Open</t>
        </is>
      </c>
      <c r="H643">
        <f>IFERROR(HYPERLINK("#Main!A"&amp;MATCH(A643,Main!A:A,0),"Open"),HYPERLINK("#Main!A1","Open"))</f>
        <v/>
      </c>
    </row>
    <row r="644" ht="30" customHeight="1">
      <c r="A644" s="33" t="inlineStr">
        <is>
          <t>https://africanmarketingconfederation.org/thank-you-for-subscribing/</t>
        </is>
      </c>
      <c r="B644" s="26" t="inlineStr">
        <is>
          <t>No Cache-Control Header</t>
        </is>
      </c>
      <c r="C644" s="24" t="inlineStr">
        <is>
          <t>https://africanmarketingconfederation.org/thank-you-for-subscribing/::no_cache-control_header</t>
        </is>
      </c>
      <c r="D644" s="29" t="inlineStr">
        <is>
          <t>Info</t>
        </is>
      </c>
      <c r="E644" s="24" t="inlineStr">
        <is>
          <t>Server/Host</t>
        </is>
      </c>
      <c r="F644" s="24" t="inlineStr"/>
      <c r="G644" s="25" t="inlineStr">
        <is>
          <t>Open</t>
        </is>
      </c>
      <c r="H644">
        <f>IFERROR(HYPERLINK("#Main!A"&amp;MATCH(A644,Main!A:A,0),"Open"),HYPERLINK("#Main!A1","Open"))</f>
        <v/>
      </c>
    </row>
    <row r="645" ht="30" customHeight="1">
      <c r="A645" s="33" t="inlineStr">
        <is>
          <t>https://africanmarketingconfederation.org/thank-you-for-subscribing/</t>
        </is>
      </c>
      <c r="B645" s="26" t="inlineStr">
        <is>
          <t>No ETag Header</t>
        </is>
      </c>
      <c r="C645" s="6" t="inlineStr">
        <is>
          <t>https://africanmarketingconfederation.org/thank-you-for-subscribing/::no_etag_header</t>
        </is>
      </c>
      <c r="D645" s="29" t="inlineStr">
        <is>
          <t>Info</t>
        </is>
      </c>
      <c r="E645" s="6" t="inlineStr">
        <is>
          <t>Server/Host</t>
        </is>
      </c>
      <c r="F645" s="6" t="inlineStr"/>
      <c r="G645" s="25" t="inlineStr">
        <is>
          <t>Open</t>
        </is>
      </c>
      <c r="H645">
        <f>IFERROR(HYPERLINK("#Main!A"&amp;MATCH(A645,Main!A:A,0),"Open"),HYPERLINK("#Main!A1","Open"))</f>
        <v/>
      </c>
    </row>
    <row r="646" ht="30" customHeight="1">
      <c r="A646" s="33" t="inlineStr">
        <is>
          <t>https://africanmarketingconfederation.org/thank-you-for-subscribing/</t>
        </is>
      </c>
      <c r="B646" s="26" t="inlineStr">
        <is>
          <t>No FAQ/QA Schema</t>
        </is>
      </c>
      <c r="C646" s="24" t="inlineStr">
        <is>
          <t>https://africanmarketingconfederation.org/thank-you-for-subscribing/::no_faq_qa_schema</t>
        </is>
      </c>
      <c r="D646" s="29" t="inlineStr">
        <is>
          <t>Info</t>
        </is>
      </c>
      <c r="E646" s="24" t="inlineStr">
        <is>
          <t>Dev</t>
        </is>
      </c>
      <c r="F646" s="24" t="inlineStr"/>
      <c r="G646" s="25" t="inlineStr">
        <is>
          <t>Open</t>
        </is>
      </c>
      <c r="H646">
        <f>IFERROR(HYPERLINK("#Main!A"&amp;MATCH(A646,Main!A:A,0),"Open"),HYPERLINK("#Main!A1","Open"))</f>
        <v/>
      </c>
    </row>
    <row r="647" ht="30" customHeight="1">
      <c r="A647" s="33" t="inlineStr">
        <is>
          <t>https://africanmarketingconfederation.org/thank-you-for-subscribing/</t>
        </is>
      </c>
      <c r="B647" s="26" t="inlineStr">
        <is>
          <t>No Question Headings</t>
        </is>
      </c>
      <c r="C647" s="6" t="inlineStr">
        <is>
          <t>https://africanmarketingconfederation.org/thank-you-for-subscribing/::no_question_headings</t>
        </is>
      </c>
      <c r="D647" s="29" t="inlineStr">
        <is>
          <t>Info</t>
        </is>
      </c>
      <c r="E647" s="6" t="inlineStr">
        <is>
          <t>Copy Writer</t>
        </is>
      </c>
      <c r="F647" s="6" t="inlineStr"/>
      <c r="G647" s="25" t="inlineStr">
        <is>
          <t>Open</t>
        </is>
      </c>
      <c r="H647">
        <f>IFERROR(HYPERLINK("#Main!A"&amp;MATCH(A647,Main!A:A,0),"Open"),HYPERLINK("#Main!A1","Open"))</f>
        <v/>
      </c>
    </row>
    <row r="648" ht="30" customHeight="1">
      <c r="A648" s="33" t="inlineStr">
        <is>
          <t>https://africanmarketingconfederation.org/thank-you-for-subscribing/</t>
        </is>
      </c>
      <c r="B648" s="26" t="inlineStr">
        <is>
          <t>No Answer-Friendly Structure</t>
        </is>
      </c>
      <c r="C648" s="24" t="inlineStr">
        <is>
          <t>https://africanmarketingconfederation.org/thank-you-for-subscribing/::no_answer-friendly_structure</t>
        </is>
      </c>
      <c r="D648" s="29" t="inlineStr">
        <is>
          <t>Info</t>
        </is>
      </c>
      <c r="E648" s="24" t="inlineStr">
        <is>
          <t>Copy Writer</t>
        </is>
      </c>
      <c r="F648" s="24" t="inlineStr"/>
      <c r="G648" s="25" t="inlineStr">
        <is>
          <t>Open</t>
        </is>
      </c>
      <c r="H648">
        <f>IFERROR(HYPERLINK("#Main!A"&amp;MATCH(A648,Main!A:A,0),"Open"),HYPERLINK("#Main!A1","Open"))</f>
        <v/>
      </c>
    </row>
    <row r="649" ht="30" customHeight="1">
      <c r="A649" s="33" t="inlineStr">
        <is>
          <t>https://africanmarketingconfederation.org/thank-you-for-subscribing/</t>
        </is>
      </c>
      <c r="B649" s="26" t="inlineStr">
        <is>
          <t>No 40-60 Word Answer Paragraphs</t>
        </is>
      </c>
      <c r="C649" s="6" t="inlineStr">
        <is>
          <t>https://africanmarketingconfederation.org/thank-you-for-subscribing/::no_40-60_word_answer_paragraphs</t>
        </is>
      </c>
      <c r="D649" s="29" t="inlineStr">
        <is>
          <t>Info</t>
        </is>
      </c>
      <c r="E649" s="6" t="inlineStr">
        <is>
          <t>Copy Writer</t>
        </is>
      </c>
      <c r="F649" s="6" t="inlineStr"/>
      <c r="G649" s="25" t="inlineStr">
        <is>
          <t>Open</t>
        </is>
      </c>
      <c r="H649">
        <f>IFERROR(HYPERLINK("#Main!A"&amp;MATCH(A649,Main!A:A,0),"Open"),HYPERLINK("#Main!A1","Open"))</f>
        <v/>
      </c>
    </row>
    <row r="650" ht="30" customHeight="1">
      <c r="A650" s="33" t="inlineStr">
        <is>
          <t>https://africanmarketingconfederation.org/amc-conference-2023/book-now-thank-you/</t>
        </is>
      </c>
      <c r="B650" s="26" t="inlineStr">
        <is>
          <t>Missing H1</t>
        </is>
      </c>
      <c r="C650" s="24" t="inlineStr">
        <is>
          <t>https://africanmarketingconfederation.org/amc-conference-2023/book-now-thank-you/::missing_h1</t>
        </is>
      </c>
      <c r="D650" s="25" t="inlineStr">
        <is>
          <t>Warning</t>
        </is>
      </c>
      <c r="E650" s="24" t="inlineStr">
        <is>
          <t>Copy Writer</t>
        </is>
      </c>
      <c r="F650" s="24" t="inlineStr"/>
      <c r="G650" s="25" t="inlineStr">
        <is>
          <t>Open</t>
        </is>
      </c>
      <c r="H650">
        <f>IFERROR(HYPERLINK("#Main!A"&amp;MATCH(A650,Main!A:A,0),"Open"),HYPERLINK("#Main!A1","Open"))</f>
        <v/>
      </c>
    </row>
    <row r="651" ht="30" customHeight="1">
      <c r="A651" s="33" t="inlineStr">
        <is>
          <t>https://africanmarketingconfederation.org/amc-conference-2023/book-now-thank-you/</t>
        </is>
      </c>
      <c r="B651" s="26" t="inlineStr">
        <is>
          <t>Thin Content</t>
        </is>
      </c>
      <c r="C651" s="6" t="inlineStr">
        <is>
          <t>https://africanmarketingconfederation.org/amc-conference-2023/book-now-thank-you/::thin_content</t>
        </is>
      </c>
      <c r="D651" s="25" t="inlineStr">
        <is>
          <t>Warning</t>
        </is>
      </c>
      <c r="E651" s="6" t="inlineStr">
        <is>
          <t>Copy Writer</t>
        </is>
      </c>
      <c r="F651" s="6" t="inlineStr"/>
      <c r="G651" s="25" t="inlineStr">
        <is>
          <t>Open</t>
        </is>
      </c>
      <c r="H651">
        <f>IFERROR(HYPERLINK("#Main!A"&amp;MATCH(A651,Main!A:A,0),"Open"),HYPERLINK("#Main!A1","Open"))</f>
        <v/>
      </c>
    </row>
    <row r="652" ht="30" customHeight="1">
      <c r="A652" s="33" t="inlineStr">
        <is>
          <t>https://africanmarketingconfederation.org/amc-conference-2023/book-now-thank-you/</t>
        </is>
      </c>
      <c r="B652" s="26" t="inlineStr">
        <is>
          <t>Low AEO Readiness Score</t>
        </is>
      </c>
      <c r="C652" s="24" t="inlineStr">
        <is>
          <t>https://africanmarketingconfederation.org/amc-conference-2023/book-now-thank-you/::low_aeo_readiness_score</t>
        </is>
      </c>
      <c r="D652" s="25" t="inlineStr">
        <is>
          <t>Warning</t>
        </is>
      </c>
      <c r="E652" s="24" t="inlineStr">
        <is>
          <t>Copy Writer</t>
        </is>
      </c>
      <c r="F652" s="24" t="inlineStr"/>
      <c r="G652" s="25" t="inlineStr">
        <is>
          <t>Open</t>
        </is>
      </c>
      <c r="H652">
        <f>IFERROR(HYPERLINK("#Main!A"&amp;MATCH(A652,Main!A:A,0),"Open"),HYPERLINK("#Main!A1","Open"))</f>
        <v/>
      </c>
    </row>
    <row r="653" ht="30" customHeight="1">
      <c r="A653" s="33" t="inlineStr">
        <is>
          <t>https://africanmarketingconfederation.org/amc-conference-2023/book-now-thank-you/</t>
        </is>
      </c>
      <c r="B653" s="26" t="inlineStr">
        <is>
          <t>No Compression Header</t>
        </is>
      </c>
      <c r="C653" s="6" t="inlineStr">
        <is>
          <t>https://africanmarketingconfederation.org/amc-conference-2023/book-now-thank-you/::no_compression_header</t>
        </is>
      </c>
      <c r="D653" s="29" t="inlineStr">
        <is>
          <t>Info</t>
        </is>
      </c>
      <c r="E653" s="6" t="inlineStr">
        <is>
          <t>Server/Host</t>
        </is>
      </c>
      <c r="F653" s="6" t="inlineStr"/>
      <c r="G653" s="25" t="inlineStr">
        <is>
          <t>Open</t>
        </is>
      </c>
      <c r="H653">
        <f>IFERROR(HYPERLINK("#Main!A"&amp;MATCH(A653,Main!A:A,0),"Open"),HYPERLINK("#Main!A1","Open"))</f>
        <v/>
      </c>
    </row>
    <row r="654" ht="30" customHeight="1">
      <c r="A654" s="33" t="inlineStr">
        <is>
          <t>https://africanmarketingconfederation.org/amc-conference-2023/book-now-thank-you/</t>
        </is>
      </c>
      <c r="B654" s="26" t="inlineStr">
        <is>
          <t>No Cache-Control Header</t>
        </is>
      </c>
      <c r="C654" s="24" t="inlineStr">
        <is>
          <t>https://africanmarketingconfederation.org/amc-conference-2023/book-now-thank-you/::no_cache-control_header</t>
        </is>
      </c>
      <c r="D654" s="29" t="inlineStr">
        <is>
          <t>Info</t>
        </is>
      </c>
      <c r="E654" s="24" t="inlineStr">
        <is>
          <t>Server/Host</t>
        </is>
      </c>
      <c r="F654" s="24" t="inlineStr"/>
      <c r="G654" s="25" t="inlineStr">
        <is>
          <t>Open</t>
        </is>
      </c>
      <c r="H654">
        <f>IFERROR(HYPERLINK("#Main!A"&amp;MATCH(A654,Main!A:A,0),"Open"),HYPERLINK("#Main!A1","Open"))</f>
        <v/>
      </c>
    </row>
    <row r="655" ht="30" customHeight="1">
      <c r="A655" s="33" t="inlineStr">
        <is>
          <t>https://africanmarketingconfederation.org/amc-conference-2023/book-now-thank-you/</t>
        </is>
      </c>
      <c r="B655" s="26" t="inlineStr">
        <is>
          <t>No ETag Header</t>
        </is>
      </c>
      <c r="C655" s="6" t="inlineStr">
        <is>
          <t>https://africanmarketingconfederation.org/amc-conference-2023/book-now-thank-you/::no_etag_header</t>
        </is>
      </c>
      <c r="D655" s="29" t="inlineStr">
        <is>
          <t>Info</t>
        </is>
      </c>
      <c r="E655" s="6" t="inlineStr">
        <is>
          <t>Server/Host</t>
        </is>
      </c>
      <c r="F655" s="6" t="inlineStr"/>
      <c r="G655" s="25" t="inlineStr">
        <is>
          <t>Open</t>
        </is>
      </c>
      <c r="H655">
        <f>IFERROR(HYPERLINK("#Main!A"&amp;MATCH(A655,Main!A:A,0),"Open"),HYPERLINK("#Main!A1","Open"))</f>
        <v/>
      </c>
    </row>
    <row r="656" ht="30" customHeight="1">
      <c r="A656" s="33" t="inlineStr">
        <is>
          <t>https://africanmarketingconfederation.org/amc-conference-2023/book-now-thank-you/</t>
        </is>
      </c>
      <c r="B656" s="26" t="inlineStr">
        <is>
          <t>No FAQ/QA Schema</t>
        </is>
      </c>
      <c r="C656" s="24" t="inlineStr">
        <is>
          <t>https://africanmarketingconfederation.org/amc-conference-2023/book-now-thank-you/::no_faq_qa_schema</t>
        </is>
      </c>
      <c r="D656" s="29" t="inlineStr">
        <is>
          <t>Info</t>
        </is>
      </c>
      <c r="E656" s="24" t="inlineStr">
        <is>
          <t>Dev</t>
        </is>
      </c>
      <c r="F656" s="24" t="inlineStr"/>
      <c r="G656" s="25" t="inlineStr">
        <is>
          <t>Open</t>
        </is>
      </c>
      <c r="H656">
        <f>IFERROR(HYPERLINK("#Main!A"&amp;MATCH(A656,Main!A:A,0),"Open"),HYPERLINK("#Main!A1","Open"))</f>
        <v/>
      </c>
    </row>
    <row r="657" ht="30" customHeight="1">
      <c r="A657" s="33" t="inlineStr">
        <is>
          <t>https://africanmarketingconfederation.org/amc-conference-2023/book-now-thank-you/</t>
        </is>
      </c>
      <c r="B657" s="26" t="inlineStr">
        <is>
          <t>No Question Headings</t>
        </is>
      </c>
      <c r="C657" s="6" t="inlineStr">
        <is>
          <t>https://africanmarketingconfederation.org/amc-conference-2023/book-now-thank-you/::no_question_headings</t>
        </is>
      </c>
      <c r="D657" s="29" t="inlineStr">
        <is>
          <t>Info</t>
        </is>
      </c>
      <c r="E657" s="6" t="inlineStr">
        <is>
          <t>Copy Writer</t>
        </is>
      </c>
      <c r="F657" s="6" t="inlineStr"/>
      <c r="G657" s="25" t="inlineStr">
        <is>
          <t>Open</t>
        </is>
      </c>
      <c r="H657">
        <f>IFERROR(HYPERLINK("#Main!A"&amp;MATCH(A657,Main!A:A,0),"Open"),HYPERLINK("#Main!A1","Open"))</f>
        <v/>
      </c>
    </row>
    <row r="658" ht="30" customHeight="1">
      <c r="A658" s="33" t="inlineStr">
        <is>
          <t>https://africanmarketingconfederation.org/amc-conference-2023/book-now-thank-you/</t>
        </is>
      </c>
      <c r="B658" s="26" t="inlineStr">
        <is>
          <t>No Answer-Friendly Structure</t>
        </is>
      </c>
      <c r="C658" s="24" t="inlineStr">
        <is>
          <t>https://africanmarketingconfederation.org/amc-conference-2023/book-now-thank-you/::no_answer-friendly_structure</t>
        </is>
      </c>
      <c r="D658" s="29" t="inlineStr">
        <is>
          <t>Info</t>
        </is>
      </c>
      <c r="E658" s="24" t="inlineStr">
        <is>
          <t>Copy Writer</t>
        </is>
      </c>
      <c r="F658" s="24" t="inlineStr"/>
      <c r="G658" s="25" t="inlineStr">
        <is>
          <t>Open</t>
        </is>
      </c>
      <c r="H658">
        <f>IFERROR(HYPERLINK("#Main!A"&amp;MATCH(A658,Main!A:A,0),"Open"),HYPERLINK("#Main!A1","Open"))</f>
        <v/>
      </c>
    </row>
    <row r="659" ht="30" customHeight="1">
      <c r="A659" s="33" t="inlineStr">
        <is>
          <t>https://africanmarketingconfederation.org/amc-conference-2023/book-now-thank-you/</t>
        </is>
      </c>
      <c r="B659" s="26" t="inlineStr">
        <is>
          <t>No 40-60 Word Answer Paragraphs</t>
        </is>
      </c>
      <c r="C659" s="6" t="inlineStr">
        <is>
          <t>https://africanmarketingconfederation.org/amc-conference-2023/book-now-thank-you/::no_40-60_word_answer_paragraphs</t>
        </is>
      </c>
      <c r="D659" s="29" t="inlineStr">
        <is>
          <t>Info</t>
        </is>
      </c>
      <c r="E659" s="6" t="inlineStr">
        <is>
          <t>Copy Writer</t>
        </is>
      </c>
      <c r="F659" s="6" t="inlineStr"/>
      <c r="G659" s="25" t="inlineStr">
        <is>
          <t>Open</t>
        </is>
      </c>
      <c r="H659">
        <f>IFERROR(HYPERLINK("#Main!A"&amp;MATCH(A659,Main!A:A,0),"Open"),HYPERLINK("#Main!A1","Open"))</f>
        <v/>
      </c>
    </row>
    <row r="660" ht="30" customHeight="1">
      <c r="A660" s="33" t="inlineStr">
        <is>
          <t>https://africanmarketingconfederation.org/upcoming-events/</t>
        </is>
      </c>
      <c r="B660" s="26" t="inlineStr">
        <is>
          <t>Missing H1</t>
        </is>
      </c>
      <c r="C660" s="24" t="inlineStr">
        <is>
          <t>https://africanmarketingconfederation.org/upcoming-events/::missing_h1</t>
        </is>
      </c>
      <c r="D660" s="25" t="inlineStr">
        <is>
          <t>Warning</t>
        </is>
      </c>
      <c r="E660" s="24" t="inlineStr">
        <is>
          <t>Copy Writer</t>
        </is>
      </c>
      <c r="F660" s="24" t="inlineStr"/>
      <c r="G660" s="25" t="inlineStr">
        <is>
          <t>Open</t>
        </is>
      </c>
      <c r="H660">
        <f>IFERROR(HYPERLINK("#Main!A"&amp;MATCH(A660,Main!A:A,0),"Open"),HYPERLINK("#Main!A1","Open"))</f>
        <v/>
      </c>
    </row>
    <row r="661" ht="30" customHeight="1">
      <c r="A661" s="33" t="inlineStr">
        <is>
          <t>https://africanmarketingconfederation.org/upcoming-events/</t>
        </is>
      </c>
      <c r="B661" s="26" t="inlineStr">
        <is>
          <t>Thin Content</t>
        </is>
      </c>
      <c r="C661" s="6" t="inlineStr">
        <is>
          <t>https://africanmarketingconfederation.org/upcoming-events/::thin_content</t>
        </is>
      </c>
      <c r="D661" s="25" t="inlineStr">
        <is>
          <t>Warning</t>
        </is>
      </c>
      <c r="E661" s="6" t="inlineStr">
        <is>
          <t>Copy Writer</t>
        </is>
      </c>
      <c r="F661" s="6" t="inlineStr"/>
      <c r="G661" s="25" t="inlineStr">
        <is>
          <t>Open</t>
        </is>
      </c>
      <c r="H661">
        <f>IFERROR(HYPERLINK("#Main!A"&amp;MATCH(A661,Main!A:A,0),"Open"),HYPERLINK("#Main!A1","Open"))</f>
        <v/>
      </c>
    </row>
    <row r="662" ht="30" customHeight="1">
      <c r="A662" s="33" t="inlineStr">
        <is>
          <t>https://africanmarketingconfederation.org/upcoming-events/</t>
        </is>
      </c>
      <c r="B662" s="26" t="inlineStr">
        <is>
          <t>Low AEO Readiness Score</t>
        </is>
      </c>
      <c r="C662" s="24" t="inlineStr">
        <is>
          <t>https://africanmarketingconfederation.org/upcoming-events/::low_aeo_readiness_score</t>
        </is>
      </c>
      <c r="D662" s="25" t="inlineStr">
        <is>
          <t>Warning</t>
        </is>
      </c>
      <c r="E662" s="24" t="inlineStr">
        <is>
          <t>Copy Writer</t>
        </is>
      </c>
      <c r="F662" s="24" t="inlineStr"/>
      <c r="G662" s="25" t="inlineStr">
        <is>
          <t>Open</t>
        </is>
      </c>
      <c r="H662">
        <f>IFERROR(HYPERLINK("#Main!A"&amp;MATCH(A662,Main!A:A,0),"Open"),HYPERLINK("#Main!A1","Open"))</f>
        <v/>
      </c>
    </row>
    <row r="663" ht="30" customHeight="1">
      <c r="A663" s="33" t="inlineStr">
        <is>
          <t>https://africanmarketingconfederation.org/upcoming-events/</t>
        </is>
      </c>
      <c r="B663" s="26" t="inlineStr">
        <is>
          <t>No Compression Header</t>
        </is>
      </c>
      <c r="C663" s="6" t="inlineStr">
        <is>
          <t>https://africanmarketingconfederation.org/upcoming-events/::no_compression_header</t>
        </is>
      </c>
      <c r="D663" s="29" t="inlineStr">
        <is>
          <t>Info</t>
        </is>
      </c>
      <c r="E663" s="6" t="inlineStr">
        <is>
          <t>Server/Host</t>
        </is>
      </c>
      <c r="F663" s="6" t="inlineStr"/>
      <c r="G663" s="25" t="inlineStr">
        <is>
          <t>Open</t>
        </is>
      </c>
      <c r="H663">
        <f>IFERROR(HYPERLINK("#Main!A"&amp;MATCH(A663,Main!A:A,0),"Open"),HYPERLINK("#Main!A1","Open"))</f>
        <v/>
      </c>
    </row>
    <row r="664" ht="30" customHeight="1">
      <c r="A664" s="33" t="inlineStr">
        <is>
          <t>https://africanmarketingconfederation.org/upcoming-events/</t>
        </is>
      </c>
      <c r="B664" s="26" t="inlineStr">
        <is>
          <t>No Cache-Control Header</t>
        </is>
      </c>
      <c r="C664" s="24" t="inlineStr">
        <is>
          <t>https://africanmarketingconfederation.org/upcoming-events/::no_cache-control_header</t>
        </is>
      </c>
      <c r="D664" s="29" t="inlineStr">
        <is>
          <t>Info</t>
        </is>
      </c>
      <c r="E664" s="24" t="inlineStr">
        <is>
          <t>Server/Host</t>
        </is>
      </c>
      <c r="F664" s="24" t="inlineStr"/>
      <c r="G664" s="25" t="inlineStr">
        <is>
          <t>Open</t>
        </is>
      </c>
      <c r="H664">
        <f>IFERROR(HYPERLINK("#Main!A"&amp;MATCH(A664,Main!A:A,0),"Open"),HYPERLINK("#Main!A1","Open"))</f>
        <v/>
      </c>
    </row>
    <row r="665" ht="30" customHeight="1">
      <c r="A665" s="33" t="inlineStr">
        <is>
          <t>https://africanmarketingconfederation.org/upcoming-events/</t>
        </is>
      </c>
      <c r="B665" s="26" t="inlineStr">
        <is>
          <t>No ETag Header</t>
        </is>
      </c>
      <c r="C665" s="6" t="inlineStr">
        <is>
          <t>https://africanmarketingconfederation.org/upcoming-events/::no_etag_header</t>
        </is>
      </c>
      <c r="D665" s="29" t="inlineStr">
        <is>
          <t>Info</t>
        </is>
      </c>
      <c r="E665" s="6" t="inlineStr">
        <is>
          <t>Server/Host</t>
        </is>
      </c>
      <c r="F665" s="6" t="inlineStr"/>
      <c r="G665" s="25" t="inlineStr">
        <is>
          <t>Open</t>
        </is>
      </c>
      <c r="H665">
        <f>IFERROR(HYPERLINK("#Main!A"&amp;MATCH(A665,Main!A:A,0),"Open"),HYPERLINK("#Main!A1","Open"))</f>
        <v/>
      </c>
    </row>
    <row r="666" ht="30" customHeight="1">
      <c r="A666" s="33" t="inlineStr">
        <is>
          <t>https://africanmarketingconfederation.org/upcoming-events/</t>
        </is>
      </c>
      <c r="B666" s="26" t="inlineStr">
        <is>
          <t>No FAQ/QA Schema</t>
        </is>
      </c>
      <c r="C666" s="24" t="inlineStr">
        <is>
          <t>https://africanmarketingconfederation.org/upcoming-events/::no_faq_qa_schema</t>
        </is>
      </c>
      <c r="D666" s="29" t="inlineStr">
        <is>
          <t>Info</t>
        </is>
      </c>
      <c r="E666" s="24" t="inlineStr">
        <is>
          <t>Dev</t>
        </is>
      </c>
      <c r="F666" s="24" t="inlineStr"/>
      <c r="G666" s="25" t="inlineStr">
        <is>
          <t>Open</t>
        </is>
      </c>
      <c r="H666">
        <f>IFERROR(HYPERLINK("#Main!A"&amp;MATCH(A666,Main!A:A,0),"Open"),HYPERLINK("#Main!A1","Open"))</f>
        <v/>
      </c>
    </row>
    <row r="667" ht="30" customHeight="1">
      <c r="A667" s="33" t="inlineStr">
        <is>
          <t>https://africanmarketingconfederation.org/upcoming-events/</t>
        </is>
      </c>
      <c r="B667" s="26" t="inlineStr">
        <is>
          <t>No Question Headings</t>
        </is>
      </c>
      <c r="C667" s="6" t="inlineStr">
        <is>
          <t>https://africanmarketingconfederation.org/upcoming-events/::no_question_headings</t>
        </is>
      </c>
      <c r="D667" s="29" t="inlineStr">
        <is>
          <t>Info</t>
        </is>
      </c>
      <c r="E667" s="6" t="inlineStr">
        <is>
          <t>Copy Writer</t>
        </is>
      </c>
      <c r="F667" s="6" t="inlineStr"/>
      <c r="G667" s="25" t="inlineStr">
        <is>
          <t>Open</t>
        </is>
      </c>
      <c r="H667">
        <f>IFERROR(HYPERLINK("#Main!A"&amp;MATCH(A667,Main!A:A,0),"Open"),HYPERLINK("#Main!A1","Open"))</f>
        <v/>
      </c>
    </row>
    <row r="668" ht="30" customHeight="1">
      <c r="A668" s="33" t="inlineStr">
        <is>
          <t>https://africanmarketingconfederation.org/upcoming-events/</t>
        </is>
      </c>
      <c r="B668" s="26" t="inlineStr">
        <is>
          <t>No Answer-Friendly Structure</t>
        </is>
      </c>
      <c r="C668" s="24" t="inlineStr">
        <is>
          <t>https://africanmarketingconfederation.org/upcoming-events/::no_answer-friendly_structure</t>
        </is>
      </c>
      <c r="D668" s="29" t="inlineStr">
        <is>
          <t>Info</t>
        </is>
      </c>
      <c r="E668" s="24" t="inlineStr">
        <is>
          <t>Copy Writer</t>
        </is>
      </c>
      <c r="F668" s="24" t="inlineStr"/>
      <c r="G668" s="25" t="inlineStr">
        <is>
          <t>Open</t>
        </is>
      </c>
      <c r="H668">
        <f>IFERROR(HYPERLINK("#Main!A"&amp;MATCH(A668,Main!A:A,0),"Open"),HYPERLINK("#Main!A1","Open"))</f>
        <v/>
      </c>
    </row>
    <row r="669" ht="30" customHeight="1">
      <c r="A669" s="33" t="inlineStr">
        <is>
          <t>https://africanmarketingconfederation.org/upcoming-events/</t>
        </is>
      </c>
      <c r="B669" s="26" t="inlineStr">
        <is>
          <t>No 40-60 Word Answer Paragraphs</t>
        </is>
      </c>
      <c r="C669" s="6" t="inlineStr">
        <is>
          <t>https://africanmarketingconfederation.org/upcoming-events/::no_40-60_word_answer_paragraphs</t>
        </is>
      </c>
      <c r="D669" s="29" t="inlineStr">
        <is>
          <t>Info</t>
        </is>
      </c>
      <c r="E669" s="6" t="inlineStr">
        <is>
          <t>Copy Writer</t>
        </is>
      </c>
      <c r="F669" s="6" t="inlineStr"/>
      <c r="G669" s="25" t="inlineStr">
        <is>
          <t>Open</t>
        </is>
      </c>
      <c r="H669">
        <f>IFERROR(HYPERLINK("#Main!A"&amp;MATCH(A669,Main!A:A,0),"Open"),HYPERLINK("#Main!A1","Open"))</f>
        <v/>
      </c>
    </row>
    <row r="670" ht="30" customHeight="1">
      <c r="A670" s="33" t="inlineStr">
        <is>
          <t>https://africanmarketingconfederation.org/amc-conference-thank-you/</t>
        </is>
      </c>
      <c r="B670" s="26" t="inlineStr">
        <is>
          <t>Low AEO Readiness Score</t>
        </is>
      </c>
      <c r="C670" s="24" t="inlineStr">
        <is>
          <t>https://africanmarketingconfederation.org/amc-conference-thank-you/::low_aeo_readiness_score</t>
        </is>
      </c>
      <c r="D670" s="25" t="inlineStr">
        <is>
          <t>Warning</t>
        </is>
      </c>
      <c r="E670" s="24" t="inlineStr">
        <is>
          <t>Copy Writer</t>
        </is>
      </c>
      <c r="F670" s="24" t="inlineStr"/>
      <c r="G670" s="25" t="inlineStr">
        <is>
          <t>Open</t>
        </is>
      </c>
      <c r="H670">
        <f>IFERROR(HYPERLINK("#Main!A"&amp;MATCH(A670,Main!A:A,0),"Open"),HYPERLINK("#Main!A1","Open"))</f>
        <v/>
      </c>
    </row>
    <row r="671" ht="30" customHeight="1">
      <c r="A671" s="33" t="inlineStr">
        <is>
          <t>https://africanmarketingconfederation.org/amc-conference-thank-you/</t>
        </is>
      </c>
      <c r="B671" s="26" t="inlineStr">
        <is>
          <t>No Compression Header</t>
        </is>
      </c>
      <c r="C671" s="6" t="inlineStr">
        <is>
          <t>https://africanmarketingconfederation.org/amc-conference-thank-you/::no_compression_header</t>
        </is>
      </c>
      <c r="D671" s="29" t="inlineStr">
        <is>
          <t>Info</t>
        </is>
      </c>
      <c r="E671" s="6" t="inlineStr">
        <is>
          <t>Server/Host</t>
        </is>
      </c>
      <c r="F671" s="6" t="inlineStr"/>
      <c r="G671" s="25" t="inlineStr">
        <is>
          <t>Open</t>
        </is>
      </c>
      <c r="H671">
        <f>IFERROR(HYPERLINK("#Main!A"&amp;MATCH(A671,Main!A:A,0),"Open"),HYPERLINK("#Main!A1","Open"))</f>
        <v/>
      </c>
    </row>
    <row r="672" ht="30" customHeight="1">
      <c r="A672" s="33" t="inlineStr">
        <is>
          <t>https://africanmarketingconfederation.org/amc-conference-thank-you/</t>
        </is>
      </c>
      <c r="B672" s="26" t="inlineStr">
        <is>
          <t>No Cache-Control Header</t>
        </is>
      </c>
      <c r="C672" s="24" t="inlineStr">
        <is>
          <t>https://africanmarketingconfederation.org/amc-conference-thank-you/::no_cache-control_header</t>
        </is>
      </c>
      <c r="D672" s="29" t="inlineStr">
        <is>
          <t>Info</t>
        </is>
      </c>
      <c r="E672" s="24" t="inlineStr">
        <is>
          <t>Server/Host</t>
        </is>
      </c>
      <c r="F672" s="24" t="inlineStr"/>
      <c r="G672" s="25" t="inlineStr">
        <is>
          <t>Open</t>
        </is>
      </c>
      <c r="H672">
        <f>IFERROR(HYPERLINK("#Main!A"&amp;MATCH(A672,Main!A:A,0),"Open"),HYPERLINK("#Main!A1","Open"))</f>
        <v/>
      </c>
    </row>
    <row r="673" ht="30" customHeight="1">
      <c r="A673" s="33" t="inlineStr">
        <is>
          <t>https://africanmarketingconfederation.org/amc-conference-thank-you/</t>
        </is>
      </c>
      <c r="B673" s="26" t="inlineStr">
        <is>
          <t>No ETag Header</t>
        </is>
      </c>
      <c r="C673" s="6" t="inlineStr">
        <is>
          <t>https://africanmarketingconfederation.org/amc-conference-thank-you/::no_etag_header</t>
        </is>
      </c>
      <c r="D673" s="29" t="inlineStr">
        <is>
          <t>Info</t>
        </is>
      </c>
      <c r="E673" s="6" t="inlineStr">
        <is>
          <t>Server/Host</t>
        </is>
      </c>
      <c r="F673" s="6" t="inlineStr"/>
      <c r="G673" s="25" t="inlineStr">
        <is>
          <t>Open</t>
        </is>
      </c>
      <c r="H673">
        <f>IFERROR(HYPERLINK("#Main!A"&amp;MATCH(A673,Main!A:A,0),"Open"),HYPERLINK("#Main!A1","Open"))</f>
        <v/>
      </c>
    </row>
    <row r="674" ht="30" customHeight="1">
      <c r="A674" s="33" t="inlineStr">
        <is>
          <t>https://africanmarketingconfederation.org/amc-conference-thank-you/</t>
        </is>
      </c>
      <c r="B674" s="26" t="inlineStr">
        <is>
          <t>No FAQ/QA Schema</t>
        </is>
      </c>
      <c r="C674" s="24" t="inlineStr">
        <is>
          <t>https://africanmarketingconfederation.org/amc-conference-thank-you/::no_faq_qa_schema</t>
        </is>
      </c>
      <c r="D674" s="29" t="inlineStr">
        <is>
          <t>Info</t>
        </is>
      </c>
      <c r="E674" s="24" t="inlineStr">
        <is>
          <t>Dev</t>
        </is>
      </c>
      <c r="F674" s="24" t="inlineStr"/>
      <c r="G674" s="25" t="inlineStr">
        <is>
          <t>Open</t>
        </is>
      </c>
      <c r="H674">
        <f>IFERROR(HYPERLINK("#Main!A"&amp;MATCH(A674,Main!A:A,0),"Open"),HYPERLINK("#Main!A1","Open"))</f>
        <v/>
      </c>
    </row>
    <row r="675" ht="30" customHeight="1">
      <c r="A675" s="33" t="inlineStr">
        <is>
          <t>https://africanmarketingconfederation.org/amc-conference-thank-you/</t>
        </is>
      </c>
      <c r="B675" s="26" t="inlineStr">
        <is>
          <t>No Question Headings</t>
        </is>
      </c>
      <c r="C675" s="6" t="inlineStr">
        <is>
          <t>https://africanmarketingconfederation.org/amc-conference-thank-you/::no_question_headings</t>
        </is>
      </c>
      <c r="D675" s="29" t="inlineStr">
        <is>
          <t>Info</t>
        </is>
      </c>
      <c r="E675" s="6" t="inlineStr">
        <is>
          <t>Copy Writer</t>
        </is>
      </c>
      <c r="F675" s="6" t="inlineStr"/>
      <c r="G675" s="25" t="inlineStr">
        <is>
          <t>Open</t>
        </is>
      </c>
      <c r="H675">
        <f>IFERROR(HYPERLINK("#Main!A"&amp;MATCH(A675,Main!A:A,0),"Open"),HYPERLINK("#Main!A1","Open"))</f>
        <v/>
      </c>
    </row>
    <row r="676" ht="30" customHeight="1">
      <c r="A676" s="33" t="inlineStr">
        <is>
          <t>https://africanmarketingconfederation.org/amc-conference-thank-you/</t>
        </is>
      </c>
      <c r="B676" s="26" t="inlineStr">
        <is>
          <t>No Answer-Friendly Structure</t>
        </is>
      </c>
      <c r="C676" s="24" t="inlineStr">
        <is>
          <t>https://africanmarketingconfederation.org/amc-conference-thank-you/::no_answer-friendly_structure</t>
        </is>
      </c>
      <c r="D676" s="29" t="inlineStr">
        <is>
          <t>Info</t>
        </is>
      </c>
      <c r="E676" s="24" t="inlineStr">
        <is>
          <t>Copy Writer</t>
        </is>
      </c>
      <c r="F676" s="24" t="inlineStr"/>
      <c r="G676" s="25" t="inlineStr">
        <is>
          <t>Open</t>
        </is>
      </c>
      <c r="H676">
        <f>IFERROR(HYPERLINK("#Main!A"&amp;MATCH(A676,Main!A:A,0),"Open"),HYPERLINK("#Main!A1","Open"))</f>
        <v/>
      </c>
    </row>
    <row r="677" ht="30" customHeight="1">
      <c r="A677" s="33" t="inlineStr">
        <is>
          <t>https://africanmarketingconfederation.org/amc-conference-thank-you/</t>
        </is>
      </c>
      <c r="B677" s="26" t="inlineStr">
        <is>
          <t>No 40-60 Word Answer Paragraphs</t>
        </is>
      </c>
      <c r="C677" s="6" t="inlineStr">
        <is>
          <t>https://africanmarketingconfederation.org/amc-conference-thank-you/::no_40-60_word_answer_paragraphs</t>
        </is>
      </c>
      <c r="D677" s="29" t="inlineStr">
        <is>
          <t>Info</t>
        </is>
      </c>
      <c r="E677" s="6" t="inlineStr">
        <is>
          <t>Copy Writer</t>
        </is>
      </c>
      <c r="F677" s="6" t="inlineStr"/>
      <c r="G677" s="25" t="inlineStr">
        <is>
          <t>Open</t>
        </is>
      </c>
      <c r="H677">
        <f>IFERROR(HYPERLINK("#Main!A"&amp;MATCH(A677,Main!A:A,0),"Open"),HYPERLINK("#Main!A1","Open"))</f>
        <v/>
      </c>
    </row>
    <row r="678" ht="30" customHeight="1">
      <c r="A678" s="33" t="inlineStr">
        <is>
          <t>https://africanmarketingconfederation.org/amc-masterclass/</t>
        </is>
      </c>
      <c r="B678" s="26" t="inlineStr">
        <is>
          <t>Missing H1</t>
        </is>
      </c>
      <c r="C678" s="24" t="inlineStr">
        <is>
          <t>https://africanmarketingconfederation.org/amc-masterclass/::missing_h1</t>
        </is>
      </c>
      <c r="D678" s="25" t="inlineStr">
        <is>
          <t>Warning</t>
        </is>
      </c>
      <c r="E678" s="24" t="inlineStr">
        <is>
          <t>Copy Writer</t>
        </is>
      </c>
      <c r="F678" s="24" t="inlineStr"/>
      <c r="G678" s="25" t="inlineStr">
        <is>
          <t>Open</t>
        </is>
      </c>
      <c r="H678">
        <f>IFERROR(HYPERLINK("#Main!A"&amp;MATCH(A678,Main!A:A,0),"Open"),HYPERLINK("#Main!A1","Open"))</f>
        <v/>
      </c>
    </row>
    <row r="679" ht="30" customHeight="1">
      <c r="A679" s="33" t="inlineStr">
        <is>
          <t>https://africanmarketingconfederation.org/amc-masterclass/</t>
        </is>
      </c>
      <c r="B679" s="26" t="inlineStr">
        <is>
          <t>Thin Content</t>
        </is>
      </c>
      <c r="C679" s="6" t="inlineStr">
        <is>
          <t>https://africanmarketingconfederation.org/amc-masterclass/::thin_content</t>
        </is>
      </c>
      <c r="D679" s="25" t="inlineStr">
        <is>
          <t>Warning</t>
        </is>
      </c>
      <c r="E679" s="6" t="inlineStr">
        <is>
          <t>Copy Writer</t>
        </is>
      </c>
      <c r="F679" s="6" t="inlineStr"/>
      <c r="G679" s="25" t="inlineStr">
        <is>
          <t>Open</t>
        </is>
      </c>
      <c r="H679">
        <f>IFERROR(HYPERLINK("#Main!A"&amp;MATCH(A679,Main!A:A,0),"Open"),HYPERLINK("#Main!A1","Open"))</f>
        <v/>
      </c>
    </row>
    <row r="680" ht="30" customHeight="1">
      <c r="A680" s="33" t="inlineStr">
        <is>
          <t>https://africanmarketingconfederation.org/amc-masterclass/</t>
        </is>
      </c>
      <c r="B680" s="26" t="inlineStr">
        <is>
          <t>Low AEO Readiness Score</t>
        </is>
      </c>
      <c r="C680" s="24" t="inlineStr">
        <is>
          <t>https://africanmarketingconfederation.org/amc-masterclass/::low_aeo_readiness_score</t>
        </is>
      </c>
      <c r="D680" s="25" t="inlineStr">
        <is>
          <t>Warning</t>
        </is>
      </c>
      <c r="E680" s="24" t="inlineStr">
        <is>
          <t>Copy Writer</t>
        </is>
      </c>
      <c r="F680" s="24" t="inlineStr"/>
      <c r="G680" s="25" t="inlineStr">
        <is>
          <t>Open</t>
        </is>
      </c>
      <c r="H680">
        <f>IFERROR(HYPERLINK("#Main!A"&amp;MATCH(A680,Main!A:A,0),"Open"),HYPERLINK("#Main!A1","Open"))</f>
        <v/>
      </c>
    </row>
    <row r="681" ht="30" customHeight="1">
      <c r="A681" s="33" t="inlineStr">
        <is>
          <t>https://africanmarketingconfederation.org/amc-masterclass/</t>
        </is>
      </c>
      <c r="B681" s="26" t="inlineStr">
        <is>
          <t>No Compression Header</t>
        </is>
      </c>
      <c r="C681" s="6" t="inlineStr">
        <is>
          <t>https://africanmarketingconfederation.org/amc-masterclass/::no_compression_header</t>
        </is>
      </c>
      <c r="D681" s="29" t="inlineStr">
        <is>
          <t>Info</t>
        </is>
      </c>
      <c r="E681" s="6" t="inlineStr">
        <is>
          <t>Server/Host</t>
        </is>
      </c>
      <c r="F681" s="6" t="inlineStr"/>
      <c r="G681" s="25" t="inlineStr">
        <is>
          <t>Open</t>
        </is>
      </c>
      <c r="H681">
        <f>IFERROR(HYPERLINK("#Main!A"&amp;MATCH(A681,Main!A:A,0),"Open"),HYPERLINK("#Main!A1","Open"))</f>
        <v/>
      </c>
    </row>
    <row r="682" ht="30" customHeight="1">
      <c r="A682" s="33" t="inlineStr">
        <is>
          <t>https://africanmarketingconfederation.org/amc-masterclass/</t>
        </is>
      </c>
      <c r="B682" s="26" t="inlineStr">
        <is>
          <t>No Cache-Control Header</t>
        </is>
      </c>
      <c r="C682" s="24" t="inlineStr">
        <is>
          <t>https://africanmarketingconfederation.org/amc-masterclass/::no_cache-control_header</t>
        </is>
      </c>
      <c r="D682" s="29" t="inlineStr">
        <is>
          <t>Info</t>
        </is>
      </c>
      <c r="E682" s="24" t="inlineStr">
        <is>
          <t>Server/Host</t>
        </is>
      </c>
      <c r="F682" s="24" t="inlineStr"/>
      <c r="G682" s="25" t="inlineStr">
        <is>
          <t>Open</t>
        </is>
      </c>
      <c r="H682">
        <f>IFERROR(HYPERLINK("#Main!A"&amp;MATCH(A682,Main!A:A,0),"Open"),HYPERLINK("#Main!A1","Open"))</f>
        <v/>
      </c>
    </row>
    <row r="683" ht="30" customHeight="1">
      <c r="A683" s="33" t="inlineStr">
        <is>
          <t>https://africanmarketingconfederation.org/amc-masterclass/</t>
        </is>
      </c>
      <c r="B683" s="26" t="inlineStr">
        <is>
          <t>No ETag Header</t>
        </is>
      </c>
      <c r="C683" s="6" t="inlineStr">
        <is>
          <t>https://africanmarketingconfederation.org/amc-masterclass/::no_etag_header</t>
        </is>
      </c>
      <c r="D683" s="29" t="inlineStr">
        <is>
          <t>Info</t>
        </is>
      </c>
      <c r="E683" s="6" t="inlineStr">
        <is>
          <t>Server/Host</t>
        </is>
      </c>
      <c r="F683" s="6" t="inlineStr"/>
      <c r="G683" s="25" t="inlineStr">
        <is>
          <t>Open</t>
        </is>
      </c>
      <c r="H683">
        <f>IFERROR(HYPERLINK("#Main!A"&amp;MATCH(A683,Main!A:A,0),"Open"),HYPERLINK("#Main!A1","Open"))</f>
        <v/>
      </c>
    </row>
    <row r="684" ht="30" customHeight="1">
      <c r="A684" s="33" t="inlineStr">
        <is>
          <t>https://africanmarketingconfederation.org/amc-masterclass/</t>
        </is>
      </c>
      <c r="B684" s="26" t="inlineStr">
        <is>
          <t>No FAQ/QA Schema</t>
        </is>
      </c>
      <c r="C684" s="24" t="inlineStr">
        <is>
          <t>https://africanmarketingconfederation.org/amc-masterclass/::no_faq_qa_schema</t>
        </is>
      </c>
      <c r="D684" s="29" t="inlineStr">
        <is>
          <t>Info</t>
        </is>
      </c>
      <c r="E684" s="24" t="inlineStr">
        <is>
          <t>Dev</t>
        </is>
      </c>
      <c r="F684" s="24" t="inlineStr"/>
      <c r="G684" s="25" t="inlineStr">
        <is>
          <t>Open</t>
        </is>
      </c>
      <c r="H684">
        <f>IFERROR(HYPERLINK("#Main!A"&amp;MATCH(A684,Main!A:A,0),"Open"),HYPERLINK("#Main!A1","Open"))</f>
        <v/>
      </c>
    </row>
    <row r="685" ht="30" customHeight="1">
      <c r="A685" s="33" t="inlineStr">
        <is>
          <t>https://africanmarketingconfederation.org/amc-masterclass/</t>
        </is>
      </c>
      <c r="B685" s="26" t="inlineStr">
        <is>
          <t>No Question Headings</t>
        </is>
      </c>
      <c r="C685" s="6" t="inlineStr">
        <is>
          <t>https://africanmarketingconfederation.org/amc-masterclass/::no_question_headings</t>
        </is>
      </c>
      <c r="D685" s="29" t="inlineStr">
        <is>
          <t>Info</t>
        </is>
      </c>
      <c r="E685" s="6" t="inlineStr">
        <is>
          <t>Copy Writer</t>
        </is>
      </c>
      <c r="F685" s="6" t="inlineStr"/>
      <c r="G685" s="25" t="inlineStr">
        <is>
          <t>Open</t>
        </is>
      </c>
      <c r="H685">
        <f>IFERROR(HYPERLINK("#Main!A"&amp;MATCH(A685,Main!A:A,0),"Open"),HYPERLINK("#Main!A1","Open"))</f>
        <v/>
      </c>
    </row>
    <row r="686" ht="30" customHeight="1">
      <c r="A686" s="33" t="inlineStr">
        <is>
          <t>https://africanmarketingconfederation.org/amc-masterclass/</t>
        </is>
      </c>
      <c r="B686" s="26" t="inlineStr">
        <is>
          <t>No Answer-Friendly Structure</t>
        </is>
      </c>
      <c r="C686" s="24" t="inlineStr">
        <is>
          <t>https://africanmarketingconfederation.org/amc-masterclass/::no_answer-friendly_structure</t>
        </is>
      </c>
      <c r="D686" s="29" t="inlineStr">
        <is>
          <t>Info</t>
        </is>
      </c>
      <c r="E686" s="24" t="inlineStr">
        <is>
          <t>Copy Writer</t>
        </is>
      </c>
      <c r="F686" s="24" t="inlineStr"/>
      <c r="G686" s="25" t="inlineStr">
        <is>
          <t>Open</t>
        </is>
      </c>
      <c r="H686">
        <f>IFERROR(HYPERLINK("#Main!A"&amp;MATCH(A686,Main!A:A,0),"Open"),HYPERLINK("#Main!A1","Open"))</f>
        <v/>
      </c>
    </row>
    <row r="687" ht="30" customHeight="1">
      <c r="A687" s="33" t="inlineStr">
        <is>
          <t>https://africanmarketingconfederation.org/amc-masterclass/</t>
        </is>
      </c>
      <c r="B687" s="26" t="inlineStr">
        <is>
          <t>No 40-60 Word Answer Paragraphs</t>
        </is>
      </c>
      <c r="C687" s="6" t="inlineStr">
        <is>
          <t>https://africanmarketingconfederation.org/amc-masterclass/::no_40-60_word_answer_paragraphs</t>
        </is>
      </c>
      <c r="D687" s="29" t="inlineStr">
        <is>
          <t>Info</t>
        </is>
      </c>
      <c r="E687" s="6" t="inlineStr">
        <is>
          <t>Copy Writer</t>
        </is>
      </c>
      <c r="F687" s="6" t="inlineStr"/>
      <c r="G687" s="25" t="inlineStr">
        <is>
          <t>Open</t>
        </is>
      </c>
      <c r="H687">
        <f>IFERROR(HYPERLINK("#Main!A"&amp;MATCH(A687,Main!A:A,0),"Open"),HYPERLINK("#Main!A1","Open"))</f>
        <v/>
      </c>
    </row>
    <row r="688" ht="30" customHeight="1">
      <c r="A688" s="33" t="inlineStr">
        <is>
          <t>https://africanmarketingconfederation.org/amc-relaunch-programme/</t>
        </is>
      </c>
      <c r="B688" s="26" t="inlineStr">
        <is>
          <t>Missing H1</t>
        </is>
      </c>
      <c r="C688" s="24" t="inlineStr">
        <is>
          <t>https://africanmarketingconfederation.org/amc-relaunch-programme/::missing_h1</t>
        </is>
      </c>
      <c r="D688" s="25" t="inlineStr">
        <is>
          <t>Warning</t>
        </is>
      </c>
      <c r="E688" s="24" t="inlineStr">
        <is>
          <t>Copy Writer</t>
        </is>
      </c>
      <c r="F688" s="24" t="inlineStr"/>
      <c r="G688" s="25" t="inlineStr">
        <is>
          <t>Open</t>
        </is>
      </c>
      <c r="H688">
        <f>IFERROR(HYPERLINK("#Main!A"&amp;MATCH(A688,Main!A:A,0),"Open"),HYPERLINK("#Main!A1","Open"))</f>
        <v/>
      </c>
    </row>
    <row r="689" ht="30" customHeight="1">
      <c r="A689" s="33" t="inlineStr">
        <is>
          <t>https://africanmarketingconfederation.org/amc-relaunch-programme/</t>
        </is>
      </c>
      <c r="B689" s="26" t="inlineStr">
        <is>
          <t>Low AEO Readiness Score</t>
        </is>
      </c>
      <c r="C689" s="6" t="inlineStr">
        <is>
          <t>https://africanmarketingconfederation.org/amc-relaunch-programme/::low_aeo_readiness_score</t>
        </is>
      </c>
      <c r="D689" s="25" t="inlineStr">
        <is>
          <t>Warning</t>
        </is>
      </c>
      <c r="E689" s="6" t="inlineStr">
        <is>
          <t>Copy Writer</t>
        </is>
      </c>
      <c r="F689" s="6" t="inlineStr"/>
      <c r="G689" s="25" t="inlineStr">
        <is>
          <t>Open</t>
        </is>
      </c>
      <c r="H689">
        <f>IFERROR(HYPERLINK("#Main!A"&amp;MATCH(A689,Main!A:A,0),"Open"),HYPERLINK("#Main!A1","Open"))</f>
        <v/>
      </c>
    </row>
    <row r="690" ht="30" customHeight="1">
      <c r="A690" s="33" t="inlineStr">
        <is>
          <t>https://africanmarketingconfederation.org/amc-relaunch-programme/</t>
        </is>
      </c>
      <c r="B690" s="26" t="inlineStr">
        <is>
          <t>No Compression Header</t>
        </is>
      </c>
      <c r="C690" s="24" t="inlineStr">
        <is>
          <t>https://africanmarketingconfederation.org/amc-relaunch-programme/::no_compression_header</t>
        </is>
      </c>
      <c r="D690" s="29" t="inlineStr">
        <is>
          <t>Info</t>
        </is>
      </c>
      <c r="E690" s="24" t="inlineStr">
        <is>
          <t>Server/Host</t>
        </is>
      </c>
      <c r="F690" s="24" t="inlineStr"/>
      <c r="G690" s="25" t="inlineStr">
        <is>
          <t>Open</t>
        </is>
      </c>
      <c r="H690">
        <f>IFERROR(HYPERLINK("#Main!A"&amp;MATCH(A690,Main!A:A,0),"Open"),HYPERLINK("#Main!A1","Open"))</f>
        <v/>
      </c>
    </row>
    <row r="691" ht="30" customHeight="1">
      <c r="A691" s="33" t="inlineStr">
        <is>
          <t>https://africanmarketingconfederation.org/amc-relaunch-programme/</t>
        </is>
      </c>
      <c r="B691" s="26" t="inlineStr">
        <is>
          <t>No Cache-Control Header</t>
        </is>
      </c>
      <c r="C691" s="6" t="inlineStr">
        <is>
          <t>https://africanmarketingconfederation.org/amc-relaunch-programme/::no_cache-control_header</t>
        </is>
      </c>
      <c r="D691" s="29" t="inlineStr">
        <is>
          <t>Info</t>
        </is>
      </c>
      <c r="E691" s="6" t="inlineStr">
        <is>
          <t>Server/Host</t>
        </is>
      </c>
      <c r="F691" s="6" t="inlineStr"/>
      <c r="G691" s="25" t="inlineStr">
        <is>
          <t>Open</t>
        </is>
      </c>
      <c r="H691">
        <f>IFERROR(HYPERLINK("#Main!A"&amp;MATCH(A691,Main!A:A,0),"Open"),HYPERLINK("#Main!A1","Open"))</f>
        <v/>
      </c>
    </row>
    <row r="692" ht="30" customHeight="1">
      <c r="A692" s="33" t="inlineStr">
        <is>
          <t>https://africanmarketingconfederation.org/amc-relaunch-programme/</t>
        </is>
      </c>
      <c r="B692" s="26" t="inlineStr">
        <is>
          <t>No ETag Header</t>
        </is>
      </c>
      <c r="C692" s="24" t="inlineStr">
        <is>
          <t>https://africanmarketingconfederation.org/amc-relaunch-programme/::no_etag_header</t>
        </is>
      </c>
      <c r="D692" s="29" t="inlineStr">
        <is>
          <t>Info</t>
        </is>
      </c>
      <c r="E692" s="24" t="inlineStr">
        <is>
          <t>Server/Host</t>
        </is>
      </c>
      <c r="F692" s="24" t="inlineStr"/>
      <c r="G692" s="25" t="inlineStr">
        <is>
          <t>Open</t>
        </is>
      </c>
      <c r="H692">
        <f>IFERROR(HYPERLINK("#Main!A"&amp;MATCH(A692,Main!A:A,0),"Open"),HYPERLINK("#Main!A1","Open"))</f>
        <v/>
      </c>
    </row>
    <row r="693" ht="30" customHeight="1">
      <c r="A693" s="33" t="inlineStr">
        <is>
          <t>https://africanmarketingconfederation.org/amc-relaunch-programme/</t>
        </is>
      </c>
      <c r="B693" s="26" t="inlineStr">
        <is>
          <t>No FAQ/QA Schema</t>
        </is>
      </c>
      <c r="C693" s="6" t="inlineStr">
        <is>
          <t>https://africanmarketingconfederation.org/amc-relaunch-programme/::no_faq_qa_schema</t>
        </is>
      </c>
      <c r="D693" s="29" t="inlineStr">
        <is>
          <t>Info</t>
        </is>
      </c>
      <c r="E693" s="6" t="inlineStr">
        <is>
          <t>Dev</t>
        </is>
      </c>
      <c r="F693" s="6" t="inlineStr"/>
      <c r="G693" s="25" t="inlineStr">
        <is>
          <t>Open</t>
        </is>
      </c>
      <c r="H693">
        <f>IFERROR(HYPERLINK("#Main!A"&amp;MATCH(A693,Main!A:A,0),"Open"),HYPERLINK("#Main!A1","Open"))</f>
        <v/>
      </c>
    </row>
    <row r="694" ht="30" customHeight="1">
      <c r="A694" s="33" t="inlineStr">
        <is>
          <t>https://africanmarketingconfederation.org/amc-relaunch-programme/</t>
        </is>
      </c>
      <c r="B694" s="26" t="inlineStr">
        <is>
          <t>No Question Headings</t>
        </is>
      </c>
      <c r="C694" s="24" t="inlineStr">
        <is>
          <t>https://africanmarketingconfederation.org/amc-relaunch-programme/::no_question_headings</t>
        </is>
      </c>
      <c r="D694" s="29" t="inlineStr">
        <is>
          <t>Info</t>
        </is>
      </c>
      <c r="E694" s="24" t="inlineStr">
        <is>
          <t>Copy Writer</t>
        </is>
      </c>
      <c r="F694" s="24" t="inlineStr"/>
      <c r="G694" s="25" t="inlineStr">
        <is>
          <t>Open</t>
        </is>
      </c>
      <c r="H694">
        <f>IFERROR(HYPERLINK("#Main!A"&amp;MATCH(A694,Main!A:A,0),"Open"),HYPERLINK("#Main!A1","Open"))</f>
        <v/>
      </c>
    </row>
    <row r="695" ht="30" customHeight="1">
      <c r="A695" s="33" t="inlineStr">
        <is>
          <t>https://africanmarketingconfederation.org/amc-relaunch-programme/</t>
        </is>
      </c>
      <c r="B695" s="26" t="inlineStr">
        <is>
          <t>No Answer-Friendly Structure</t>
        </is>
      </c>
      <c r="C695" s="6" t="inlineStr">
        <is>
          <t>https://africanmarketingconfederation.org/amc-relaunch-programme/::no_answer-friendly_structure</t>
        </is>
      </c>
      <c r="D695" s="29" t="inlineStr">
        <is>
          <t>Info</t>
        </is>
      </c>
      <c r="E695" s="6" t="inlineStr">
        <is>
          <t>Copy Writer</t>
        </is>
      </c>
      <c r="F695" s="6" t="inlineStr"/>
      <c r="G695" s="25" t="inlineStr">
        <is>
          <t>Open</t>
        </is>
      </c>
      <c r="H695">
        <f>IFERROR(HYPERLINK("#Main!A"&amp;MATCH(A695,Main!A:A,0),"Open"),HYPERLINK("#Main!A1","Open"))</f>
        <v/>
      </c>
    </row>
    <row r="696" ht="30" customHeight="1">
      <c r="A696" s="33" t="inlineStr">
        <is>
          <t>https://africanmarketingconfederation.org/amc-relaunch-programme/</t>
        </is>
      </c>
      <c r="B696" s="26" t="inlineStr">
        <is>
          <t>No 40-60 Word Answer Paragraphs</t>
        </is>
      </c>
      <c r="C696" s="24" t="inlineStr">
        <is>
          <t>https://africanmarketingconfederation.org/amc-relaunch-programme/::no_40-60_word_answer_paragraphs</t>
        </is>
      </c>
      <c r="D696" s="29" t="inlineStr">
        <is>
          <t>Info</t>
        </is>
      </c>
      <c r="E696" s="24" t="inlineStr">
        <is>
          <t>Copy Writer</t>
        </is>
      </c>
      <c r="F696" s="24" t="inlineStr"/>
      <c r="G696" s="25" t="inlineStr">
        <is>
          <t>Open</t>
        </is>
      </c>
      <c r="H696">
        <f>IFERROR(HYPERLINK("#Main!A"&amp;MATCH(A696,Main!A:A,0),"Open"),HYPERLINK("#Main!A1","Open"))</f>
        <v/>
      </c>
    </row>
    <row r="697" ht="30" customHeight="1">
      <c r="A697" s="33" t="inlineStr">
        <is>
          <t>https://africanmarketingconfederation.org/amc-masterclass-thank-you/</t>
        </is>
      </c>
      <c r="B697" s="26" t="inlineStr">
        <is>
          <t>Missing H1</t>
        </is>
      </c>
      <c r="C697" s="6" t="inlineStr">
        <is>
          <t>https://africanmarketingconfederation.org/amc-masterclass-thank-you/::missing_h1</t>
        </is>
      </c>
      <c r="D697" s="25" t="inlineStr">
        <is>
          <t>Warning</t>
        </is>
      </c>
      <c r="E697" s="6" t="inlineStr">
        <is>
          <t>Copy Writer</t>
        </is>
      </c>
      <c r="F697" s="6" t="inlineStr"/>
      <c r="G697" s="25" t="inlineStr">
        <is>
          <t>Open</t>
        </is>
      </c>
      <c r="H697">
        <f>IFERROR(HYPERLINK("#Main!A"&amp;MATCH(A697,Main!A:A,0),"Open"),HYPERLINK("#Main!A1","Open"))</f>
        <v/>
      </c>
    </row>
    <row r="698" ht="30" customHeight="1">
      <c r="A698" s="33" t="inlineStr">
        <is>
          <t>https://africanmarketingconfederation.org/amc-masterclass-thank-you/</t>
        </is>
      </c>
      <c r="B698" s="26" t="inlineStr">
        <is>
          <t>Thin Content</t>
        </is>
      </c>
      <c r="C698" s="24" t="inlineStr">
        <is>
          <t>https://africanmarketingconfederation.org/amc-masterclass-thank-you/::thin_content</t>
        </is>
      </c>
      <c r="D698" s="25" t="inlineStr">
        <is>
          <t>Warning</t>
        </is>
      </c>
      <c r="E698" s="24" t="inlineStr">
        <is>
          <t>Copy Writer</t>
        </is>
      </c>
      <c r="F698" s="24" t="inlineStr"/>
      <c r="G698" s="25" t="inlineStr">
        <is>
          <t>Open</t>
        </is>
      </c>
      <c r="H698">
        <f>IFERROR(HYPERLINK("#Main!A"&amp;MATCH(A698,Main!A:A,0),"Open"),HYPERLINK("#Main!A1","Open"))</f>
        <v/>
      </c>
    </row>
    <row r="699" ht="30" customHeight="1">
      <c r="A699" s="33" t="inlineStr">
        <is>
          <t>https://africanmarketingconfederation.org/amc-masterclass-thank-you/</t>
        </is>
      </c>
      <c r="B699" s="26" t="inlineStr">
        <is>
          <t>Low AEO Readiness Score</t>
        </is>
      </c>
      <c r="C699" s="6" t="inlineStr">
        <is>
          <t>https://africanmarketingconfederation.org/amc-masterclass-thank-you/::low_aeo_readiness_score</t>
        </is>
      </c>
      <c r="D699" s="25" t="inlineStr">
        <is>
          <t>Warning</t>
        </is>
      </c>
      <c r="E699" s="6" t="inlineStr">
        <is>
          <t>Copy Writer</t>
        </is>
      </c>
      <c r="F699" s="6" t="inlineStr"/>
      <c r="G699" s="25" t="inlineStr">
        <is>
          <t>Open</t>
        </is>
      </c>
      <c r="H699">
        <f>IFERROR(HYPERLINK("#Main!A"&amp;MATCH(A699,Main!A:A,0),"Open"),HYPERLINK("#Main!A1","Open"))</f>
        <v/>
      </c>
    </row>
    <row r="700" ht="30" customHeight="1">
      <c r="A700" s="33" t="inlineStr">
        <is>
          <t>https://africanmarketingconfederation.org/amc-masterclass-thank-you/</t>
        </is>
      </c>
      <c r="B700" s="26" t="inlineStr">
        <is>
          <t>No Compression Header</t>
        </is>
      </c>
      <c r="C700" s="24" t="inlineStr">
        <is>
          <t>https://africanmarketingconfederation.org/amc-masterclass-thank-you/::no_compression_header</t>
        </is>
      </c>
      <c r="D700" s="29" t="inlineStr">
        <is>
          <t>Info</t>
        </is>
      </c>
      <c r="E700" s="24" t="inlineStr">
        <is>
          <t>Server/Host</t>
        </is>
      </c>
      <c r="F700" s="24" t="inlineStr"/>
      <c r="G700" s="25" t="inlineStr">
        <is>
          <t>Open</t>
        </is>
      </c>
      <c r="H700">
        <f>IFERROR(HYPERLINK("#Main!A"&amp;MATCH(A700,Main!A:A,0),"Open"),HYPERLINK("#Main!A1","Open"))</f>
        <v/>
      </c>
    </row>
    <row r="701" ht="30" customHeight="1">
      <c r="A701" s="33" t="inlineStr">
        <is>
          <t>https://africanmarketingconfederation.org/amc-masterclass-thank-you/</t>
        </is>
      </c>
      <c r="B701" s="26" t="inlineStr">
        <is>
          <t>No Cache-Control Header</t>
        </is>
      </c>
      <c r="C701" s="6" t="inlineStr">
        <is>
          <t>https://africanmarketingconfederation.org/amc-masterclass-thank-you/::no_cache-control_header</t>
        </is>
      </c>
      <c r="D701" s="29" t="inlineStr">
        <is>
          <t>Info</t>
        </is>
      </c>
      <c r="E701" s="6" t="inlineStr">
        <is>
          <t>Server/Host</t>
        </is>
      </c>
      <c r="F701" s="6" t="inlineStr"/>
      <c r="G701" s="25" t="inlineStr">
        <is>
          <t>Open</t>
        </is>
      </c>
      <c r="H701">
        <f>IFERROR(HYPERLINK("#Main!A"&amp;MATCH(A701,Main!A:A,0),"Open"),HYPERLINK("#Main!A1","Open"))</f>
        <v/>
      </c>
    </row>
    <row r="702" ht="30" customHeight="1">
      <c r="A702" s="33" t="inlineStr">
        <is>
          <t>https://africanmarketingconfederation.org/amc-masterclass-thank-you/</t>
        </is>
      </c>
      <c r="B702" s="26" t="inlineStr">
        <is>
          <t>No ETag Header</t>
        </is>
      </c>
      <c r="C702" s="24" t="inlineStr">
        <is>
          <t>https://africanmarketingconfederation.org/amc-masterclass-thank-you/::no_etag_header</t>
        </is>
      </c>
      <c r="D702" s="29" t="inlineStr">
        <is>
          <t>Info</t>
        </is>
      </c>
      <c r="E702" s="24" t="inlineStr">
        <is>
          <t>Server/Host</t>
        </is>
      </c>
      <c r="F702" s="24" t="inlineStr"/>
      <c r="G702" s="25" t="inlineStr">
        <is>
          <t>Open</t>
        </is>
      </c>
      <c r="H702">
        <f>IFERROR(HYPERLINK("#Main!A"&amp;MATCH(A702,Main!A:A,0),"Open"),HYPERLINK("#Main!A1","Open"))</f>
        <v/>
      </c>
    </row>
    <row r="703" ht="30" customHeight="1">
      <c r="A703" s="33" t="inlineStr">
        <is>
          <t>https://africanmarketingconfederation.org/amc-masterclass-thank-you/</t>
        </is>
      </c>
      <c r="B703" s="26" t="inlineStr">
        <is>
          <t>No FAQ/QA Schema</t>
        </is>
      </c>
      <c r="C703" s="6" t="inlineStr">
        <is>
          <t>https://africanmarketingconfederation.org/amc-masterclass-thank-you/::no_faq_qa_schema</t>
        </is>
      </c>
      <c r="D703" s="29" t="inlineStr">
        <is>
          <t>Info</t>
        </is>
      </c>
      <c r="E703" s="6" t="inlineStr">
        <is>
          <t>Dev</t>
        </is>
      </c>
      <c r="F703" s="6" t="inlineStr"/>
      <c r="G703" s="25" t="inlineStr">
        <is>
          <t>Open</t>
        </is>
      </c>
      <c r="H703">
        <f>IFERROR(HYPERLINK("#Main!A"&amp;MATCH(A703,Main!A:A,0),"Open"),HYPERLINK("#Main!A1","Open"))</f>
        <v/>
      </c>
    </row>
    <row r="704" ht="30" customHeight="1">
      <c r="A704" s="33" t="inlineStr">
        <is>
          <t>https://africanmarketingconfederation.org/amc-masterclass-thank-you/</t>
        </is>
      </c>
      <c r="B704" s="26" t="inlineStr">
        <is>
          <t>No Question Headings</t>
        </is>
      </c>
      <c r="C704" s="24" t="inlineStr">
        <is>
          <t>https://africanmarketingconfederation.org/amc-masterclass-thank-you/::no_question_headings</t>
        </is>
      </c>
      <c r="D704" s="29" t="inlineStr">
        <is>
          <t>Info</t>
        </is>
      </c>
      <c r="E704" s="24" t="inlineStr">
        <is>
          <t>Copy Writer</t>
        </is>
      </c>
      <c r="F704" s="24" t="inlineStr"/>
      <c r="G704" s="25" t="inlineStr">
        <is>
          <t>Open</t>
        </is>
      </c>
      <c r="H704">
        <f>IFERROR(HYPERLINK("#Main!A"&amp;MATCH(A704,Main!A:A,0),"Open"),HYPERLINK("#Main!A1","Open"))</f>
        <v/>
      </c>
    </row>
    <row r="705" ht="30" customHeight="1">
      <c r="A705" s="33" t="inlineStr">
        <is>
          <t>https://africanmarketingconfederation.org/amc-masterclass-thank-you/</t>
        </is>
      </c>
      <c r="B705" s="26" t="inlineStr">
        <is>
          <t>No Answer-Friendly Structure</t>
        </is>
      </c>
      <c r="C705" s="6" t="inlineStr">
        <is>
          <t>https://africanmarketingconfederation.org/amc-masterclass-thank-you/::no_answer-friendly_structure</t>
        </is>
      </c>
      <c r="D705" s="29" t="inlineStr">
        <is>
          <t>Info</t>
        </is>
      </c>
      <c r="E705" s="6" t="inlineStr">
        <is>
          <t>Copy Writer</t>
        </is>
      </c>
      <c r="F705" s="6" t="inlineStr"/>
      <c r="G705" s="25" t="inlineStr">
        <is>
          <t>Open</t>
        </is>
      </c>
      <c r="H705">
        <f>IFERROR(HYPERLINK("#Main!A"&amp;MATCH(A705,Main!A:A,0),"Open"),HYPERLINK("#Main!A1","Open"))</f>
        <v/>
      </c>
    </row>
    <row r="706" ht="30" customHeight="1">
      <c r="A706" s="33" t="inlineStr">
        <is>
          <t>https://africanmarketingconfederation.org/amc-masterclass-thank-you/</t>
        </is>
      </c>
      <c r="B706" s="26" t="inlineStr">
        <is>
          <t>No 40-60 Word Answer Paragraphs</t>
        </is>
      </c>
      <c r="C706" s="24" t="inlineStr">
        <is>
          <t>https://africanmarketingconfederation.org/amc-masterclass-thank-you/::no_40-60_word_answer_paragraphs</t>
        </is>
      </c>
      <c r="D706" s="29" t="inlineStr">
        <is>
          <t>Info</t>
        </is>
      </c>
      <c r="E706" s="24" t="inlineStr">
        <is>
          <t>Copy Writer</t>
        </is>
      </c>
      <c r="F706" s="24" t="inlineStr"/>
      <c r="G706" s="25" t="inlineStr">
        <is>
          <t>Open</t>
        </is>
      </c>
      <c r="H706">
        <f>IFERROR(HYPERLINK("#Main!A"&amp;MATCH(A706,Main!A:A,0),"Open"),HYPERLINK("#Main!A1","Open"))</f>
        <v/>
      </c>
    </row>
    <row r="707" ht="30" customHeight="1">
      <c r="A707" s="33" t="inlineStr">
        <is>
          <t>https://africanmarketingconfederation.org/amc-masterclass-bookings/</t>
        </is>
      </c>
      <c r="B707" s="26" t="inlineStr">
        <is>
          <t>Missing Meta Description</t>
        </is>
      </c>
      <c r="C707" s="6" t="inlineStr">
        <is>
          <t>https://africanmarketingconfederation.org/amc-masterclass-bookings/::missing_meta_description</t>
        </is>
      </c>
      <c r="D707" s="25" t="inlineStr">
        <is>
          <t>Warning</t>
        </is>
      </c>
      <c r="E707" s="6" t="inlineStr">
        <is>
          <t>Copy Writer</t>
        </is>
      </c>
      <c r="F707" s="6" t="inlineStr"/>
      <c r="G707" s="25" t="inlineStr">
        <is>
          <t>Open</t>
        </is>
      </c>
      <c r="H707">
        <f>IFERROR(HYPERLINK("#Main!A"&amp;MATCH(A707,Main!A:A,0),"Open"),HYPERLINK("#Main!A1","Open"))</f>
        <v/>
      </c>
    </row>
    <row r="708" ht="30" customHeight="1">
      <c r="A708" s="33" t="inlineStr">
        <is>
          <t>https://africanmarketingconfederation.org/amc-masterclass-bookings/</t>
        </is>
      </c>
      <c r="B708" s="26" t="inlineStr">
        <is>
          <t>Missing H1</t>
        </is>
      </c>
      <c r="C708" s="24" t="inlineStr">
        <is>
          <t>https://africanmarketingconfederation.org/amc-masterclass-bookings/::missing_h1</t>
        </is>
      </c>
      <c r="D708" s="25" t="inlineStr">
        <is>
          <t>Warning</t>
        </is>
      </c>
      <c r="E708" s="24" t="inlineStr">
        <is>
          <t>Copy Writer</t>
        </is>
      </c>
      <c r="F708" s="24" t="inlineStr"/>
      <c r="G708" s="25" t="inlineStr">
        <is>
          <t>Open</t>
        </is>
      </c>
      <c r="H708">
        <f>IFERROR(HYPERLINK("#Main!A"&amp;MATCH(A708,Main!A:A,0),"Open"),HYPERLINK("#Main!A1","Open"))</f>
        <v/>
      </c>
    </row>
    <row r="709" ht="30" customHeight="1">
      <c r="A709" s="33" t="inlineStr">
        <is>
          <t>https://africanmarketingconfederation.org/amc-masterclass-bookings/</t>
        </is>
      </c>
      <c r="B709" s="26" t="inlineStr">
        <is>
          <t>Thin Content</t>
        </is>
      </c>
      <c r="C709" s="6" t="inlineStr">
        <is>
          <t>https://africanmarketingconfederation.org/amc-masterclass-bookings/::thin_content</t>
        </is>
      </c>
      <c r="D709" s="25" t="inlineStr">
        <is>
          <t>Warning</t>
        </is>
      </c>
      <c r="E709" s="6" t="inlineStr">
        <is>
          <t>Copy Writer</t>
        </is>
      </c>
      <c r="F709" s="6" t="inlineStr"/>
      <c r="G709" s="25" t="inlineStr">
        <is>
          <t>Open</t>
        </is>
      </c>
      <c r="H709">
        <f>IFERROR(HYPERLINK("#Main!A"&amp;MATCH(A709,Main!A:A,0),"Open"),HYPERLINK("#Main!A1","Open"))</f>
        <v/>
      </c>
    </row>
    <row r="710" ht="30" customHeight="1">
      <c r="A710" s="33" t="inlineStr">
        <is>
          <t>https://africanmarketingconfederation.org/amc-masterclass-bookings/</t>
        </is>
      </c>
      <c r="B710" s="26" t="inlineStr">
        <is>
          <t>Low AEO Readiness Score</t>
        </is>
      </c>
      <c r="C710" s="24" t="inlineStr">
        <is>
          <t>https://africanmarketingconfederation.org/amc-masterclass-bookings/::low_aeo_readiness_score</t>
        </is>
      </c>
      <c r="D710" s="25" t="inlineStr">
        <is>
          <t>Warning</t>
        </is>
      </c>
      <c r="E710" s="24" t="inlineStr">
        <is>
          <t>Copy Writer</t>
        </is>
      </c>
      <c r="F710" s="24" t="inlineStr"/>
      <c r="G710" s="25" t="inlineStr">
        <is>
          <t>Open</t>
        </is>
      </c>
      <c r="H710">
        <f>IFERROR(HYPERLINK("#Main!A"&amp;MATCH(A710,Main!A:A,0),"Open"),HYPERLINK("#Main!A1","Open"))</f>
        <v/>
      </c>
    </row>
    <row r="711" ht="30" customHeight="1">
      <c r="A711" s="33" t="inlineStr">
        <is>
          <t>https://africanmarketingconfederation.org/amc-masterclass-bookings/</t>
        </is>
      </c>
      <c r="B711" s="26" t="inlineStr">
        <is>
          <t>No Compression Header</t>
        </is>
      </c>
      <c r="C711" s="6" t="inlineStr">
        <is>
          <t>https://africanmarketingconfederation.org/amc-masterclass-bookings/::no_compression_header</t>
        </is>
      </c>
      <c r="D711" s="29" t="inlineStr">
        <is>
          <t>Info</t>
        </is>
      </c>
      <c r="E711" s="6" t="inlineStr">
        <is>
          <t>Server/Host</t>
        </is>
      </c>
      <c r="F711" s="6" t="inlineStr"/>
      <c r="G711" s="25" t="inlineStr">
        <is>
          <t>Open</t>
        </is>
      </c>
      <c r="H711">
        <f>IFERROR(HYPERLINK("#Main!A"&amp;MATCH(A711,Main!A:A,0),"Open"),HYPERLINK("#Main!A1","Open"))</f>
        <v/>
      </c>
    </row>
    <row r="712" ht="30" customHeight="1">
      <c r="A712" s="33" t="inlineStr">
        <is>
          <t>https://africanmarketingconfederation.org/amc-masterclass-bookings/</t>
        </is>
      </c>
      <c r="B712" s="26" t="inlineStr">
        <is>
          <t>No Cache-Control Header</t>
        </is>
      </c>
      <c r="C712" s="24" t="inlineStr">
        <is>
          <t>https://africanmarketingconfederation.org/amc-masterclass-bookings/::no_cache-control_header</t>
        </is>
      </c>
      <c r="D712" s="29" t="inlineStr">
        <is>
          <t>Info</t>
        </is>
      </c>
      <c r="E712" s="24" t="inlineStr">
        <is>
          <t>Server/Host</t>
        </is>
      </c>
      <c r="F712" s="24" t="inlineStr"/>
      <c r="G712" s="25" t="inlineStr">
        <is>
          <t>Open</t>
        </is>
      </c>
      <c r="H712">
        <f>IFERROR(HYPERLINK("#Main!A"&amp;MATCH(A712,Main!A:A,0),"Open"),HYPERLINK("#Main!A1","Open"))</f>
        <v/>
      </c>
    </row>
    <row r="713" ht="30" customHeight="1">
      <c r="A713" s="33" t="inlineStr">
        <is>
          <t>https://africanmarketingconfederation.org/amc-masterclass-bookings/</t>
        </is>
      </c>
      <c r="B713" s="26" t="inlineStr">
        <is>
          <t>No ETag Header</t>
        </is>
      </c>
      <c r="C713" s="6" t="inlineStr">
        <is>
          <t>https://africanmarketingconfederation.org/amc-masterclass-bookings/::no_etag_header</t>
        </is>
      </c>
      <c r="D713" s="29" t="inlineStr">
        <is>
          <t>Info</t>
        </is>
      </c>
      <c r="E713" s="6" t="inlineStr">
        <is>
          <t>Server/Host</t>
        </is>
      </c>
      <c r="F713" s="6" t="inlineStr"/>
      <c r="G713" s="25" t="inlineStr">
        <is>
          <t>Open</t>
        </is>
      </c>
      <c r="H713">
        <f>IFERROR(HYPERLINK("#Main!A"&amp;MATCH(A713,Main!A:A,0),"Open"),HYPERLINK("#Main!A1","Open"))</f>
        <v/>
      </c>
    </row>
    <row r="714" ht="30" customHeight="1">
      <c r="A714" s="33" t="inlineStr">
        <is>
          <t>https://africanmarketingconfederation.org/amc-masterclass-bookings/</t>
        </is>
      </c>
      <c r="B714" s="26" t="inlineStr">
        <is>
          <t>No FAQ/QA Schema</t>
        </is>
      </c>
      <c r="C714" s="24" t="inlineStr">
        <is>
          <t>https://africanmarketingconfederation.org/amc-masterclass-bookings/::no_faq_qa_schema</t>
        </is>
      </c>
      <c r="D714" s="29" t="inlineStr">
        <is>
          <t>Info</t>
        </is>
      </c>
      <c r="E714" s="24" t="inlineStr">
        <is>
          <t>Dev</t>
        </is>
      </c>
      <c r="F714" s="24" t="inlineStr"/>
      <c r="G714" s="25" t="inlineStr">
        <is>
          <t>Open</t>
        </is>
      </c>
      <c r="H714">
        <f>IFERROR(HYPERLINK("#Main!A"&amp;MATCH(A714,Main!A:A,0),"Open"),HYPERLINK("#Main!A1","Open"))</f>
        <v/>
      </c>
    </row>
    <row r="715" ht="30" customHeight="1">
      <c r="A715" s="33" t="inlineStr">
        <is>
          <t>https://africanmarketingconfederation.org/amc-masterclass-bookings/</t>
        </is>
      </c>
      <c r="B715" s="26" t="inlineStr">
        <is>
          <t>No Question Headings</t>
        </is>
      </c>
      <c r="C715" s="6" t="inlineStr">
        <is>
          <t>https://africanmarketingconfederation.org/amc-masterclass-bookings/::no_question_headings</t>
        </is>
      </c>
      <c r="D715" s="29" t="inlineStr">
        <is>
          <t>Info</t>
        </is>
      </c>
      <c r="E715" s="6" t="inlineStr">
        <is>
          <t>Copy Writer</t>
        </is>
      </c>
      <c r="F715" s="6" t="inlineStr"/>
      <c r="G715" s="25" t="inlineStr">
        <is>
          <t>Open</t>
        </is>
      </c>
      <c r="H715">
        <f>IFERROR(HYPERLINK("#Main!A"&amp;MATCH(A715,Main!A:A,0),"Open"),HYPERLINK("#Main!A1","Open"))</f>
        <v/>
      </c>
    </row>
    <row r="716" ht="30" customHeight="1">
      <c r="A716" s="33" t="inlineStr">
        <is>
          <t>https://africanmarketingconfederation.org/amc-masterclass-bookings/</t>
        </is>
      </c>
      <c r="B716" s="26" t="inlineStr">
        <is>
          <t>No Answer-Friendly Structure</t>
        </is>
      </c>
      <c r="C716" s="24" t="inlineStr">
        <is>
          <t>https://africanmarketingconfederation.org/amc-masterclass-bookings/::no_answer-friendly_structure</t>
        </is>
      </c>
      <c r="D716" s="29" t="inlineStr">
        <is>
          <t>Info</t>
        </is>
      </c>
      <c r="E716" s="24" t="inlineStr">
        <is>
          <t>Copy Writer</t>
        </is>
      </c>
      <c r="F716" s="24" t="inlineStr"/>
      <c r="G716" s="25" t="inlineStr">
        <is>
          <t>Open</t>
        </is>
      </c>
      <c r="H716">
        <f>IFERROR(HYPERLINK("#Main!A"&amp;MATCH(A716,Main!A:A,0),"Open"),HYPERLINK("#Main!A1","Open"))</f>
        <v/>
      </c>
    </row>
    <row r="717" ht="30" customHeight="1">
      <c r="A717" s="33" t="inlineStr">
        <is>
          <t>https://africanmarketingconfederation.org/amc-masterclass-bookings/</t>
        </is>
      </c>
      <c r="B717" s="26" t="inlineStr">
        <is>
          <t>No 40-60 Word Answer Paragraphs</t>
        </is>
      </c>
      <c r="C717" s="6" t="inlineStr">
        <is>
          <t>https://africanmarketingconfederation.org/amc-masterclass-bookings/::no_40-60_word_answer_paragraphs</t>
        </is>
      </c>
      <c r="D717" s="29" t="inlineStr">
        <is>
          <t>Info</t>
        </is>
      </c>
      <c r="E717" s="6" t="inlineStr">
        <is>
          <t>Copy Writer</t>
        </is>
      </c>
      <c r="F717" s="6" t="inlineStr"/>
      <c r="G717" s="25" t="inlineStr">
        <is>
          <t>Open</t>
        </is>
      </c>
      <c r="H717">
        <f>IFERROR(HYPERLINK("#Main!A"&amp;MATCH(A717,Main!A:A,0),"Open"),HYPERLINK("#Main!A1","Open"))</f>
        <v/>
      </c>
    </row>
    <row r="718" ht="30" customHeight="1">
      <c r="A718" s="33" t="inlineStr">
        <is>
          <t>https://africanmarketingconfederation.org/amc-conference-programme/</t>
        </is>
      </c>
      <c r="B718" s="26" t="inlineStr">
        <is>
          <t>Missing H1</t>
        </is>
      </c>
      <c r="C718" s="24" t="inlineStr">
        <is>
          <t>https://africanmarketingconfederation.org/amc-conference-programme/::missing_h1</t>
        </is>
      </c>
      <c r="D718" s="25" t="inlineStr">
        <is>
          <t>Warning</t>
        </is>
      </c>
      <c r="E718" s="24" t="inlineStr">
        <is>
          <t>Copy Writer</t>
        </is>
      </c>
      <c r="F718" s="24" t="inlineStr"/>
      <c r="G718" s="25" t="inlineStr">
        <is>
          <t>Open</t>
        </is>
      </c>
      <c r="H718">
        <f>IFERROR(HYPERLINK("#Main!A"&amp;MATCH(A718,Main!A:A,0),"Open"),HYPERLINK("#Main!A1","Open"))</f>
        <v/>
      </c>
    </row>
    <row r="719" ht="30" customHeight="1">
      <c r="A719" s="33" t="inlineStr">
        <is>
          <t>https://africanmarketingconfederation.org/amc-conference-programme/</t>
        </is>
      </c>
      <c r="B719" s="26" t="inlineStr">
        <is>
          <t>Low AEO Readiness Score</t>
        </is>
      </c>
      <c r="C719" s="6" t="inlineStr">
        <is>
          <t>https://africanmarketingconfederation.org/amc-conference-programme/::low_aeo_readiness_score</t>
        </is>
      </c>
      <c r="D719" s="25" t="inlineStr">
        <is>
          <t>Warning</t>
        </is>
      </c>
      <c r="E719" s="6" t="inlineStr">
        <is>
          <t>Copy Writer</t>
        </is>
      </c>
      <c r="F719" s="6" t="inlineStr"/>
      <c r="G719" s="25" t="inlineStr">
        <is>
          <t>Open</t>
        </is>
      </c>
      <c r="H719">
        <f>IFERROR(HYPERLINK("#Main!A"&amp;MATCH(A719,Main!A:A,0),"Open"),HYPERLINK("#Main!A1","Open"))</f>
        <v/>
      </c>
    </row>
    <row r="720" ht="30" customHeight="1">
      <c r="A720" s="33" t="inlineStr">
        <is>
          <t>https://africanmarketingconfederation.org/amc-conference-programme/</t>
        </is>
      </c>
      <c r="B720" s="26" t="inlineStr">
        <is>
          <t>No Compression Header</t>
        </is>
      </c>
      <c r="C720" s="24" t="inlineStr">
        <is>
          <t>https://africanmarketingconfederation.org/amc-conference-programme/::no_compression_header</t>
        </is>
      </c>
      <c r="D720" s="29" t="inlineStr">
        <is>
          <t>Info</t>
        </is>
      </c>
      <c r="E720" s="24" t="inlineStr">
        <is>
          <t>Server/Host</t>
        </is>
      </c>
      <c r="F720" s="24" t="inlineStr"/>
      <c r="G720" s="25" t="inlineStr">
        <is>
          <t>Open</t>
        </is>
      </c>
      <c r="H720">
        <f>IFERROR(HYPERLINK("#Main!A"&amp;MATCH(A720,Main!A:A,0),"Open"),HYPERLINK("#Main!A1","Open"))</f>
        <v/>
      </c>
    </row>
    <row r="721" ht="30" customHeight="1">
      <c r="A721" s="33" t="inlineStr">
        <is>
          <t>https://africanmarketingconfederation.org/amc-conference-programme/</t>
        </is>
      </c>
      <c r="B721" s="26" t="inlineStr">
        <is>
          <t>No Cache-Control Header</t>
        </is>
      </c>
      <c r="C721" s="6" t="inlineStr">
        <is>
          <t>https://africanmarketingconfederation.org/amc-conference-programme/::no_cache-control_header</t>
        </is>
      </c>
      <c r="D721" s="29" t="inlineStr">
        <is>
          <t>Info</t>
        </is>
      </c>
      <c r="E721" s="6" t="inlineStr">
        <is>
          <t>Server/Host</t>
        </is>
      </c>
      <c r="F721" s="6" t="inlineStr"/>
      <c r="G721" s="25" t="inlineStr">
        <is>
          <t>Open</t>
        </is>
      </c>
      <c r="H721">
        <f>IFERROR(HYPERLINK("#Main!A"&amp;MATCH(A721,Main!A:A,0),"Open"),HYPERLINK("#Main!A1","Open"))</f>
        <v/>
      </c>
    </row>
    <row r="722" ht="30" customHeight="1">
      <c r="A722" s="33" t="inlineStr">
        <is>
          <t>https://africanmarketingconfederation.org/amc-conference-programme/</t>
        </is>
      </c>
      <c r="B722" s="26" t="inlineStr">
        <is>
          <t>No ETag Header</t>
        </is>
      </c>
      <c r="C722" s="24" t="inlineStr">
        <is>
          <t>https://africanmarketingconfederation.org/amc-conference-programme/::no_etag_header</t>
        </is>
      </c>
      <c r="D722" s="29" t="inlineStr">
        <is>
          <t>Info</t>
        </is>
      </c>
      <c r="E722" s="24" t="inlineStr">
        <is>
          <t>Server/Host</t>
        </is>
      </c>
      <c r="F722" s="24" t="inlineStr"/>
      <c r="G722" s="25" t="inlineStr">
        <is>
          <t>Open</t>
        </is>
      </c>
      <c r="H722">
        <f>IFERROR(HYPERLINK("#Main!A"&amp;MATCH(A722,Main!A:A,0),"Open"),HYPERLINK("#Main!A1","Open"))</f>
        <v/>
      </c>
    </row>
    <row r="723" ht="30" customHeight="1">
      <c r="A723" s="33" t="inlineStr">
        <is>
          <t>https://africanmarketingconfederation.org/amc-conference-programme/</t>
        </is>
      </c>
      <c r="B723" s="26" t="inlineStr">
        <is>
          <t>No FAQ/QA Schema</t>
        </is>
      </c>
      <c r="C723" s="6" t="inlineStr">
        <is>
          <t>https://africanmarketingconfederation.org/amc-conference-programme/::no_faq_qa_schema</t>
        </is>
      </c>
      <c r="D723" s="29" t="inlineStr">
        <is>
          <t>Info</t>
        </is>
      </c>
      <c r="E723" s="6" t="inlineStr">
        <is>
          <t>Dev</t>
        </is>
      </c>
      <c r="F723" s="6" t="inlineStr"/>
      <c r="G723" s="25" t="inlineStr">
        <is>
          <t>Open</t>
        </is>
      </c>
      <c r="H723">
        <f>IFERROR(HYPERLINK("#Main!A"&amp;MATCH(A723,Main!A:A,0),"Open"),HYPERLINK("#Main!A1","Open"))</f>
        <v/>
      </c>
    </row>
    <row r="724" ht="30" customHeight="1">
      <c r="A724" s="33" t="inlineStr">
        <is>
          <t>https://africanmarketingconfederation.org/amc-conference-programme/</t>
        </is>
      </c>
      <c r="B724" s="26" t="inlineStr">
        <is>
          <t>No Question Headings</t>
        </is>
      </c>
      <c r="C724" s="24" t="inlineStr">
        <is>
          <t>https://africanmarketingconfederation.org/amc-conference-programme/::no_question_headings</t>
        </is>
      </c>
      <c r="D724" s="29" t="inlineStr">
        <is>
          <t>Info</t>
        </is>
      </c>
      <c r="E724" s="24" t="inlineStr">
        <is>
          <t>Copy Writer</t>
        </is>
      </c>
      <c r="F724" s="24" t="inlineStr"/>
      <c r="G724" s="25" t="inlineStr">
        <is>
          <t>Open</t>
        </is>
      </c>
      <c r="H724">
        <f>IFERROR(HYPERLINK("#Main!A"&amp;MATCH(A724,Main!A:A,0),"Open"),HYPERLINK("#Main!A1","Open"))</f>
        <v/>
      </c>
    </row>
    <row r="725" ht="30" customHeight="1">
      <c r="A725" s="33" t="inlineStr">
        <is>
          <t>https://africanmarketingconfederation.org/amc-conference-programme/</t>
        </is>
      </c>
      <c r="B725" s="26" t="inlineStr">
        <is>
          <t>No Answer-Friendly Structure</t>
        </is>
      </c>
      <c r="C725" s="6" t="inlineStr">
        <is>
          <t>https://africanmarketingconfederation.org/amc-conference-programme/::no_answer-friendly_structure</t>
        </is>
      </c>
      <c r="D725" s="29" t="inlineStr">
        <is>
          <t>Info</t>
        </is>
      </c>
      <c r="E725" s="6" t="inlineStr">
        <is>
          <t>Copy Writer</t>
        </is>
      </c>
      <c r="F725" s="6" t="inlineStr"/>
      <c r="G725" s="25" t="inlineStr">
        <is>
          <t>Open</t>
        </is>
      </c>
      <c r="H725">
        <f>IFERROR(HYPERLINK("#Main!A"&amp;MATCH(A725,Main!A:A,0),"Open"),HYPERLINK("#Main!A1","Open"))</f>
        <v/>
      </c>
    </row>
    <row r="726" ht="30" customHeight="1">
      <c r="A726" s="33" t="inlineStr">
        <is>
          <t>https://africanmarketingconfederation.org/amc-conference-programme/</t>
        </is>
      </c>
      <c r="B726" s="26" t="inlineStr">
        <is>
          <t>No 40-60 Word Answer Paragraphs</t>
        </is>
      </c>
      <c r="C726" s="24" t="inlineStr">
        <is>
          <t>https://africanmarketingconfederation.org/amc-conference-programme/::no_40-60_word_answer_paragraphs</t>
        </is>
      </c>
      <c r="D726" s="29" t="inlineStr">
        <is>
          <t>Info</t>
        </is>
      </c>
      <c r="E726" s="24" t="inlineStr">
        <is>
          <t>Copy Writer</t>
        </is>
      </c>
      <c r="F726" s="24" t="inlineStr"/>
      <c r="G726" s="25" t="inlineStr">
        <is>
          <t>Open</t>
        </is>
      </c>
      <c r="H726">
        <f>IFERROR(HYPERLINK("#Main!A"&amp;MATCH(A726,Main!A:A,0),"Open"),HYPERLINK("#Main!A1","Open"))</f>
        <v/>
      </c>
    </row>
    <row r="727" ht="30" customHeight="1">
      <c r="A727" s="33" t="inlineStr">
        <is>
          <t>https://africanmarketingconfederation.org/test-homeslider/</t>
        </is>
      </c>
      <c r="B727" s="26" t="inlineStr">
        <is>
          <t>Missing H1</t>
        </is>
      </c>
      <c r="C727" s="6" t="inlineStr">
        <is>
          <t>https://africanmarketingconfederation.org/test-homeslider/::missing_h1</t>
        </is>
      </c>
      <c r="D727" s="25" t="inlineStr">
        <is>
          <t>Warning</t>
        </is>
      </c>
      <c r="E727" s="6" t="inlineStr">
        <is>
          <t>Copy Writer</t>
        </is>
      </c>
      <c r="F727" s="6" t="inlineStr"/>
      <c r="G727" s="25" t="inlineStr">
        <is>
          <t>Open</t>
        </is>
      </c>
      <c r="H727">
        <f>IFERROR(HYPERLINK("#Main!A"&amp;MATCH(A727,Main!A:A,0),"Open"),HYPERLINK("#Main!A1","Open"))</f>
        <v/>
      </c>
    </row>
    <row r="728" ht="30" customHeight="1">
      <c r="A728" s="33" t="inlineStr">
        <is>
          <t>https://africanmarketingconfederation.org/test-homeslider/</t>
        </is>
      </c>
      <c r="B728" s="26" t="inlineStr">
        <is>
          <t>Thin Content</t>
        </is>
      </c>
      <c r="C728" s="24" t="inlineStr">
        <is>
          <t>https://africanmarketingconfederation.org/test-homeslider/::thin_content</t>
        </is>
      </c>
      <c r="D728" s="25" t="inlineStr">
        <is>
          <t>Warning</t>
        </is>
      </c>
      <c r="E728" s="24" t="inlineStr">
        <is>
          <t>Copy Writer</t>
        </is>
      </c>
      <c r="F728" s="24" t="inlineStr"/>
      <c r="G728" s="25" t="inlineStr">
        <is>
          <t>Open</t>
        </is>
      </c>
      <c r="H728">
        <f>IFERROR(HYPERLINK("#Main!A"&amp;MATCH(A728,Main!A:A,0),"Open"),HYPERLINK("#Main!A1","Open"))</f>
        <v/>
      </c>
    </row>
    <row r="729" ht="30" customHeight="1">
      <c r="A729" s="33" t="inlineStr">
        <is>
          <t>https://africanmarketingconfederation.org/test-homeslider/</t>
        </is>
      </c>
      <c r="B729" s="26" t="inlineStr">
        <is>
          <t>Low AEO Readiness Score</t>
        </is>
      </c>
      <c r="C729" s="6" t="inlineStr">
        <is>
          <t>https://africanmarketingconfederation.org/test-homeslider/::low_aeo_readiness_score</t>
        </is>
      </c>
      <c r="D729" s="25" t="inlineStr">
        <is>
          <t>Warning</t>
        </is>
      </c>
      <c r="E729" s="6" t="inlineStr">
        <is>
          <t>Copy Writer</t>
        </is>
      </c>
      <c r="F729" s="6" t="inlineStr"/>
      <c r="G729" s="25" t="inlineStr">
        <is>
          <t>Open</t>
        </is>
      </c>
      <c r="H729">
        <f>IFERROR(HYPERLINK("#Main!A"&amp;MATCH(A729,Main!A:A,0),"Open"),HYPERLINK("#Main!A1","Open"))</f>
        <v/>
      </c>
    </row>
    <row r="730" ht="30" customHeight="1">
      <c r="A730" s="33" t="inlineStr">
        <is>
          <t>https://africanmarketingconfederation.org/test-homeslider/</t>
        </is>
      </c>
      <c r="B730" s="26" t="inlineStr">
        <is>
          <t>No Compression Header</t>
        </is>
      </c>
      <c r="C730" s="24" t="inlineStr">
        <is>
          <t>https://africanmarketingconfederation.org/test-homeslider/::no_compression_header</t>
        </is>
      </c>
      <c r="D730" s="29" t="inlineStr">
        <is>
          <t>Info</t>
        </is>
      </c>
      <c r="E730" s="24" t="inlineStr">
        <is>
          <t>Server/Host</t>
        </is>
      </c>
      <c r="F730" s="24" t="inlineStr"/>
      <c r="G730" s="25" t="inlineStr">
        <is>
          <t>Open</t>
        </is>
      </c>
      <c r="H730">
        <f>IFERROR(HYPERLINK("#Main!A"&amp;MATCH(A730,Main!A:A,0),"Open"),HYPERLINK("#Main!A1","Open"))</f>
        <v/>
      </c>
    </row>
    <row r="731" ht="30" customHeight="1">
      <c r="A731" s="33" t="inlineStr">
        <is>
          <t>https://africanmarketingconfederation.org/test-homeslider/</t>
        </is>
      </c>
      <c r="B731" s="26" t="inlineStr">
        <is>
          <t>No Cache-Control Header</t>
        </is>
      </c>
      <c r="C731" s="6" t="inlineStr">
        <is>
          <t>https://africanmarketingconfederation.org/test-homeslider/::no_cache-control_header</t>
        </is>
      </c>
      <c r="D731" s="29" t="inlineStr">
        <is>
          <t>Info</t>
        </is>
      </c>
      <c r="E731" s="6" t="inlineStr">
        <is>
          <t>Server/Host</t>
        </is>
      </c>
      <c r="F731" s="6" t="inlineStr"/>
      <c r="G731" s="25" t="inlineStr">
        <is>
          <t>Open</t>
        </is>
      </c>
      <c r="H731">
        <f>IFERROR(HYPERLINK("#Main!A"&amp;MATCH(A731,Main!A:A,0),"Open"),HYPERLINK("#Main!A1","Open"))</f>
        <v/>
      </c>
    </row>
    <row r="732" ht="30" customHeight="1">
      <c r="A732" s="33" t="inlineStr">
        <is>
          <t>https://africanmarketingconfederation.org/test-homeslider/</t>
        </is>
      </c>
      <c r="B732" s="26" t="inlineStr">
        <is>
          <t>No ETag Header</t>
        </is>
      </c>
      <c r="C732" s="24" t="inlineStr">
        <is>
          <t>https://africanmarketingconfederation.org/test-homeslider/::no_etag_header</t>
        </is>
      </c>
      <c r="D732" s="29" t="inlineStr">
        <is>
          <t>Info</t>
        </is>
      </c>
      <c r="E732" s="24" t="inlineStr">
        <is>
          <t>Server/Host</t>
        </is>
      </c>
      <c r="F732" s="24" t="inlineStr"/>
      <c r="G732" s="25" t="inlineStr">
        <is>
          <t>Open</t>
        </is>
      </c>
      <c r="H732">
        <f>IFERROR(HYPERLINK("#Main!A"&amp;MATCH(A732,Main!A:A,0),"Open"),HYPERLINK("#Main!A1","Open"))</f>
        <v/>
      </c>
    </row>
    <row r="733" ht="30" customHeight="1">
      <c r="A733" s="33" t="inlineStr">
        <is>
          <t>https://africanmarketingconfederation.org/test-homeslider/</t>
        </is>
      </c>
      <c r="B733" s="26" t="inlineStr">
        <is>
          <t>No FAQ/QA Schema</t>
        </is>
      </c>
      <c r="C733" s="6" t="inlineStr">
        <is>
          <t>https://africanmarketingconfederation.org/test-homeslider/::no_faq_qa_schema</t>
        </is>
      </c>
      <c r="D733" s="29" t="inlineStr">
        <is>
          <t>Info</t>
        </is>
      </c>
      <c r="E733" s="6" t="inlineStr">
        <is>
          <t>Dev</t>
        </is>
      </c>
      <c r="F733" s="6" t="inlineStr"/>
      <c r="G733" s="25" t="inlineStr">
        <is>
          <t>Open</t>
        </is>
      </c>
      <c r="H733">
        <f>IFERROR(HYPERLINK("#Main!A"&amp;MATCH(A733,Main!A:A,0),"Open"),HYPERLINK("#Main!A1","Open"))</f>
        <v/>
      </c>
    </row>
    <row r="734" ht="30" customHeight="1">
      <c r="A734" s="33" t="inlineStr">
        <is>
          <t>https://africanmarketingconfederation.org/test-homeslider/</t>
        </is>
      </c>
      <c r="B734" s="26" t="inlineStr">
        <is>
          <t>No Question Headings</t>
        </is>
      </c>
      <c r="C734" s="24" t="inlineStr">
        <is>
          <t>https://africanmarketingconfederation.org/test-homeslider/::no_question_headings</t>
        </is>
      </c>
      <c r="D734" s="29" t="inlineStr">
        <is>
          <t>Info</t>
        </is>
      </c>
      <c r="E734" s="24" t="inlineStr">
        <is>
          <t>Copy Writer</t>
        </is>
      </c>
      <c r="F734" s="24" t="inlineStr"/>
      <c r="G734" s="25" t="inlineStr">
        <is>
          <t>Open</t>
        </is>
      </c>
      <c r="H734">
        <f>IFERROR(HYPERLINK("#Main!A"&amp;MATCH(A734,Main!A:A,0),"Open"),HYPERLINK("#Main!A1","Open"))</f>
        <v/>
      </c>
    </row>
    <row r="735" ht="30" customHeight="1">
      <c r="A735" s="33" t="inlineStr">
        <is>
          <t>https://africanmarketingconfederation.org/test-homeslider/</t>
        </is>
      </c>
      <c r="B735" s="26" t="inlineStr">
        <is>
          <t>No Answer-Friendly Structure</t>
        </is>
      </c>
      <c r="C735" s="6" t="inlineStr">
        <is>
          <t>https://africanmarketingconfederation.org/test-homeslider/::no_answer-friendly_structure</t>
        </is>
      </c>
      <c r="D735" s="29" t="inlineStr">
        <is>
          <t>Info</t>
        </is>
      </c>
      <c r="E735" s="6" t="inlineStr">
        <is>
          <t>Copy Writer</t>
        </is>
      </c>
      <c r="F735" s="6" t="inlineStr"/>
      <c r="G735" s="25" t="inlineStr">
        <is>
          <t>Open</t>
        </is>
      </c>
      <c r="H735">
        <f>IFERROR(HYPERLINK("#Main!A"&amp;MATCH(A735,Main!A:A,0),"Open"),HYPERLINK("#Main!A1","Open"))</f>
        <v/>
      </c>
    </row>
    <row r="736" ht="30" customHeight="1">
      <c r="A736" s="33" t="inlineStr">
        <is>
          <t>https://africanmarketingconfederation.org/test-homeslider/</t>
        </is>
      </c>
      <c r="B736" s="26" t="inlineStr">
        <is>
          <t>No 40-60 Word Answer Paragraphs</t>
        </is>
      </c>
      <c r="C736" s="24" t="inlineStr">
        <is>
          <t>https://africanmarketingconfederation.org/test-homeslider/::no_40-60_word_answer_paragraphs</t>
        </is>
      </c>
      <c r="D736" s="29" t="inlineStr">
        <is>
          <t>Info</t>
        </is>
      </c>
      <c r="E736" s="24" t="inlineStr">
        <is>
          <t>Copy Writer</t>
        </is>
      </c>
      <c r="F736" s="24" t="inlineStr"/>
      <c r="G736" s="25" t="inlineStr">
        <is>
          <t>Open</t>
        </is>
      </c>
      <c r="H736">
        <f>IFERROR(HYPERLINK("#Main!A"&amp;MATCH(A736,Main!A:A,0),"Open"),HYPERLINK("#Main!A1","Open"))</f>
        <v/>
      </c>
    </row>
    <row r="737" ht="30" customHeight="1">
      <c r="A737" s="33" t="inlineStr">
        <is>
          <t>https://africanmarketingconfederation.org/virtual-programme/</t>
        </is>
      </c>
      <c r="B737" s="26" t="inlineStr">
        <is>
          <t>Missing H1</t>
        </is>
      </c>
      <c r="C737" s="6" t="inlineStr">
        <is>
          <t>https://africanmarketingconfederation.org/virtual-programme/::missing_h1</t>
        </is>
      </c>
      <c r="D737" s="25" t="inlineStr">
        <is>
          <t>Warning</t>
        </is>
      </c>
      <c r="E737" s="6" t="inlineStr">
        <is>
          <t>Copy Writer</t>
        </is>
      </c>
      <c r="F737" s="6" t="inlineStr"/>
      <c r="G737" s="25" t="inlineStr">
        <is>
          <t>Open</t>
        </is>
      </c>
      <c r="H737">
        <f>IFERROR(HYPERLINK("#Main!A"&amp;MATCH(A737,Main!A:A,0),"Open"),HYPERLINK("#Main!A1","Open"))</f>
        <v/>
      </c>
    </row>
    <row r="738" ht="30" customHeight="1">
      <c r="A738" s="33" t="inlineStr">
        <is>
          <t>https://africanmarketingconfederation.org/virtual-programme/</t>
        </is>
      </c>
      <c r="B738" s="26" t="inlineStr">
        <is>
          <t>Low AEO Readiness Score</t>
        </is>
      </c>
      <c r="C738" s="24" t="inlineStr">
        <is>
          <t>https://africanmarketingconfederation.org/virtual-programme/::low_aeo_readiness_score</t>
        </is>
      </c>
      <c r="D738" s="25" t="inlineStr">
        <is>
          <t>Warning</t>
        </is>
      </c>
      <c r="E738" s="24" t="inlineStr">
        <is>
          <t>Copy Writer</t>
        </is>
      </c>
      <c r="F738" s="24" t="inlineStr"/>
      <c r="G738" s="25" t="inlineStr">
        <is>
          <t>Open</t>
        </is>
      </c>
      <c r="H738">
        <f>IFERROR(HYPERLINK("#Main!A"&amp;MATCH(A738,Main!A:A,0),"Open"),HYPERLINK("#Main!A1","Open"))</f>
        <v/>
      </c>
    </row>
    <row r="739" ht="30" customHeight="1">
      <c r="A739" s="33" t="inlineStr">
        <is>
          <t>https://africanmarketingconfederation.org/virtual-programme/</t>
        </is>
      </c>
      <c r="B739" s="26" t="inlineStr">
        <is>
          <t>No Compression Header</t>
        </is>
      </c>
      <c r="C739" s="6" t="inlineStr">
        <is>
          <t>https://africanmarketingconfederation.org/virtual-programme/::no_compression_header</t>
        </is>
      </c>
      <c r="D739" s="29" t="inlineStr">
        <is>
          <t>Info</t>
        </is>
      </c>
      <c r="E739" s="6" t="inlineStr">
        <is>
          <t>Server/Host</t>
        </is>
      </c>
      <c r="F739" s="6" t="inlineStr"/>
      <c r="G739" s="25" t="inlineStr">
        <is>
          <t>Open</t>
        </is>
      </c>
      <c r="H739">
        <f>IFERROR(HYPERLINK("#Main!A"&amp;MATCH(A739,Main!A:A,0),"Open"),HYPERLINK("#Main!A1","Open"))</f>
        <v/>
      </c>
    </row>
    <row r="740" ht="30" customHeight="1">
      <c r="A740" s="33" t="inlineStr">
        <is>
          <t>https://africanmarketingconfederation.org/virtual-programme/</t>
        </is>
      </c>
      <c r="B740" s="26" t="inlineStr">
        <is>
          <t>No Cache-Control Header</t>
        </is>
      </c>
      <c r="C740" s="24" t="inlineStr">
        <is>
          <t>https://africanmarketingconfederation.org/virtual-programme/::no_cache-control_header</t>
        </is>
      </c>
      <c r="D740" s="29" t="inlineStr">
        <is>
          <t>Info</t>
        </is>
      </c>
      <c r="E740" s="24" t="inlineStr">
        <is>
          <t>Server/Host</t>
        </is>
      </c>
      <c r="F740" s="24" t="inlineStr"/>
      <c r="G740" s="25" t="inlineStr">
        <is>
          <t>Open</t>
        </is>
      </c>
      <c r="H740">
        <f>IFERROR(HYPERLINK("#Main!A"&amp;MATCH(A740,Main!A:A,0),"Open"),HYPERLINK("#Main!A1","Open"))</f>
        <v/>
      </c>
    </row>
    <row r="741" ht="30" customHeight="1">
      <c r="A741" s="33" t="inlineStr">
        <is>
          <t>https://africanmarketingconfederation.org/virtual-programme/</t>
        </is>
      </c>
      <c r="B741" s="26" t="inlineStr">
        <is>
          <t>No ETag Header</t>
        </is>
      </c>
      <c r="C741" s="6" t="inlineStr">
        <is>
          <t>https://africanmarketingconfederation.org/virtual-programme/::no_etag_header</t>
        </is>
      </c>
      <c r="D741" s="29" t="inlineStr">
        <is>
          <t>Info</t>
        </is>
      </c>
      <c r="E741" s="6" t="inlineStr">
        <is>
          <t>Server/Host</t>
        </is>
      </c>
      <c r="F741" s="6" t="inlineStr"/>
      <c r="G741" s="25" t="inlineStr">
        <is>
          <t>Open</t>
        </is>
      </c>
      <c r="H741">
        <f>IFERROR(HYPERLINK("#Main!A"&amp;MATCH(A741,Main!A:A,0),"Open"),HYPERLINK("#Main!A1","Open"))</f>
        <v/>
      </c>
    </row>
    <row r="742" ht="30" customHeight="1">
      <c r="A742" s="33" t="inlineStr">
        <is>
          <t>https://africanmarketingconfederation.org/virtual-programme/</t>
        </is>
      </c>
      <c r="B742" s="26" t="inlineStr">
        <is>
          <t>No FAQ/QA Schema</t>
        </is>
      </c>
      <c r="C742" s="24" t="inlineStr">
        <is>
          <t>https://africanmarketingconfederation.org/virtual-programme/::no_faq_qa_schema</t>
        </is>
      </c>
      <c r="D742" s="29" t="inlineStr">
        <is>
          <t>Info</t>
        </is>
      </c>
      <c r="E742" s="24" t="inlineStr">
        <is>
          <t>Dev</t>
        </is>
      </c>
      <c r="F742" s="24" t="inlineStr"/>
      <c r="G742" s="25" t="inlineStr">
        <is>
          <t>Open</t>
        </is>
      </c>
      <c r="H742">
        <f>IFERROR(HYPERLINK("#Main!A"&amp;MATCH(A742,Main!A:A,0),"Open"),HYPERLINK("#Main!A1","Open"))</f>
        <v/>
      </c>
    </row>
    <row r="743" ht="30" customHeight="1">
      <c r="A743" s="33" t="inlineStr">
        <is>
          <t>https://africanmarketingconfederation.org/virtual-programme/</t>
        </is>
      </c>
      <c r="B743" s="26" t="inlineStr">
        <is>
          <t>No Question Headings</t>
        </is>
      </c>
      <c r="C743" s="6" t="inlineStr">
        <is>
          <t>https://africanmarketingconfederation.org/virtual-programme/::no_question_headings</t>
        </is>
      </c>
      <c r="D743" s="29" t="inlineStr">
        <is>
          <t>Info</t>
        </is>
      </c>
      <c r="E743" s="6" t="inlineStr">
        <is>
          <t>Copy Writer</t>
        </is>
      </c>
      <c r="F743" s="6" t="inlineStr"/>
      <c r="G743" s="25" t="inlineStr">
        <is>
          <t>Open</t>
        </is>
      </c>
      <c r="H743">
        <f>IFERROR(HYPERLINK("#Main!A"&amp;MATCH(A743,Main!A:A,0),"Open"),HYPERLINK("#Main!A1","Open"))</f>
        <v/>
      </c>
    </row>
    <row r="744" ht="30" customHeight="1">
      <c r="A744" s="33" t="inlineStr">
        <is>
          <t>https://africanmarketingconfederation.org/virtual-programme/</t>
        </is>
      </c>
      <c r="B744" s="26" t="inlineStr">
        <is>
          <t>No Answer-Friendly Structure</t>
        </is>
      </c>
      <c r="C744" s="24" t="inlineStr">
        <is>
          <t>https://africanmarketingconfederation.org/virtual-programme/::no_answer-friendly_structure</t>
        </is>
      </c>
      <c r="D744" s="29" t="inlineStr">
        <is>
          <t>Info</t>
        </is>
      </c>
      <c r="E744" s="24" t="inlineStr">
        <is>
          <t>Copy Writer</t>
        </is>
      </c>
      <c r="F744" s="24" t="inlineStr"/>
      <c r="G744" s="25" t="inlineStr">
        <is>
          <t>Open</t>
        </is>
      </c>
      <c r="H744">
        <f>IFERROR(HYPERLINK("#Main!A"&amp;MATCH(A744,Main!A:A,0),"Open"),HYPERLINK("#Main!A1","Open"))</f>
        <v/>
      </c>
    </row>
    <row r="745" ht="30" customHeight="1">
      <c r="A745" s="33" t="inlineStr">
        <is>
          <t>https://africanmarketingconfederation.org/virtual-programme/</t>
        </is>
      </c>
      <c r="B745" s="26" t="inlineStr">
        <is>
          <t>No 40-60 Word Answer Paragraphs</t>
        </is>
      </c>
      <c r="C745" s="6" t="inlineStr">
        <is>
          <t>https://africanmarketingconfederation.org/virtual-programme/::no_40-60_word_answer_paragraphs</t>
        </is>
      </c>
      <c r="D745" s="29" t="inlineStr">
        <is>
          <t>Info</t>
        </is>
      </c>
      <c r="E745" s="6" t="inlineStr">
        <is>
          <t>Copy Writer</t>
        </is>
      </c>
      <c r="F745" s="6" t="inlineStr"/>
      <c r="G745" s="25" t="inlineStr">
        <is>
          <t>Open</t>
        </is>
      </c>
      <c r="H745">
        <f>IFERROR(HYPERLINK("#Main!A"&amp;MATCH(A745,Main!A:A,0),"Open"),HYPERLINK("#Main!A1","Open"))</f>
        <v/>
      </c>
    </row>
    <row r="746" ht="30" customHeight="1">
      <c r="A746" s="33" t="inlineStr">
        <is>
          <t>https://africanmarketingconfederation.org/general-enquiry-form-thank-you/</t>
        </is>
      </c>
      <c r="B746" s="26" t="inlineStr">
        <is>
          <t>Missing H1</t>
        </is>
      </c>
      <c r="C746" s="24" t="inlineStr">
        <is>
          <t>https://africanmarketingconfederation.org/general-enquiry-form-thank-you/::missing_h1</t>
        </is>
      </c>
      <c r="D746" s="25" t="inlineStr">
        <is>
          <t>Warning</t>
        </is>
      </c>
      <c r="E746" s="24" t="inlineStr">
        <is>
          <t>Copy Writer</t>
        </is>
      </c>
      <c r="F746" s="24" t="inlineStr"/>
      <c r="G746" s="25" t="inlineStr">
        <is>
          <t>Open</t>
        </is>
      </c>
      <c r="H746">
        <f>IFERROR(HYPERLINK("#Main!A"&amp;MATCH(A746,Main!A:A,0),"Open"),HYPERLINK("#Main!A1","Open"))</f>
        <v/>
      </c>
    </row>
    <row r="747" ht="30" customHeight="1">
      <c r="A747" s="33" t="inlineStr">
        <is>
          <t>https://africanmarketingconfederation.org/general-enquiry-form-thank-you/</t>
        </is>
      </c>
      <c r="B747" s="26" t="inlineStr">
        <is>
          <t>Thin Content</t>
        </is>
      </c>
      <c r="C747" s="6" t="inlineStr">
        <is>
          <t>https://africanmarketingconfederation.org/general-enquiry-form-thank-you/::thin_content</t>
        </is>
      </c>
      <c r="D747" s="25" t="inlineStr">
        <is>
          <t>Warning</t>
        </is>
      </c>
      <c r="E747" s="6" t="inlineStr">
        <is>
          <t>Copy Writer</t>
        </is>
      </c>
      <c r="F747" s="6" t="inlineStr"/>
      <c r="G747" s="25" t="inlineStr">
        <is>
          <t>Open</t>
        </is>
      </c>
      <c r="H747">
        <f>IFERROR(HYPERLINK("#Main!A"&amp;MATCH(A747,Main!A:A,0),"Open"),HYPERLINK("#Main!A1","Open"))</f>
        <v/>
      </c>
    </row>
    <row r="748" ht="30" customHeight="1">
      <c r="A748" s="33" t="inlineStr">
        <is>
          <t>https://africanmarketingconfederation.org/general-enquiry-form-thank-you/</t>
        </is>
      </c>
      <c r="B748" s="26" t="inlineStr">
        <is>
          <t>Low AEO Readiness Score</t>
        </is>
      </c>
      <c r="C748" s="24" t="inlineStr">
        <is>
          <t>https://africanmarketingconfederation.org/general-enquiry-form-thank-you/::low_aeo_readiness_score</t>
        </is>
      </c>
      <c r="D748" s="25" t="inlineStr">
        <is>
          <t>Warning</t>
        </is>
      </c>
      <c r="E748" s="24" t="inlineStr">
        <is>
          <t>Copy Writer</t>
        </is>
      </c>
      <c r="F748" s="24" t="inlineStr"/>
      <c r="G748" s="25" t="inlineStr">
        <is>
          <t>Open</t>
        </is>
      </c>
      <c r="H748">
        <f>IFERROR(HYPERLINK("#Main!A"&amp;MATCH(A748,Main!A:A,0),"Open"),HYPERLINK("#Main!A1","Open"))</f>
        <v/>
      </c>
    </row>
    <row r="749" ht="30" customHeight="1">
      <c r="A749" s="33" t="inlineStr">
        <is>
          <t>https://africanmarketingconfederation.org/general-enquiry-form-thank-you/</t>
        </is>
      </c>
      <c r="B749" s="26" t="inlineStr">
        <is>
          <t>No Compression Header</t>
        </is>
      </c>
      <c r="C749" s="6" t="inlineStr">
        <is>
          <t>https://africanmarketingconfederation.org/general-enquiry-form-thank-you/::no_compression_header</t>
        </is>
      </c>
      <c r="D749" s="29" t="inlineStr">
        <is>
          <t>Info</t>
        </is>
      </c>
      <c r="E749" s="6" t="inlineStr">
        <is>
          <t>Server/Host</t>
        </is>
      </c>
      <c r="F749" s="6" t="inlineStr"/>
      <c r="G749" s="25" t="inlineStr">
        <is>
          <t>Open</t>
        </is>
      </c>
      <c r="H749">
        <f>IFERROR(HYPERLINK("#Main!A"&amp;MATCH(A749,Main!A:A,0),"Open"),HYPERLINK("#Main!A1","Open"))</f>
        <v/>
      </c>
    </row>
    <row r="750" ht="30" customHeight="1">
      <c r="A750" s="33" t="inlineStr">
        <is>
          <t>https://africanmarketingconfederation.org/general-enquiry-form-thank-you/</t>
        </is>
      </c>
      <c r="B750" s="26" t="inlineStr">
        <is>
          <t>No Cache-Control Header</t>
        </is>
      </c>
      <c r="C750" s="24" t="inlineStr">
        <is>
          <t>https://africanmarketingconfederation.org/general-enquiry-form-thank-you/::no_cache-control_header</t>
        </is>
      </c>
      <c r="D750" s="29" t="inlineStr">
        <is>
          <t>Info</t>
        </is>
      </c>
      <c r="E750" s="24" t="inlineStr">
        <is>
          <t>Server/Host</t>
        </is>
      </c>
      <c r="F750" s="24" t="inlineStr"/>
      <c r="G750" s="25" t="inlineStr">
        <is>
          <t>Open</t>
        </is>
      </c>
      <c r="H750">
        <f>IFERROR(HYPERLINK("#Main!A"&amp;MATCH(A750,Main!A:A,0),"Open"),HYPERLINK("#Main!A1","Open"))</f>
        <v/>
      </c>
    </row>
    <row r="751" ht="30" customHeight="1">
      <c r="A751" s="33" t="inlineStr">
        <is>
          <t>https://africanmarketingconfederation.org/general-enquiry-form-thank-you/</t>
        </is>
      </c>
      <c r="B751" s="26" t="inlineStr">
        <is>
          <t>No ETag Header</t>
        </is>
      </c>
      <c r="C751" s="6" t="inlineStr">
        <is>
          <t>https://africanmarketingconfederation.org/general-enquiry-form-thank-you/::no_etag_header</t>
        </is>
      </c>
      <c r="D751" s="29" t="inlineStr">
        <is>
          <t>Info</t>
        </is>
      </c>
      <c r="E751" s="6" t="inlineStr">
        <is>
          <t>Server/Host</t>
        </is>
      </c>
      <c r="F751" s="6" t="inlineStr"/>
      <c r="G751" s="25" t="inlineStr">
        <is>
          <t>Open</t>
        </is>
      </c>
      <c r="H751">
        <f>IFERROR(HYPERLINK("#Main!A"&amp;MATCH(A751,Main!A:A,0),"Open"),HYPERLINK("#Main!A1","Open"))</f>
        <v/>
      </c>
    </row>
    <row r="752" ht="30" customHeight="1">
      <c r="A752" s="33" t="inlineStr">
        <is>
          <t>https://africanmarketingconfederation.org/general-enquiry-form-thank-you/</t>
        </is>
      </c>
      <c r="B752" s="26" t="inlineStr">
        <is>
          <t>No FAQ/QA Schema</t>
        </is>
      </c>
      <c r="C752" s="24" t="inlineStr">
        <is>
          <t>https://africanmarketingconfederation.org/general-enquiry-form-thank-you/::no_faq_qa_schema</t>
        </is>
      </c>
      <c r="D752" s="29" t="inlineStr">
        <is>
          <t>Info</t>
        </is>
      </c>
      <c r="E752" s="24" t="inlineStr">
        <is>
          <t>Dev</t>
        </is>
      </c>
      <c r="F752" s="24" t="inlineStr"/>
      <c r="G752" s="25" t="inlineStr">
        <is>
          <t>Open</t>
        </is>
      </c>
      <c r="H752">
        <f>IFERROR(HYPERLINK("#Main!A"&amp;MATCH(A752,Main!A:A,0),"Open"),HYPERLINK("#Main!A1","Open"))</f>
        <v/>
      </c>
    </row>
    <row r="753" ht="30" customHeight="1">
      <c r="A753" s="33" t="inlineStr">
        <is>
          <t>https://africanmarketingconfederation.org/general-enquiry-form-thank-you/</t>
        </is>
      </c>
      <c r="B753" s="26" t="inlineStr">
        <is>
          <t>No Question Headings</t>
        </is>
      </c>
      <c r="C753" s="6" t="inlineStr">
        <is>
          <t>https://africanmarketingconfederation.org/general-enquiry-form-thank-you/::no_question_headings</t>
        </is>
      </c>
      <c r="D753" s="29" t="inlineStr">
        <is>
          <t>Info</t>
        </is>
      </c>
      <c r="E753" s="6" t="inlineStr">
        <is>
          <t>Copy Writer</t>
        </is>
      </c>
      <c r="F753" s="6" t="inlineStr"/>
      <c r="G753" s="25" t="inlineStr">
        <is>
          <t>Open</t>
        </is>
      </c>
      <c r="H753">
        <f>IFERROR(HYPERLINK("#Main!A"&amp;MATCH(A753,Main!A:A,0),"Open"),HYPERLINK("#Main!A1","Open"))</f>
        <v/>
      </c>
    </row>
    <row r="754" ht="30" customHeight="1">
      <c r="A754" s="33" t="inlineStr">
        <is>
          <t>https://africanmarketingconfederation.org/general-enquiry-form-thank-you/</t>
        </is>
      </c>
      <c r="B754" s="26" t="inlineStr">
        <is>
          <t>No Answer-Friendly Structure</t>
        </is>
      </c>
      <c r="C754" s="24" t="inlineStr">
        <is>
          <t>https://africanmarketingconfederation.org/general-enquiry-form-thank-you/::no_answer-friendly_structure</t>
        </is>
      </c>
      <c r="D754" s="29" t="inlineStr">
        <is>
          <t>Info</t>
        </is>
      </c>
      <c r="E754" s="24" t="inlineStr">
        <is>
          <t>Copy Writer</t>
        </is>
      </c>
      <c r="F754" s="24" t="inlineStr"/>
      <c r="G754" s="25" t="inlineStr">
        <is>
          <t>Open</t>
        </is>
      </c>
      <c r="H754">
        <f>IFERROR(HYPERLINK("#Main!A"&amp;MATCH(A754,Main!A:A,0),"Open"),HYPERLINK("#Main!A1","Open"))</f>
        <v/>
      </c>
    </row>
    <row r="755" ht="30" customHeight="1">
      <c r="A755" s="33" t="inlineStr">
        <is>
          <t>https://africanmarketingconfederation.org/general-enquiry-form-thank-you/</t>
        </is>
      </c>
      <c r="B755" s="26" t="inlineStr">
        <is>
          <t>No 40-60 Word Answer Paragraphs</t>
        </is>
      </c>
      <c r="C755" s="6" t="inlineStr">
        <is>
          <t>https://africanmarketingconfederation.org/general-enquiry-form-thank-you/::no_40-60_word_answer_paragraphs</t>
        </is>
      </c>
      <c r="D755" s="29" t="inlineStr">
        <is>
          <t>Info</t>
        </is>
      </c>
      <c r="E755" s="6" t="inlineStr">
        <is>
          <t>Copy Writer</t>
        </is>
      </c>
      <c r="F755" s="6" t="inlineStr"/>
      <c r="G755" s="25" t="inlineStr">
        <is>
          <t>Open</t>
        </is>
      </c>
      <c r="H755">
        <f>IFERROR(HYPERLINK("#Main!A"&amp;MATCH(A755,Main!A:A,0),"Open"),HYPERLINK("#Main!A1","Open"))</f>
        <v/>
      </c>
    </row>
    <row r="756" ht="30" customHeight="1">
      <c r="A756" s="33" t="inlineStr">
        <is>
          <t>https://africanmarketingconfederation.org/amc-conference-2022-thank-you/</t>
        </is>
      </c>
      <c r="B756" s="26" t="inlineStr">
        <is>
          <t>Missing H1</t>
        </is>
      </c>
      <c r="C756" s="24" t="inlineStr">
        <is>
          <t>https://africanmarketingconfederation.org/amc-conference-2022-thank-you/::missing_h1</t>
        </is>
      </c>
      <c r="D756" s="25" t="inlineStr">
        <is>
          <t>Warning</t>
        </is>
      </c>
      <c r="E756" s="24" t="inlineStr">
        <is>
          <t>Copy Writer</t>
        </is>
      </c>
      <c r="F756" s="24" t="inlineStr"/>
      <c r="G756" s="25" t="inlineStr">
        <is>
          <t>Open</t>
        </is>
      </c>
      <c r="H756">
        <f>IFERROR(HYPERLINK("#Main!A"&amp;MATCH(A756,Main!A:A,0),"Open"),HYPERLINK("#Main!A1","Open"))</f>
        <v/>
      </c>
    </row>
    <row r="757" ht="30" customHeight="1">
      <c r="A757" s="33" t="inlineStr">
        <is>
          <t>https://africanmarketingconfederation.org/amc-conference-2022-thank-you/</t>
        </is>
      </c>
      <c r="B757" s="26" t="inlineStr">
        <is>
          <t>Low AEO Readiness Score</t>
        </is>
      </c>
      <c r="C757" s="6" t="inlineStr">
        <is>
          <t>https://africanmarketingconfederation.org/amc-conference-2022-thank-you/::low_aeo_readiness_score</t>
        </is>
      </c>
      <c r="D757" s="25" t="inlineStr">
        <is>
          <t>Warning</t>
        </is>
      </c>
      <c r="E757" s="6" t="inlineStr">
        <is>
          <t>Copy Writer</t>
        </is>
      </c>
      <c r="F757" s="6" t="inlineStr"/>
      <c r="G757" s="25" t="inlineStr">
        <is>
          <t>Open</t>
        </is>
      </c>
      <c r="H757">
        <f>IFERROR(HYPERLINK("#Main!A"&amp;MATCH(A757,Main!A:A,0),"Open"),HYPERLINK("#Main!A1","Open"))</f>
        <v/>
      </c>
    </row>
    <row r="758" ht="30" customHeight="1">
      <c r="A758" s="33" t="inlineStr">
        <is>
          <t>https://africanmarketingconfederation.org/amc-conference-2022-thank-you/</t>
        </is>
      </c>
      <c r="B758" s="26" t="inlineStr">
        <is>
          <t>No Compression Header</t>
        </is>
      </c>
      <c r="C758" s="24" t="inlineStr">
        <is>
          <t>https://africanmarketingconfederation.org/amc-conference-2022-thank-you/::no_compression_header</t>
        </is>
      </c>
      <c r="D758" s="29" t="inlineStr">
        <is>
          <t>Info</t>
        </is>
      </c>
      <c r="E758" s="24" t="inlineStr">
        <is>
          <t>Server/Host</t>
        </is>
      </c>
      <c r="F758" s="24" t="inlineStr"/>
      <c r="G758" s="25" t="inlineStr">
        <is>
          <t>Open</t>
        </is>
      </c>
      <c r="H758">
        <f>IFERROR(HYPERLINK("#Main!A"&amp;MATCH(A758,Main!A:A,0),"Open"),HYPERLINK("#Main!A1","Open"))</f>
        <v/>
      </c>
    </row>
    <row r="759" ht="30" customHeight="1">
      <c r="A759" s="33" t="inlineStr">
        <is>
          <t>https://africanmarketingconfederation.org/amc-conference-2022-thank-you/</t>
        </is>
      </c>
      <c r="B759" s="26" t="inlineStr">
        <is>
          <t>No Cache-Control Header</t>
        </is>
      </c>
      <c r="C759" s="6" t="inlineStr">
        <is>
          <t>https://africanmarketingconfederation.org/amc-conference-2022-thank-you/::no_cache-control_header</t>
        </is>
      </c>
      <c r="D759" s="29" t="inlineStr">
        <is>
          <t>Info</t>
        </is>
      </c>
      <c r="E759" s="6" t="inlineStr">
        <is>
          <t>Server/Host</t>
        </is>
      </c>
      <c r="F759" s="6" t="inlineStr"/>
      <c r="G759" s="25" t="inlineStr">
        <is>
          <t>Open</t>
        </is>
      </c>
      <c r="H759">
        <f>IFERROR(HYPERLINK("#Main!A"&amp;MATCH(A759,Main!A:A,0),"Open"),HYPERLINK("#Main!A1","Open"))</f>
        <v/>
      </c>
    </row>
    <row r="760" ht="30" customHeight="1">
      <c r="A760" s="33" t="inlineStr">
        <is>
          <t>https://africanmarketingconfederation.org/amc-conference-2022-thank-you/</t>
        </is>
      </c>
      <c r="B760" s="26" t="inlineStr">
        <is>
          <t>No ETag Header</t>
        </is>
      </c>
      <c r="C760" s="24" t="inlineStr">
        <is>
          <t>https://africanmarketingconfederation.org/amc-conference-2022-thank-you/::no_etag_header</t>
        </is>
      </c>
      <c r="D760" s="29" t="inlineStr">
        <is>
          <t>Info</t>
        </is>
      </c>
      <c r="E760" s="24" t="inlineStr">
        <is>
          <t>Server/Host</t>
        </is>
      </c>
      <c r="F760" s="24" t="inlineStr"/>
      <c r="G760" s="25" t="inlineStr">
        <is>
          <t>Open</t>
        </is>
      </c>
      <c r="H760">
        <f>IFERROR(HYPERLINK("#Main!A"&amp;MATCH(A760,Main!A:A,0),"Open"),HYPERLINK("#Main!A1","Open"))</f>
        <v/>
      </c>
    </row>
    <row r="761" ht="30" customHeight="1">
      <c r="A761" s="33" t="inlineStr">
        <is>
          <t>https://africanmarketingconfederation.org/amc-conference-2022-thank-you/</t>
        </is>
      </c>
      <c r="B761" s="26" t="inlineStr">
        <is>
          <t>No FAQ/QA Schema</t>
        </is>
      </c>
      <c r="C761" s="6" t="inlineStr">
        <is>
          <t>https://africanmarketingconfederation.org/amc-conference-2022-thank-you/::no_faq_qa_schema</t>
        </is>
      </c>
      <c r="D761" s="29" t="inlineStr">
        <is>
          <t>Info</t>
        </is>
      </c>
      <c r="E761" s="6" t="inlineStr">
        <is>
          <t>Dev</t>
        </is>
      </c>
      <c r="F761" s="6" t="inlineStr"/>
      <c r="G761" s="25" t="inlineStr">
        <is>
          <t>Open</t>
        </is>
      </c>
      <c r="H761">
        <f>IFERROR(HYPERLINK("#Main!A"&amp;MATCH(A761,Main!A:A,0),"Open"),HYPERLINK("#Main!A1","Open"))</f>
        <v/>
      </c>
    </row>
    <row r="762" ht="30" customHeight="1">
      <c r="A762" s="33" t="inlineStr">
        <is>
          <t>https://africanmarketingconfederation.org/amc-conference-2022-thank-you/</t>
        </is>
      </c>
      <c r="B762" s="26" t="inlineStr">
        <is>
          <t>No Question Headings</t>
        </is>
      </c>
      <c r="C762" s="24" t="inlineStr">
        <is>
          <t>https://africanmarketingconfederation.org/amc-conference-2022-thank-you/::no_question_headings</t>
        </is>
      </c>
      <c r="D762" s="29" t="inlineStr">
        <is>
          <t>Info</t>
        </is>
      </c>
      <c r="E762" s="24" t="inlineStr">
        <is>
          <t>Copy Writer</t>
        </is>
      </c>
      <c r="F762" s="24" t="inlineStr"/>
      <c r="G762" s="25" t="inlineStr">
        <is>
          <t>Open</t>
        </is>
      </c>
      <c r="H762">
        <f>IFERROR(HYPERLINK("#Main!A"&amp;MATCH(A762,Main!A:A,0),"Open"),HYPERLINK("#Main!A1","Open"))</f>
        <v/>
      </c>
    </row>
    <row r="763" ht="30" customHeight="1">
      <c r="A763" s="33" t="inlineStr">
        <is>
          <t>https://africanmarketingconfederation.org/amc-conference-2022-thank-you/</t>
        </is>
      </c>
      <c r="B763" s="26" t="inlineStr">
        <is>
          <t>No Answer-Friendly Structure</t>
        </is>
      </c>
      <c r="C763" s="6" t="inlineStr">
        <is>
          <t>https://africanmarketingconfederation.org/amc-conference-2022-thank-you/::no_answer-friendly_structure</t>
        </is>
      </c>
      <c r="D763" s="29" t="inlineStr">
        <is>
          <t>Info</t>
        </is>
      </c>
      <c r="E763" s="6" t="inlineStr">
        <is>
          <t>Copy Writer</t>
        </is>
      </c>
      <c r="F763" s="6" t="inlineStr"/>
      <c r="G763" s="25" t="inlineStr">
        <is>
          <t>Open</t>
        </is>
      </c>
      <c r="H763">
        <f>IFERROR(HYPERLINK("#Main!A"&amp;MATCH(A763,Main!A:A,0),"Open"),HYPERLINK("#Main!A1","Open"))</f>
        <v/>
      </c>
    </row>
    <row r="764" ht="30" customHeight="1">
      <c r="A764" s="33" t="inlineStr">
        <is>
          <t>https://africanmarketingconfederation.org/amc-conference-2022-thank-you/</t>
        </is>
      </c>
      <c r="B764" s="26" t="inlineStr">
        <is>
          <t>No 40-60 Word Answer Paragraphs</t>
        </is>
      </c>
      <c r="C764" s="24" t="inlineStr">
        <is>
          <t>https://africanmarketingconfederation.org/amc-conference-2022-thank-you/::no_40-60_word_answer_paragraphs</t>
        </is>
      </c>
      <c r="D764" s="29" t="inlineStr">
        <is>
          <t>Info</t>
        </is>
      </c>
      <c r="E764" s="24" t="inlineStr">
        <is>
          <t>Copy Writer</t>
        </is>
      </c>
      <c r="F764" s="24" t="inlineStr"/>
      <c r="G764" s="25" t="inlineStr">
        <is>
          <t>Open</t>
        </is>
      </c>
      <c r="H764">
        <f>IFERROR(HYPERLINK("#Main!A"&amp;MATCH(A764,Main!A:A,0),"Open"),HYPERLINK("#Main!A1","Open"))</f>
        <v/>
      </c>
    </row>
    <row r="765" ht="30" customHeight="1">
      <c r="A765" s="33" t="inlineStr">
        <is>
          <t>https://africanmarketingconfederation.org/privacy-policy/</t>
        </is>
      </c>
      <c r="B765" s="26" t="inlineStr">
        <is>
          <t>Multiple H1</t>
        </is>
      </c>
      <c r="C765" s="6" t="inlineStr">
        <is>
          <t>https://africanmarketingconfederation.org/privacy-policy/::multiple_h1</t>
        </is>
      </c>
      <c r="D765" s="25" t="inlineStr">
        <is>
          <t>Warning</t>
        </is>
      </c>
      <c r="E765" s="6" t="inlineStr">
        <is>
          <t>Copy Writer</t>
        </is>
      </c>
      <c r="F765" s="6" t="inlineStr"/>
      <c r="G765" s="25" t="inlineStr">
        <is>
          <t>Open</t>
        </is>
      </c>
      <c r="H765">
        <f>IFERROR(HYPERLINK("#Main!A"&amp;MATCH(A765,Main!A:A,0),"Open"),HYPERLINK("#Main!A1","Open"))</f>
        <v/>
      </c>
    </row>
    <row r="766" ht="30" customHeight="1">
      <c r="A766" s="33" t="inlineStr">
        <is>
          <t>https://africanmarketingconfederation.org/privacy-policy/</t>
        </is>
      </c>
      <c r="B766" s="26" t="inlineStr">
        <is>
          <t>Low AEO Readiness Score</t>
        </is>
      </c>
      <c r="C766" s="24" t="inlineStr">
        <is>
          <t>https://africanmarketingconfederation.org/privacy-policy/::low_aeo_readiness_score</t>
        </is>
      </c>
      <c r="D766" s="25" t="inlineStr">
        <is>
          <t>Warning</t>
        </is>
      </c>
      <c r="E766" s="24" t="inlineStr">
        <is>
          <t>Copy Writer</t>
        </is>
      </c>
      <c r="F766" s="24" t="inlineStr"/>
      <c r="G766" s="25" t="inlineStr">
        <is>
          <t>Open</t>
        </is>
      </c>
      <c r="H766">
        <f>IFERROR(HYPERLINK("#Main!A"&amp;MATCH(A766,Main!A:A,0),"Open"),HYPERLINK("#Main!A1","Open"))</f>
        <v/>
      </c>
    </row>
    <row r="767" ht="30" customHeight="1">
      <c r="A767" s="33" t="inlineStr">
        <is>
          <t>https://africanmarketingconfederation.org/privacy-policy/</t>
        </is>
      </c>
      <c r="B767" s="26" t="inlineStr">
        <is>
          <t>No Compression Header</t>
        </is>
      </c>
      <c r="C767" s="6" t="inlineStr">
        <is>
          <t>https://africanmarketingconfederation.org/privacy-policy/::no_compression_header</t>
        </is>
      </c>
      <c r="D767" s="29" t="inlineStr">
        <is>
          <t>Info</t>
        </is>
      </c>
      <c r="E767" s="6" t="inlineStr">
        <is>
          <t>Server/Host</t>
        </is>
      </c>
      <c r="F767" s="6" t="inlineStr"/>
      <c r="G767" s="25" t="inlineStr">
        <is>
          <t>Open</t>
        </is>
      </c>
      <c r="H767">
        <f>IFERROR(HYPERLINK("#Main!A"&amp;MATCH(A767,Main!A:A,0),"Open"),HYPERLINK("#Main!A1","Open"))</f>
        <v/>
      </c>
    </row>
    <row r="768" ht="30" customHeight="1">
      <c r="A768" s="33" t="inlineStr">
        <is>
          <t>https://africanmarketingconfederation.org/privacy-policy/</t>
        </is>
      </c>
      <c r="B768" s="26" t="inlineStr">
        <is>
          <t>No Cache-Control Header</t>
        </is>
      </c>
      <c r="C768" s="24" t="inlineStr">
        <is>
          <t>https://africanmarketingconfederation.org/privacy-policy/::no_cache-control_header</t>
        </is>
      </c>
      <c r="D768" s="29" t="inlineStr">
        <is>
          <t>Info</t>
        </is>
      </c>
      <c r="E768" s="24" t="inlineStr">
        <is>
          <t>Server/Host</t>
        </is>
      </c>
      <c r="F768" s="24" t="inlineStr"/>
      <c r="G768" s="25" t="inlineStr">
        <is>
          <t>Open</t>
        </is>
      </c>
      <c r="H768">
        <f>IFERROR(HYPERLINK("#Main!A"&amp;MATCH(A768,Main!A:A,0),"Open"),HYPERLINK("#Main!A1","Open"))</f>
        <v/>
      </c>
    </row>
    <row r="769" ht="30" customHeight="1">
      <c r="A769" s="33" t="inlineStr">
        <is>
          <t>https://africanmarketingconfederation.org/privacy-policy/</t>
        </is>
      </c>
      <c r="B769" s="26" t="inlineStr">
        <is>
          <t>No ETag Header</t>
        </is>
      </c>
      <c r="C769" s="6" t="inlineStr">
        <is>
          <t>https://africanmarketingconfederation.org/privacy-policy/::no_etag_header</t>
        </is>
      </c>
      <c r="D769" s="29" t="inlineStr">
        <is>
          <t>Info</t>
        </is>
      </c>
      <c r="E769" s="6" t="inlineStr">
        <is>
          <t>Server/Host</t>
        </is>
      </c>
      <c r="F769" s="6" t="inlineStr"/>
      <c r="G769" s="25" t="inlineStr">
        <is>
          <t>Open</t>
        </is>
      </c>
      <c r="H769">
        <f>IFERROR(HYPERLINK("#Main!A"&amp;MATCH(A769,Main!A:A,0),"Open"),HYPERLINK("#Main!A1","Open"))</f>
        <v/>
      </c>
    </row>
    <row r="770" ht="30" customHeight="1">
      <c r="A770" s="33" t="inlineStr">
        <is>
          <t>https://africanmarketingconfederation.org/privacy-policy/</t>
        </is>
      </c>
      <c r="B770" s="26" t="inlineStr">
        <is>
          <t>No FAQ/QA Schema</t>
        </is>
      </c>
      <c r="C770" s="24" t="inlineStr">
        <is>
          <t>https://africanmarketingconfederation.org/privacy-policy/::no_faq_qa_schema</t>
        </is>
      </c>
      <c r="D770" s="29" t="inlineStr">
        <is>
          <t>Info</t>
        </is>
      </c>
      <c r="E770" s="24" t="inlineStr">
        <is>
          <t>Dev</t>
        </is>
      </c>
      <c r="F770" s="24" t="inlineStr"/>
      <c r="G770" s="25" t="inlineStr">
        <is>
          <t>Open</t>
        </is>
      </c>
      <c r="H770">
        <f>IFERROR(HYPERLINK("#Main!A"&amp;MATCH(A770,Main!A:A,0),"Open"),HYPERLINK("#Main!A1","Open"))</f>
        <v/>
      </c>
    </row>
    <row r="771" ht="30" customHeight="1">
      <c r="A771" s="33" t="inlineStr">
        <is>
          <t>https://africanmarketingconfederation.org/privacy-policy/</t>
        </is>
      </c>
      <c r="B771" s="26" t="inlineStr">
        <is>
          <t>No Question Headings</t>
        </is>
      </c>
      <c r="C771" s="6" t="inlineStr">
        <is>
          <t>https://africanmarketingconfederation.org/privacy-policy/::no_question_headings</t>
        </is>
      </c>
      <c r="D771" s="29" t="inlineStr">
        <is>
          <t>Info</t>
        </is>
      </c>
      <c r="E771" s="6" t="inlineStr">
        <is>
          <t>Copy Writer</t>
        </is>
      </c>
      <c r="F771" s="6" t="inlineStr"/>
      <c r="G771" s="25" t="inlineStr">
        <is>
          <t>Open</t>
        </is>
      </c>
      <c r="H771">
        <f>IFERROR(HYPERLINK("#Main!A"&amp;MATCH(A771,Main!A:A,0),"Open"),HYPERLINK("#Main!A1","Open"))</f>
        <v/>
      </c>
    </row>
    <row r="772" ht="30" customHeight="1">
      <c r="A772" s="33" t="inlineStr">
        <is>
          <t>https://africanmarketingconfederation.org/privacy-policy/</t>
        </is>
      </c>
      <c r="B772" s="26" t="inlineStr">
        <is>
          <t>No Answer-Friendly Structure</t>
        </is>
      </c>
      <c r="C772" s="24" t="inlineStr">
        <is>
          <t>https://africanmarketingconfederation.org/privacy-policy/::no_answer-friendly_structure</t>
        </is>
      </c>
      <c r="D772" s="29" t="inlineStr">
        <is>
          <t>Info</t>
        </is>
      </c>
      <c r="E772" s="24" t="inlineStr">
        <is>
          <t>Copy Writer</t>
        </is>
      </c>
      <c r="F772" s="24" t="inlineStr"/>
      <c r="G772" s="25" t="inlineStr">
        <is>
          <t>Open</t>
        </is>
      </c>
      <c r="H772">
        <f>IFERROR(HYPERLINK("#Main!A"&amp;MATCH(A772,Main!A:A,0),"Open"),HYPERLINK("#Main!A1","Open"))</f>
        <v/>
      </c>
    </row>
    <row r="773" ht="30" customHeight="1">
      <c r="A773" s="33" t="inlineStr">
        <is>
          <t>https://africanmarketingconfederation.org/privacy-policy/</t>
        </is>
      </c>
      <c r="B773" s="26" t="inlineStr">
        <is>
          <t>No 40-60 Word Answer Paragraphs</t>
        </is>
      </c>
      <c r="C773" s="6" t="inlineStr">
        <is>
          <t>https://africanmarketingconfederation.org/privacy-policy/::no_40-60_word_answer_paragraphs</t>
        </is>
      </c>
      <c r="D773" s="29" t="inlineStr">
        <is>
          <t>Info</t>
        </is>
      </c>
      <c r="E773" s="6" t="inlineStr">
        <is>
          <t>Copy Writer</t>
        </is>
      </c>
      <c r="F773" s="6" t="inlineStr"/>
      <c r="G773" s="25" t="inlineStr">
        <is>
          <t>Open</t>
        </is>
      </c>
      <c r="H773">
        <f>IFERROR(HYPERLINK("#Main!A"&amp;MATCH(A773,Main!A:A,0),"Open"),HYPERLINK("#Main!A1","Open"))</f>
        <v/>
      </c>
    </row>
    <row r="774" ht="30" customHeight="1">
      <c r="A774" s="33" t="inlineStr">
        <is>
          <t>https://africanmarketingconfederation.org/speakers/</t>
        </is>
      </c>
      <c r="B774" s="26" t="inlineStr">
        <is>
          <t>Missing H1</t>
        </is>
      </c>
      <c r="C774" s="24" t="inlineStr">
        <is>
          <t>https://africanmarketingconfederation.org/speakers/::missing_h1</t>
        </is>
      </c>
      <c r="D774" s="25" t="inlineStr">
        <is>
          <t>Warning</t>
        </is>
      </c>
      <c r="E774" s="24" t="inlineStr">
        <is>
          <t>Copy Writer</t>
        </is>
      </c>
      <c r="F774" s="24" t="inlineStr"/>
      <c r="G774" s="25" t="inlineStr">
        <is>
          <t>Open</t>
        </is>
      </c>
      <c r="H774">
        <f>IFERROR(HYPERLINK("#Main!A"&amp;MATCH(A774,Main!A:A,0),"Open"),HYPERLINK("#Main!A1","Open"))</f>
        <v/>
      </c>
    </row>
    <row r="775" ht="30" customHeight="1">
      <c r="A775" s="33" t="inlineStr">
        <is>
          <t>https://africanmarketingconfederation.org/speakers/</t>
        </is>
      </c>
      <c r="B775" s="26" t="inlineStr">
        <is>
          <t>Thin Content</t>
        </is>
      </c>
      <c r="C775" s="6" t="inlineStr">
        <is>
          <t>https://africanmarketingconfederation.org/speakers/::thin_content</t>
        </is>
      </c>
      <c r="D775" s="25" t="inlineStr">
        <is>
          <t>Warning</t>
        </is>
      </c>
      <c r="E775" s="6" t="inlineStr">
        <is>
          <t>Copy Writer</t>
        </is>
      </c>
      <c r="F775" s="6" t="inlineStr"/>
      <c r="G775" s="25" t="inlineStr">
        <is>
          <t>Open</t>
        </is>
      </c>
      <c r="H775">
        <f>IFERROR(HYPERLINK("#Main!A"&amp;MATCH(A775,Main!A:A,0),"Open"),HYPERLINK("#Main!A1","Open"))</f>
        <v/>
      </c>
    </row>
    <row r="776" ht="30" customHeight="1">
      <c r="A776" s="33" t="inlineStr">
        <is>
          <t>https://africanmarketingconfederation.org/speakers/</t>
        </is>
      </c>
      <c r="B776" s="26" t="inlineStr">
        <is>
          <t>Low AEO Readiness Score</t>
        </is>
      </c>
      <c r="C776" s="24" t="inlineStr">
        <is>
          <t>https://africanmarketingconfederation.org/speakers/::low_aeo_readiness_score</t>
        </is>
      </c>
      <c r="D776" s="25" t="inlineStr">
        <is>
          <t>Warning</t>
        </is>
      </c>
      <c r="E776" s="24" t="inlineStr">
        <is>
          <t>Copy Writer</t>
        </is>
      </c>
      <c r="F776" s="24" t="inlineStr"/>
      <c r="G776" s="25" t="inlineStr">
        <is>
          <t>Open</t>
        </is>
      </c>
      <c r="H776">
        <f>IFERROR(HYPERLINK("#Main!A"&amp;MATCH(A776,Main!A:A,0),"Open"),HYPERLINK("#Main!A1","Open"))</f>
        <v/>
      </c>
    </row>
    <row r="777" ht="30" customHeight="1">
      <c r="A777" s="33" t="inlineStr">
        <is>
          <t>https://africanmarketingconfederation.org/speakers/</t>
        </is>
      </c>
      <c r="B777" s="26" t="inlineStr">
        <is>
          <t>No Compression Header</t>
        </is>
      </c>
      <c r="C777" s="6" t="inlineStr">
        <is>
          <t>https://africanmarketingconfederation.org/speakers/::no_compression_header</t>
        </is>
      </c>
      <c r="D777" s="29" t="inlineStr">
        <is>
          <t>Info</t>
        </is>
      </c>
      <c r="E777" s="6" t="inlineStr">
        <is>
          <t>Server/Host</t>
        </is>
      </c>
      <c r="F777" s="6" t="inlineStr"/>
      <c r="G777" s="25" t="inlineStr">
        <is>
          <t>Open</t>
        </is>
      </c>
      <c r="H777">
        <f>IFERROR(HYPERLINK("#Main!A"&amp;MATCH(A777,Main!A:A,0),"Open"),HYPERLINK("#Main!A1","Open"))</f>
        <v/>
      </c>
    </row>
    <row r="778" ht="30" customHeight="1">
      <c r="A778" s="33" t="inlineStr">
        <is>
          <t>https://africanmarketingconfederation.org/speakers/</t>
        </is>
      </c>
      <c r="B778" s="26" t="inlineStr">
        <is>
          <t>No Cache-Control Header</t>
        </is>
      </c>
      <c r="C778" s="24" t="inlineStr">
        <is>
          <t>https://africanmarketingconfederation.org/speakers/::no_cache-control_header</t>
        </is>
      </c>
      <c r="D778" s="29" t="inlineStr">
        <is>
          <t>Info</t>
        </is>
      </c>
      <c r="E778" s="24" t="inlineStr">
        <is>
          <t>Server/Host</t>
        </is>
      </c>
      <c r="F778" s="24" t="inlineStr"/>
      <c r="G778" s="25" t="inlineStr">
        <is>
          <t>Open</t>
        </is>
      </c>
      <c r="H778">
        <f>IFERROR(HYPERLINK("#Main!A"&amp;MATCH(A778,Main!A:A,0),"Open"),HYPERLINK("#Main!A1","Open"))</f>
        <v/>
      </c>
    </row>
    <row r="779" ht="30" customHeight="1">
      <c r="A779" s="33" t="inlineStr">
        <is>
          <t>https://africanmarketingconfederation.org/speakers/</t>
        </is>
      </c>
      <c r="B779" s="26" t="inlineStr">
        <is>
          <t>No ETag Header</t>
        </is>
      </c>
      <c r="C779" s="6" t="inlineStr">
        <is>
          <t>https://africanmarketingconfederation.org/speakers/::no_etag_header</t>
        </is>
      </c>
      <c r="D779" s="29" t="inlineStr">
        <is>
          <t>Info</t>
        </is>
      </c>
      <c r="E779" s="6" t="inlineStr">
        <is>
          <t>Server/Host</t>
        </is>
      </c>
      <c r="F779" s="6" t="inlineStr"/>
      <c r="G779" s="25" t="inlineStr">
        <is>
          <t>Open</t>
        </is>
      </c>
      <c r="H779">
        <f>IFERROR(HYPERLINK("#Main!A"&amp;MATCH(A779,Main!A:A,0),"Open"),HYPERLINK("#Main!A1","Open"))</f>
        <v/>
      </c>
    </row>
    <row r="780" ht="30" customHeight="1">
      <c r="A780" s="33" t="inlineStr">
        <is>
          <t>https://africanmarketingconfederation.org/speakers/</t>
        </is>
      </c>
      <c r="B780" s="26" t="inlineStr">
        <is>
          <t>No FAQ/QA Schema</t>
        </is>
      </c>
      <c r="C780" s="24" t="inlineStr">
        <is>
          <t>https://africanmarketingconfederation.org/speakers/::no_faq_qa_schema</t>
        </is>
      </c>
      <c r="D780" s="29" t="inlineStr">
        <is>
          <t>Info</t>
        </is>
      </c>
      <c r="E780" s="24" t="inlineStr">
        <is>
          <t>Dev</t>
        </is>
      </c>
      <c r="F780" s="24" t="inlineStr"/>
      <c r="G780" s="25" t="inlineStr">
        <is>
          <t>Open</t>
        </is>
      </c>
      <c r="H780">
        <f>IFERROR(HYPERLINK("#Main!A"&amp;MATCH(A780,Main!A:A,0),"Open"),HYPERLINK("#Main!A1","Open"))</f>
        <v/>
      </c>
    </row>
    <row r="781" ht="30" customHeight="1">
      <c r="A781" s="33" t="inlineStr">
        <is>
          <t>https://africanmarketingconfederation.org/speakers/</t>
        </is>
      </c>
      <c r="B781" s="26" t="inlineStr">
        <is>
          <t>No Question Headings</t>
        </is>
      </c>
      <c r="C781" s="6" t="inlineStr">
        <is>
          <t>https://africanmarketingconfederation.org/speakers/::no_question_headings</t>
        </is>
      </c>
      <c r="D781" s="29" t="inlineStr">
        <is>
          <t>Info</t>
        </is>
      </c>
      <c r="E781" s="6" t="inlineStr">
        <is>
          <t>Copy Writer</t>
        </is>
      </c>
      <c r="F781" s="6" t="inlineStr"/>
      <c r="G781" s="25" t="inlineStr">
        <is>
          <t>Open</t>
        </is>
      </c>
      <c r="H781">
        <f>IFERROR(HYPERLINK("#Main!A"&amp;MATCH(A781,Main!A:A,0),"Open"),HYPERLINK("#Main!A1","Open"))</f>
        <v/>
      </c>
    </row>
    <row r="782" ht="30" customHeight="1">
      <c r="A782" s="33" t="inlineStr">
        <is>
          <t>https://africanmarketingconfederation.org/speakers/</t>
        </is>
      </c>
      <c r="B782" s="26" t="inlineStr">
        <is>
          <t>No Answer-Friendly Structure</t>
        </is>
      </c>
      <c r="C782" s="24" t="inlineStr">
        <is>
          <t>https://africanmarketingconfederation.org/speakers/::no_answer-friendly_structure</t>
        </is>
      </c>
      <c r="D782" s="29" t="inlineStr">
        <is>
          <t>Info</t>
        </is>
      </c>
      <c r="E782" s="24" t="inlineStr">
        <is>
          <t>Copy Writer</t>
        </is>
      </c>
      <c r="F782" s="24" t="inlineStr"/>
      <c r="G782" s="25" t="inlineStr">
        <is>
          <t>Open</t>
        </is>
      </c>
      <c r="H782">
        <f>IFERROR(HYPERLINK("#Main!A"&amp;MATCH(A782,Main!A:A,0),"Open"),HYPERLINK("#Main!A1","Open"))</f>
        <v/>
      </c>
    </row>
    <row r="783" ht="30" customHeight="1">
      <c r="A783" s="33" t="inlineStr">
        <is>
          <t>https://africanmarketingconfederation.org/speakers/</t>
        </is>
      </c>
      <c r="B783" s="26" t="inlineStr">
        <is>
          <t>No 40-60 Word Answer Paragraphs</t>
        </is>
      </c>
      <c r="C783" s="6" t="inlineStr">
        <is>
          <t>https://africanmarketingconfederation.org/speakers/::no_40-60_word_answer_paragraphs</t>
        </is>
      </c>
      <c r="D783" s="29" t="inlineStr">
        <is>
          <t>Info</t>
        </is>
      </c>
      <c r="E783" s="6" t="inlineStr">
        <is>
          <t>Copy Writer</t>
        </is>
      </c>
      <c r="F783" s="6" t="inlineStr"/>
      <c r="G783" s="25" t="inlineStr">
        <is>
          <t>Open</t>
        </is>
      </c>
      <c r="H783">
        <f>IFERROR(HYPERLINK("#Main!A"&amp;MATCH(A783,Main!A:A,0),"Open"),HYPERLINK("#Main!A1","Open"))</f>
        <v/>
      </c>
    </row>
  </sheetData>
  <autoFilter ref="A1:G783"/>
  <conditionalFormatting sqref="G2:G783">
    <cfRule type="expression" priority="1" dxfId="4" stopIfTrue="1">
      <formula>LOWER(G2)="done"</formula>
    </cfRule>
    <cfRule type="expression" priority="2" dxfId="5" stopIfTrue="1">
      <formula>OR(LOWER(G2)="to do",LOWER(G2)="in progress",LOWER(G2)="in review")</formula>
    </cfRule>
  </conditionalFormatting>
  <dataValidations count="9">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table Issue ID" prompt="Stable Issue ID. Review this metric to identify risk, then use linked tabs for details and remediation." type="custom">
      <formula1>TRUE</formula1>
    </dataValidation>
    <dataValidation sqref="D1" showDropDown="0" showInputMessage="1" showErrorMessage="0" allowBlank="1" promptTitle="Severity" prompt="Issue impact level. Fix: Resolve Critical first, then Warning, then improvement opportunities." type="custom">
      <formula1>TRUE</formula1>
    </dataValidation>
    <dataValidation sqref="E1" showDropDown="0" showInputMessage="1" showErrorMessage="0" allowBlank="1" promptTitle="Owner" prompt="Workflow management field for planning and tracking remediation progress." type="custom">
      <formula1>TRUE</formula1>
    </dataValidation>
    <dataValidation sqref="F1" showDropDown="0" showInputMessage="1" showErrorMessage="0" allowBlank="1" promptTitle="Sprint"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Open in Main" prompt="Navigation helper. Click to jump directly to the related record in another tab." type="custom">
      <formula1>TRUE</formula1>
    </dataValidation>
    <dataValidation sqref="I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I1" r:id="rId1"/>
    <hyperlink xmlns:r="http://schemas.openxmlformats.org/officeDocument/2006/relationships" ref="A2" r:id="rId2"/>
    <hyperlink xmlns:r="http://schemas.openxmlformats.org/officeDocument/2006/relationships" ref="B2" r:id="rId3"/>
    <hyperlink xmlns:r="http://schemas.openxmlformats.org/officeDocument/2006/relationships" ref="A3" r:id="rId4"/>
    <hyperlink xmlns:r="http://schemas.openxmlformats.org/officeDocument/2006/relationships" ref="B3" r:id="rId5"/>
    <hyperlink xmlns:r="http://schemas.openxmlformats.org/officeDocument/2006/relationships" ref="A4" r:id="rId6"/>
    <hyperlink xmlns:r="http://schemas.openxmlformats.org/officeDocument/2006/relationships" ref="B4" r:id="rId7"/>
    <hyperlink xmlns:r="http://schemas.openxmlformats.org/officeDocument/2006/relationships" ref="A5" r:id="rId8"/>
    <hyperlink xmlns:r="http://schemas.openxmlformats.org/officeDocument/2006/relationships" ref="B5" r:id="rId9"/>
    <hyperlink xmlns:r="http://schemas.openxmlformats.org/officeDocument/2006/relationships" ref="A6" r:id="rId10"/>
    <hyperlink xmlns:r="http://schemas.openxmlformats.org/officeDocument/2006/relationships" ref="B6" r:id="rId11"/>
    <hyperlink xmlns:r="http://schemas.openxmlformats.org/officeDocument/2006/relationships" ref="A7" r:id="rId12"/>
    <hyperlink xmlns:r="http://schemas.openxmlformats.org/officeDocument/2006/relationships" ref="B7" r:id="rId13"/>
    <hyperlink xmlns:r="http://schemas.openxmlformats.org/officeDocument/2006/relationships" ref="A8" r:id="rId14"/>
    <hyperlink xmlns:r="http://schemas.openxmlformats.org/officeDocument/2006/relationships" ref="B8" r:id="rId15"/>
    <hyperlink xmlns:r="http://schemas.openxmlformats.org/officeDocument/2006/relationships" ref="A9" r:id="rId16"/>
    <hyperlink xmlns:r="http://schemas.openxmlformats.org/officeDocument/2006/relationships" ref="B9" r:id="rId17"/>
    <hyperlink xmlns:r="http://schemas.openxmlformats.org/officeDocument/2006/relationships" ref="A10" r:id="rId18"/>
    <hyperlink xmlns:r="http://schemas.openxmlformats.org/officeDocument/2006/relationships" ref="B10" r:id="rId19"/>
    <hyperlink xmlns:r="http://schemas.openxmlformats.org/officeDocument/2006/relationships" ref="A11" r:id="rId20"/>
    <hyperlink xmlns:r="http://schemas.openxmlformats.org/officeDocument/2006/relationships" ref="B11" r:id="rId21"/>
    <hyperlink xmlns:r="http://schemas.openxmlformats.org/officeDocument/2006/relationships" ref="A12" r:id="rId22"/>
    <hyperlink xmlns:r="http://schemas.openxmlformats.org/officeDocument/2006/relationships" ref="B12" r:id="rId23"/>
    <hyperlink xmlns:r="http://schemas.openxmlformats.org/officeDocument/2006/relationships" ref="A13" r:id="rId24"/>
    <hyperlink xmlns:r="http://schemas.openxmlformats.org/officeDocument/2006/relationships" ref="B13" r:id="rId25"/>
    <hyperlink xmlns:r="http://schemas.openxmlformats.org/officeDocument/2006/relationships" ref="A14" r:id="rId26"/>
    <hyperlink xmlns:r="http://schemas.openxmlformats.org/officeDocument/2006/relationships" ref="B14" r:id="rId27"/>
    <hyperlink xmlns:r="http://schemas.openxmlformats.org/officeDocument/2006/relationships" ref="A15" r:id="rId28"/>
    <hyperlink xmlns:r="http://schemas.openxmlformats.org/officeDocument/2006/relationships" ref="B15" r:id="rId29"/>
    <hyperlink xmlns:r="http://schemas.openxmlformats.org/officeDocument/2006/relationships" ref="A16" r:id="rId30"/>
    <hyperlink xmlns:r="http://schemas.openxmlformats.org/officeDocument/2006/relationships" ref="B16" r:id="rId31"/>
    <hyperlink xmlns:r="http://schemas.openxmlformats.org/officeDocument/2006/relationships" ref="A17" r:id="rId32"/>
    <hyperlink xmlns:r="http://schemas.openxmlformats.org/officeDocument/2006/relationships" ref="B17" r:id="rId33"/>
    <hyperlink xmlns:r="http://schemas.openxmlformats.org/officeDocument/2006/relationships" ref="A18" r:id="rId34"/>
    <hyperlink xmlns:r="http://schemas.openxmlformats.org/officeDocument/2006/relationships" ref="B18" r:id="rId35"/>
    <hyperlink xmlns:r="http://schemas.openxmlformats.org/officeDocument/2006/relationships" ref="A19" r:id="rId36"/>
    <hyperlink xmlns:r="http://schemas.openxmlformats.org/officeDocument/2006/relationships" ref="B19" r:id="rId37"/>
    <hyperlink xmlns:r="http://schemas.openxmlformats.org/officeDocument/2006/relationships" ref="A20" r:id="rId38"/>
    <hyperlink xmlns:r="http://schemas.openxmlformats.org/officeDocument/2006/relationships" ref="B20" r:id="rId39"/>
    <hyperlink xmlns:r="http://schemas.openxmlformats.org/officeDocument/2006/relationships" ref="A21" r:id="rId40"/>
    <hyperlink xmlns:r="http://schemas.openxmlformats.org/officeDocument/2006/relationships" ref="B21" r:id="rId41"/>
    <hyperlink xmlns:r="http://schemas.openxmlformats.org/officeDocument/2006/relationships" ref="A22" r:id="rId42"/>
    <hyperlink xmlns:r="http://schemas.openxmlformats.org/officeDocument/2006/relationships" ref="B22" r:id="rId43"/>
    <hyperlink xmlns:r="http://schemas.openxmlformats.org/officeDocument/2006/relationships" ref="A23" r:id="rId44"/>
    <hyperlink xmlns:r="http://schemas.openxmlformats.org/officeDocument/2006/relationships" ref="B23" r:id="rId45"/>
    <hyperlink xmlns:r="http://schemas.openxmlformats.org/officeDocument/2006/relationships" ref="A24" r:id="rId46"/>
    <hyperlink xmlns:r="http://schemas.openxmlformats.org/officeDocument/2006/relationships" ref="B24" r:id="rId47"/>
    <hyperlink xmlns:r="http://schemas.openxmlformats.org/officeDocument/2006/relationships" ref="A25" r:id="rId48"/>
    <hyperlink xmlns:r="http://schemas.openxmlformats.org/officeDocument/2006/relationships" ref="B25" r:id="rId49"/>
    <hyperlink xmlns:r="http://schemas.openxmlformats.org/officeDocument/2006/relationships" ref="A26" r:id="rId50"/>
    <hyperlink xmlns:r="http://schemas.openxmlformats.org/officeDocument/2006/relationships" ref="B26" r:id="rId51"/>
    <hyperlink xmlns:r="http://schemas.openxmlformats.org/officeDocument/2006/relationships" ref="A27" r:id="rId52"/>
    <hyperlink xmlns:r="http://schemas.openxmlformats.org/officeDocument/2006/relationships" ref="B27" r:id="rId53"/>
    <hyperlink xmlns:r="http://schemas.openxmlformats.org/officeDocument/2006/relationships" ref="A28" r:id="rId54"/>
    <hyperlink xmlns:r="http://schemas.openxmlformats.org/officeDocument/2006/relationships" ref="B28" r:id="rId55"/>
    <hyperlink xmlns:r="http://schemas.openxmlformats.org/officeDocument/2006/relationships" ref="A29" r:id="rId56"/>
    <hyperlink xmlns:r="http://schemas.openxmlformats.org/officeDocument/2006/relationships" ref="B29" r:id="rId57"/>
    <hyperlink xmlns:r="http://schemas.openxmlformats.org/officeDocument/2006/relationships" ref="A30" r:id="rId58"/>
    <hyperlink xmlns:r="http://schemas.openxmlformats.org/officeDocument/2006/relationships" ref="B30" r:id="rId59"/>
    <hyperlink xmlns:r="http://schemas.openxmlformats.org/officeDocument/2006/relationships" ref="A31" r:id="rId60"/>
    <hyperlink xmlns:r="http://schemas.openxmlformats.org/officeDocument/2006/relationships" ref="B31" r:id="rId61"/>
    <hyperlink xmlns:r="http://schemas.openxmlformats.org/officeDocument/2006/relationships" ref="A32" r:id="rId62"/>
    <hyperlink xmlns:r="http://schemas.openxmlformats.org/officeDocument/2006/relationships" ref="B32" r:id="rId63"/>
    <hyperlink xmlns:r="http://schemas.openxmlformats.org/officeDocument/2006/relationships" ref="A33" r:id="rId64"/>
    <hyperlink xmlns:r="http://schemas.openxmlformats.org/officeDocument/2006/relationships" ref="B33" r:id="rId65"/>
    <hyperlink xmlns:r="http://schemas.openxmlformats.org/officeDocument/2006/relationships" ref="A34" r:id="rId66"/>
    <hyperlink xmlns:r="http://schemas.openxmlformats.org/officeDocument/2006/relationships" ref="B34" r:id="rId67"/>
    <hyperlink xmlns:r="http://schemas.openxmlformats.org/officeDocument/2006/relationships" ref="A35" r:id="rId68"/>
    <hyperlink xmlns:r="http://schemas.openxmlformats.org/officeDocument/2006/relationships" ref="B35" r:id="rId69"/>
    <hyperlink xmlns:r="http://schemas.openxmlformats.org/officeDocument/2006/relationships" ref="A36" r:id="rId70"/>
    <hyperlink xmlns:r="http://schemas.openxmlformats.org/officeDocument/2006/relationships" ref="B36" r:id="rId71"/>
    <hyperlink xmlns:r="http://schemas.openxmlformats.org/officeDocument/2006/relationships" ref="A37" r:id="rId72"/>
    <hyperlink xmlns:r="http://schemas.openxmlformats.org/officeDocument/2006/relationships" ref="B37" r:id="rId73"/>
    <hyperlink xmlns:r="http://schemas.openxmlformats.org/officeDocument/2006/relationships" ref="A38" r:id="rId74"/>
    <hyperlink xmlns:r="http://schemas.openxmlformats.org/officeDocument/2006/relationships" ref="B38" r:id="rId75"/>
    <hyperlink xmlns:r="http://schemas.openxmlformats.org/officeDocument/2006/relationships" ref="A39" r:id="rId76"/>
    <hyperlink xmlns:r="http://schemas.openxmlformats.org/officeDocument/2006/relationships" ref="B39" r:id="rId77"/>
    <hyperlink xmlns:r="http://schemas.openxmlformats.org/officeDocument/2006/relationships" ref="A40" r:id="rId78"/>
    <hyperlink xmlns:r="http://schemas.openxmlformats.org/officeDocument/2006/relationships" ref="B40" r:id="rId79"/>
    <hyperlink xmlns:r="http://schemas.openxmlformats.org/officeDocument/2006/relationships" ref="A41" r:id="rId80"/>
    <hyperlink xmlns:r="http://schemas.openxmlformats.org/officeDocument/2006/relationships" ref="B41" r:id="rId81"/>
    <hyperlink xmlns:r="http://schemas.openxmlformats.org/officeDocument/2006/relationships" ref="A42" r:id="rId82"/>
    <hyperlink xmlns:r="http://schemas.openxmlformats.org/officeDocument/2006/relationships" ref="B42" r:id="rId83"/>
    <hyperlink xmlns:r="http://schemas.openxmlformats.org/officeDocument/2006/relationships" ref="A43" r:id="rId84"/>
    <hyperlink xmlns:r="http://schemas.openxmlformats.org/officeDocument/2006/relationships" ref="B43" r:id="rId85"/>
    <hyperlink xmlns:r="http://schemas.openxmlformats.org/officeDocument/2006/relationships" ref="A44" r:id="rId86"/>
    <hyperlink xmlns:r="http://schemas.openxmlformats.org/officeDocument/2006/relationships" ref="B44" r:id="rId87"/>
    <hyperlink xmlns:r="http://schemas.openxmlformats.org/officeDocument/2006/relationships" ref="A45" r:id="rId88"/>
    <hyperlink xmlns:r="http://schemas.openxmlformats.org/officeDocument/2006/relationships" ref="B45" r:id="rId89"/>
    <hyperlink xmlns:r="http://schemas.openxmlformats.org/officeDocument/2006/relationships" ref="A46" r:id="rId90"/>
    <hyperlink xmlns:r="http://schemas.openxmlformats.org/officeDocument/2006/relationships" ref="B46" r:id="rId91"/>
    <hyperlink xmlns:r="http://schemas.openxmlformats.org/officeDocument/2006/relationships" ref="A47" r:id="rId92"/>
    <hyperlink xmlns:r="http://schemas.openxmlformats.org/officeDocument/2006/relationships" ref="B47" r:id="rId93"/>
    <hyperlink xmlns:r="http://schemas.openxmlformats.org/officeDocument/2006/relationships" ref="A48" r:id="rId94"/>
    <hyperlink xmlns:r="http://schemas.openxmlformats.org/officeDocument/2006/relationships" ref="B48" r:id="rId95"/>
    <hyperlink xmlns:r="http://schemas.openxmlformats.org/officeDocument/2006/relationships" ref="A49" r:id="rId96"/>
    <hyperlink xmlns:r="http://schemas.openxmlformats.org/officeDocument/2006/relationships" ref="B49" r:id="rId97"/>
    <hyperlink xmlns:r="http://schemas.openxmlformats.org/officeDocument/2006/relationships" ref="A50" r:id="rId98"/>
    <hyperlink xmlns:r="http://schemas.openxmlformats.org/officeDocument/2006/relationships" ref="B50" r:id="rId99"/>
    <hyperlink xmlns:r="http://schemas.openxmlformats.org/officeDocument/2006/relationships" ref="A51" r:id="rId100"/>
    <hyperlink xmlns:r="http://schemas.openxmlformats.org/officeDocument/2006/relationships" ref="B51" r:id="rId101"/>
    <hyperlink xmlns:r="http://schemas.openxmlformats.org/officeDocument/2006/relationships" ref="A52" r:id="rId102"/>
    <hyperlink xmlns:r="http://schemas.openxmlformats.org/officeDocument/2006/relationships" ref="B52" r:id="rId103"/>
    <hyperlink xmlns:r="http://schemas.openxmlformats.org/officeDocument/2006/relationships" ref="A53" r:id="rId104"/>
    <hyperlink xmlns:r="http://schemas.openxmlformats.org/officeDocument/2006/relationships" ref="B53" r:id="rId105"/>
    <hyperlink xmlns:r="http://schemas.openxmlformats.org/officeDocument/2006/relationships" ref="A54" r:id="rId106"/>
    <hyperlink xmlns:r="http://schemas.openxmlformats.org/officeDocument/2006/relationships" ref="B54" r:id="rId107"/>
    <hyperlink xmlns:r="http://schemas.openxmlformats.org/officeDocument/2006/relationships" ref="A55" r:id="rId108"/>
    <hyperlink xmlns:r="http://schemas.openxmlformats.org/officeDocument/2006/relationships" ref="B55" r:id="rId109"/>
    <hyperlink xmlns:r="http://schemas.openxmlformats.org/officeDocument/2006/relationships" ref="A56" r:id="rId110"/>
    <hyperlink xmlns:r="http://schemas.openxmlformats.org/officeDocument/2006/relationships" ref="B56" r:id="rId111"/>
    <hyperlink xmlns:r="http://schemas.openxmlformats.org/officeDocument/2006/relationships" ref="A57" r:id="rId112"/>
    <hyperlink xmlns:r="http://schemas.openxmlformats.org/officeDocument/2006/relationships" ref="B57" r:id="rId113"/>
    <hyperlink xmlns:r="http://schemas.openxmlformats.org/officeDocument/2006/relationships" ref="A58" r:id="rId114"/>
    <hyperlink xmlns:r="http://schemas.openxmlformats.org/officeDocument/2006/relationships" ref="B58" r:id="rId115"/>
    <hyperlink xmlns:r="http://schemas.openxmlformats.org/officeDocument/2006/relationships" ref="A59" r:id="rId116"/>
    <hyperlink xmlns:r="http://schemas.openxmlformats.org/officeDocument/2006/relationships" ref="B59" r:id="rId117"/>
    <hyperlink xmlns:r="http://schemas.openxmlformats.org/officeDocument/2006/relationships" ref="A60" r:id="rId118"/>
    <hyperlink xmlns:r="http://schemas.openxmlformats.org/officeDocument/2006/relationships" ref="B60" r:id="rId119"/>
    <hyperlink xmlns:r="http://schemas.openxmlformats.org/officeDocument/2006/relationships" ref="A61" r:id="rId120"/>
    <hyperlink xmlns:r="http://schemas.openxmlformats.org/officeDocument/2006/relationships" ref="B61" r:id="rId121"/>
    <hyperlink xmlns:r="http://schemas.openxmlformats.org/officeDocument/2006/relationships" ref="A62" r:id="rId122"/>
    <hyperlink xmlns:r="http://schemas.openxmlformats.org/officeDocument/2006/relationships" ref="B62" r:id="rId123"/>
    <hyperlink xmlns:r="http://schemas.openxmlformats.org/officeDocument/2006/relationships" ref="A63" r:id="rId124"/>
    <hyperlink xmlns:r="http://schemas.openxmlformats.org/officeDocument/2006/relationships" ref="B63" r:id="rId125"/>
    <hyperlink xmlns:r="http://schemas.openxmlformats.org/officeDocument/2006/relationships" ref="A64" r:id="rId126"/>
    <hyperlink xmlns:r="http://schemas.openxmlformats.org/officeDocument/2006/relationships" ref="B64" r:id="rId127"/>
    <hyperlink xmlns:r="http://schemas.openxmlformats.org/officeDocument/2006/relationships" ref="A65" r:id="rId128"/>
    <hyperlink xmlns:r="http://schemas.openxmlformats.org/officeDocument/2006/relationships" ref="B65" r:id="rId129"/>
    <hyperlink xmlns:r="http://schemas.openxmlformats.org/officeDocument/2006/relationships" ref="A66" r:id="rId130"/>
    <hyperlink xmlns:r="http://schemas.openxmlformats.org/officeDocument/2006/relationships" ref="B66" r:id="rId131"/>
    <hyperlink xmlns:r="http://schemas.openxmlformats.org/officeDocument/2006/relationships" ref="A67" r:id="rId132"/>
    <hyperlink xmlns:r="http://schemas.openxmlformats.org/officeDocument/2006/relationships" ref="B67" r:id="rId133"/>
    <hyperlink xmlns:r="http://schemas.openxmlformats.org/officeDocument/2006/relationships" ref="A68" r:id="rId134"/>
    <hyperlink xmlns:r="http://schemas.openxmlformats.org/officeDocument/2006/relationships" ref="B68" r:id="rId135"/>
    <hyperlink xmlns:r="http://schemas.openxmlformats.org/officeDocument/2006/relationships" ref="A69" r:id="rId136"/>
    <hyperlink xmlns:r="http://schemas.openxmlformats.org/officeDocument/2006/relationships" ref="B69" r:id="rId137"/>
    <hyperlink xmlns:r="http://schemas.openxmlformats.org/officeDocument/2006/relationships" ref="A70" r:id="rId138"/>
    <hyperlink xmlns:r="http://schemas.openxmlformats.org/officeDocument/2006/relationships" ref="B70" r:id="rId139"/>
    <hyperlink xmlns:r="http://schemas.openxmlformats.org/officeDocument/2006/relationships" ref="A71" r:id="rId140"/>
    <hyperlink xmlns:r="http://schemas.openxmlformats.org/officeDocument/2006/relationships" ref="B71" r:id="rId141"/>
    <hyperlink xmlns:r="http://schemas.openxmlformats.org/officeDocument/2006/relationships" ref="A72" r:id="rId142"/>
    <hyperlink xmlns:r="http://schemas.openxmlformats.org/officeDocument/2006/relationships" ref="B72" r:id="rId143"/>
    <hyperlink xmlns:r="http://schemas.openxmlformats.org/officeDocument/2006/relationships" ref="A73" r:id="rId144"/>
    <hyperlink xmlns:r="http://schemas.openxmlformats.org/officeDocument/2006/relationships" ref="B73" r:id="rId145"/>
    <hyperlink xmlns:r="http://schemas.openxmlformats.org/officeDocument/2006/relationships" ref="A74" r:id="rId146"/>
    <hyperlink xmlns:r="http://schemas.openxmlformats.org/officeDocument/2006/relationships" ref="B74" r:id="rId147"/>
    <hyperlink xmlns:r="http://schemas.openxmlformats.org/officeDocument/2006/relationships" ref="A75" r:id="rId148"/>
    <hyperlink xmlns:r="http://schemas.openxmlformats.org/officeDocument/2006/relationships" ref="B75" r:id="rId149"/>
    <hyperlink xmlns:r="http://schemas.openxmlformats.org/officeDocument/2006/relationships" ref="A76" r:id="rId150"/>
    <hyperlink xmlns:r="http://schemas.openxmlformats.org/officeDocument/2006/relationships" ref="B76" r:id="rId151"/>
    <hyperlink xmlns:r="http://schemas.openxmlformats.org/officeDocument/2006/relationships" ref="A77" r:id="rId152"/>
    <hyperlink xmlns:r="http://schemas.openxmlformats.org/officeDocument/2006/relationships" ref="B77" r:id="rId153"/>
    <hyperlink xmlns:r="http://schemas.openxmlformats.org/officeDocument/2006/relationships" ref="A78" r:id="rId154"/>
    <hyperlink xmlns:r="http://schemas.openxmlformats.org/officeDocument/2006/relationships" ref="B78" r:id="rId155"/>
    <hyperlink xmlns:r="http://schemas.openxmlformats.org/officeDocument/2006/relationships" ref="A79" r:id="rId156"/>
    <hyperlink xmlns:r="http://schemas.openxmlformats.org/officeDocument/2006/relationships" ref="B79" r:id="rId157"/>
    <hyperlink xmlns:r="http://schemas.openxmlformats.org/officeDocument/2006/relationships" ref="A80" r:id="rId158"/>
    <hyperlink xmlns:r="http://schemas.openxmlformats.org/officeDocument/2006/relationships" ref="B80" r:id="rId159"/>
    <hyperlink xmlns:r="http://schemas.openxmlformats.org/officeDocument/2006/relationships" ref="A81" r:id="rId160"/>
    <hyperlink xmlns:r="http://schemas.openxmlformats.org/officeDocument/2006/relationships" ref="B81" r:id="rId161"/>
    <hyperlink xmlns:r="http://schemas.openxmlformats.org/officeDocument/2006/relationships" ref="A82" r:id="rId162"/>
    <hyperlink xmlns:r="http://schemas.openxmlformats.org/officeDocument/2006/relationships" ref="B82" r:id="rId163"/>
    <hyperlink xmlns:r="http://schemas.openxmlformats.org/officeDocument/2006/relationships" ref="A83" r:id="rId164"/>
    <hyperlink xmlns:r="http://schemas.openxmlformats.org/officeDocument/2006/relationships" ref="B83" r:id="rId165"/>
    <hyperlink xmlns:r="http://schemas.openxmlformats.org/officeDocument/2006/relationships" ref="A84" r:id="rId166"/>
    <hyperlink xmlns:r="http://schemas.openxmlformats.org/officeDocument/2006/relationships" ref="B84" r:id="rId167"/>
    <hyperlink xmlns:r="http://schemas.openxmlformats.org/officeDocument/2006/relationships" ref="A85" r:id="rId168"/>
    <hyperlink xmlns:r="http://schemas.openxmlformats.org/officeDocument/2006/relationships" ref="B85" r:id="rId169"/>
    <hyperlink xmlns:r="http://schemas.openxmlformats.org/officeDocument/2006/relationships" ref="A86" r:id="rId170"/>
    <hyperlink xmlns:r="http://schemas.openxmlformats.org/officeDocument/2006/relationships" ref="B86" r:id="rId171"/>
    <hyperlink xmlns:r="http://schemas.openxmlformats.org/officeDocument/2006/relationships" ref="A87" r:id="rId172"/>
    <hyperlink xmlns:r="http://schemas.openxmlformats.org/officeDocument/2006/relationships" ref="B87" r:id="rId173"/>
    <hyperlink xmlns:r="http://schemas.openxmlformats.org/officeDocument/2006/relationships" ref="A88" r:id="rId174"/>
    <hyperlink xmlns:r="http://schemas.openxmlformats.org/officeDocument/2006/relationships" ref="B88" r:id="rId175"/>
    <hyperlink xmlns:r="http://schemas.openxmlformats.org/officeDocument/2006/relationships" ref="A89" r:id="rId176"/>
    <hyperlink xmlns:r="http://schemas.openxmlformats.org/officeDocument/2006/relationships" ref="B89" r:id="rId177"/>
    <hyperlink xmlns:r="http://schemas.openxmlformats.org/officeDocument/2006/relationships" ref="A90" r:id="rId178"/>
    <hyperlink xmlns:r="http://schemas.openxmlformats.org/officeDocument/2006/relationships" ref="B90" r:id="rId179"/>
    <hyperlink xmlns:r="http://schemas.openxmlformats.org/officeDocument/2006/relationships" ref="A91" r:id="rId180"/>
    <hyperlink xmlns:r="http://schemas.openxmlformats.org/officeDocument/2006/relationships" ref="B91" r:id="rId181"/>
    <hyperlink xmlns:r="http://schemas.openxmlformats.org/officeDocument/2006/relationships" ref="A92" r:id="rId182"/>
    <hyperlink xmlns:r="http://schemas.openxmlformats.org/officeDocument/2006/relationships" ref="B92" r:id="rId183"/>
    <hyperlink xmlns:r="http://schemas.openxmlformats.org/officeDocument/2006/relationships" ref="A93" r:id="rId184"/>
    <hyperlink xmlns:r="http://schemas.openxmlformats.org/officeDocument/2006/relationships" ref="B93" r:id="rId185"/>
    <hyperlink xmlns:r="http://schemas.openxmlformats.org/officeDocument/2006/relationships" ref="A94" r:id="rId186"/>
    <hyperlink xmlns:r="http://schemas.openxmlformats.org/officeDocument/2006/relationships" ref="B94" r:id="rId187"/>
    <hyperlink xmlns:r="http://schemas.openxmlformats.org/officeDocument/2006/relationships" ref="A95" r:id="rId188"/>
    <hyperlink xmlns:r="http://schemas.openxmlformats.org/officeDocument/2006/relationships" ref="B95" r:id="rId189"/>
    <hyperlink xmlns:r="http://schemas.openxmlformats.org/officeDocument/2006/relationships" ref="A96" r:id="rId190"/>
    <hyperlink xmlns:r="http://schemas.openxmlformats.org/officeDocument/2006/relationships" ref="B96" r:id="rId191"/>
    <hyperlink xmlns:r="http://schemas.openxmlformats.org/officeDocument/2006/relationships" ref="A97" r:id="rId192"/>
    <hyperlink xmlns:r="http://schemas.openxmlformats.org/officeDocument/2006/relationships" ref="B97" r:id="rId193"/>
    <hyperlink xmlns:r="http://schemas.openxmlformats.org/officeDocument/2006/relationships" ref="A98" r:id="rId194"/>
    <hyperlink xmlns:r="http://schemas.openxmlformats.org/officeDocument/2006/relationships" ref="B98" r:id="rId195"/>
    <hyperlink xmlns:r="http://schemas.openxmlformats.org/officeDocument/2006/relationships" ref="A99" r:id="rId196"/>
    <hyperlink xmlns:r="http://schemas.openxmlformats.org/officeDocument/2006/relationships" ref="B99" r:id="rId197"/>
    <hyperlink xmlns:r="http://schemas.openxmlformats.org/officeDocument/2006/relationships" ref="A100" r:id="rId198"/>
    <hyperlink xmlns:r="http://schemas.openxmlformats.org/officeDocument/2006/relationships" ref="B100" r:id="rId199"/>
    <hyperlink xmlns:r="http://schemas.openxmlformats.org/officeDocument/2006/relationships" ref="A101" r:id="rId200"/>
    <hyperlink xmlns:r="http://schemas.openxmlformats.org/officeDocument/2006/relationships" ref="B101" r:id="rId201"/>
    <hyperlink xmlns:r="http://schemas.openxmlformats.org/officeDocument/2006/relationships" ref="A102" r:id="rId202"/>
    <hyperlink xmlns:r="http://schemas.openxmlformats.org/officeDocument/2006/relationships" ref="B102" r:id="rId203"/>
    <hyperlink xmlns:r="http://schemas.openxmlformats.org/officeDocument/2006/relationships" ref="A103" r:id="rId204"/>
    <hyperlink xmlns:r="http://schemas.openxmlformats.org/officeDocument/2006/relationships" ref="B103" r:id="rId205"/>
    <hyperlink xmlns:r="http://schemas.openxmlformats.org/officeDocument/2006/relationships" ref="A104" r:id="rId206"/>
    <hyperlink xmlns:r="http://schemas.openxmlformats.org/officeDocument/2006/relationships" ref="B104" r:id="rId207"/>
    <hyperlink xmlns:r="http://schemas.openxmlformats.org/officeDocument/2006/relationships" ref="A105" r:id="rId208"/>
    <hyperlink xmlns:r="http://schemas.openxmlformats.org/officeDocument/2006/relationships" ref="B105" r:id="rId209"/>
    <hyperlink xmlns:r="http://schemas.openxmlformats.org/officeDocument/2006/relationships" ref="A106" r:id="rId210"/>
    <hyperlink xmlns:r="http://schemas.openxmlformats.org/officeDocument/2006/relationships" ref="B106" r:id="rId211"/>
    <hyperlink xmlns:r="http://schemas.openxmlformats.org/officeDocument/2006/relationships" ref="A107" r:id="rId212"/>
    <hyperlink xmlns:r="http://schemas.openxmlformats.org/officeDocument/2006/relationships" ref="B107" r:id="rId213"/>
    <hyperlink xmlns:r="http://schemas.openxmlformats.org/officeDocument/2006/relationships" ref="A108" r:id="rId214"/>
    <hyperlink xmlns:r="http://schemas.openxmlformats.org/officeDocument/2006/relationships" ref="B108" r:id="rId215"/>
    <hyperlink xmlns:r="http://schemas.openxmlformats.org/officeDocument/2006/relationships" ref="A109" r:id="rId216"/>
    <hyperlink xmlns:r="http://schemas.openxmlformats.org/officeDocument/2006/relationships" ref="B109" r:id="rId217"/>
    <hyperlink xmlns:r="http://schemas.openxmlformats.org/officeDocument/2006/relationships" ref="A110" r:id="rId218"/>
    <hyperlink xmlns:r="http://schemas.openxmlformats.org/officeDocument/2006/relationships" ref="B110" r:id="rId219"/>
    <hyperlink xmlns:r="http://schemas.openxmlformats.org/officeDocument/2006/relationships" ref="A111" r:id="rId220"/>
    <hyperlink xmlns:r="http://schemas.openxmlformats.org/officeDocument/2006/relationships" ref="B111" r:id="rId221"/>
    <hyperlink xmlns:r="http://schemas.openxmlformats.org/officeDocument/2006/relationships" ref="A112" r:id="rId222"/>
    <hyperlink xmlns:r="http://schemas.openxmlformats.org/officeDocument/2006/relationships" ref="B112" r:id="rId223"/>
    <hyperlink xmlns:r="http://schemas.openxmlformats.org/officeDocument/2006/relationships" ref="A113" r:id="rId224"/>
    <hyperlink xmlns:r="http://schemas.openxmlformats.org/officeDocument/2006/relationships" ref="B113" r:id="rId225"/>
    <hyperlink xmlns:r="http://schemas.openxmlformats.org/officeDocument/2006/relationships" ref="A114" r:id="rId226"/>
    <hyperlink xmlns:r="http://schemas.openxmlformats.org/officeDocument/2006/relationships" ref="B114" r:id="rId227"/>
    <hyperlink xmlns:r="http://schemas.openxmlformats.org/officeDocument/2006/relationships" ref="A115" r:id="rId228"/>
    <hyperlink xmlns:r="http://schemas.openxmlformats.org/officeDocument/2006/relationships" ref="B115" r:id="rId229"/>
    <hyperlink xmlns:r="http://schemas.openxmlformats.org/officeDocument/2006/relationships" ref="A116" r:id="rId230"/>
    <hyperlink xmlns:r="http://schemas.openxmlformats.org/officeDocument/2006/relationships" ref="B116" r:id="rId231"/>
    <hyperlink xmlns:r="http://schemas.openxmlformats.org/officeDocument/2006/relationships" ref="A117" r:id="rId232"/>
    <hyperlink xmlns:r="http://schemas.openxmlformats.org/officeDocument/2006/relationships" ref="B117" r:id="rId233"/>
    <hyperlink xmlns:r="http://schemas.openxmlformats.org/officeDocument/2006/relationships" ref="A118" r:id="rId234"/>
    <hyperlink xmlns:r="http://schemas.openxmlformats.org/officeDocument/2006/relationships" ref="B118" r:id="rId235"/>
    <hyperlink xmlns:r="http://schemas.openxmlformats.org/officeDocument/2006/relationships" ref="A119" r:id="rId236"/>
    <hyperlink xmlns:r="http://schemas.openxmlformats.org/officeDocument/2006/relationships" ref="B119" r:id="rId237"/>
    <hyperlink xmlns:r="http://schemas.openxmlformats.org/officeDocument/2006/relationships" ref="A120" r:id="rId238"/>
    <hyperlink xmlns:r="http://schemas.openxmlformats.org/officeDocument/2006/relationships" ref="B120" r:id="rId239"/>
    <hyperlink xmlns:r="http://schemas.openxmlformats.org/officeDocument/2006/relationships" ref="A121" r:id="rId240"/>
    <hyperlink xmlns:r="http://schemas.openxmlformats.org/officeDocument/2006/relationships" ref="B121" r:id="rId241"/>
    <hyperlink xmlns:r="http://schemas.openxmlformats.org/officeDocument/2006/relationships" ref="A122" r:id="rId242"/>
    <hyperlink xmlns:r="http://schemas.openxmlformats.org/officeDocument/2006/relationships" ref="B122" r:id="rId243"/>
    <hyperlink xmlns:r="http://schemas.openxmlformats.org/officeDocument/2006/relationships" ref="A123" r:id="rId244"/>
    <hyperlink xmlns:r="http://schemas.openxmlformats.org/officeDocument/2006/relationships" ref="B123" r:id="rId245"/>
    <hyperlink xmlns:r="http://schemas.openxmlformats.org/officeDocument/2006/relationships" ref="A124" r:id="rId246"/>
    <hyperlink xmlns:r="http://schemas.openxmlformats.org/officeDocument/2006/relationships" ref="B124" r:id="rId247"/>
    <hyperlink xmlns:r="http://schemas.openxmlformats.org/officeDocument/2006/relationships" ref="A125" r:id="rId248"/>
    <hyperlink xmlns:r="http://schemas.openxmlformats.org/officeDocument/2006/relationships" ref="B125" r:id="rId249"/>
    <hyperlink xmlns:r="http://schemas.openxmlformats.org/officeDocument/2006/relationships" ref="A126" r:id="rId250"/>
    <hyperlink xmlns:r="http://schemas.openxmlformats.org/officeDocument/2006/relationships" ref="B126" r:id="rId251"/>
    <hyperlink xmlns:r="http://schemas.openxmlformats.org/officeDocument/2006/relationships" ref="A127" r:id="rId252"/>
    <hyperlink xmlns:r="http://schemas.openxmlformats.org/officeDocument/2006/relationships" ref="B127" r:id="rId253"/>
    <hyperlink xmlns:r="http://schemas.openxmlformats.org/officeDocument/2006/relationships" ref="A128" r:id="rId254"/>
    <hyperlink xmlns:r="http://schemas.openxmlformats.org/officeDocument/2006/relationships" ref="B128" r:id="rId255"/>
    <hyperlink xmlns:r="http://schemas.openxmlformats.org/officeDocument/2006/relationships" ref="A129" r:id="rId256"/>
    <hyperlink xmlns:r="http://schemas.openxmlformats.org/officeDocument/2006/relationships" ref="B129" r:id="rId257"/>
    <hyperlink xmlns:r="http://schemas.openxmlformats.org/officeDocument/2006/relationships" ref="A130" r:id="rId258"/>
    <hyperlink xmlns:r="http://schemas.openxmlformats.org/officeDocument/2006/relationships" ref="B130" r:id="rId259"/>
    <hyperlink xmlns:r="http://schemas.openxmlformats.org/officeDocument/2006/relationships" ref="A131" r:id="rId260"/>
    <hyperlink xmlns:r="http://schemas.openxmlformats.org/officeDocument/2006/relationships" ref="B131" r:id="rId261"/>
    <hyperlink xmlns:r="http://schemas.openxmlformats.org/officeDocument/2006/relationships" ref="A132" r:id="rId262"/>
    <hyperlink xmlns:r="http://schemas.openxmlformats.org/officeDocument/2006/relationships" ref="B132" r:id="rId263"/>
    <hyperlink xmlns:r="http://schemas.openxmlformats.org/officeDocument/2006/relationships" ref="A133" r:id="rId264"/>
    <hyperlink xmlns:r="http://schemas.openxmlformats.org/officeDocument/2006/relationships" ref="B133" r:id="rId265"/>
    <hyperlink xmlns:r="http://schemas.openxmlformats.org/officeDocument/2006/relationships" ref="A134" r:id="rId266"/>
    <hyperlink xmlns:r="http://schemas.openxmlformats.org/officeDocument/2006/relationships" ref="B134" r:id="rId267"/>
    <hyperlink xmlns:r="http://schemas.openxmlformats.org/officeDocument/2006/relationships" ref="A135" r:id="rId268"/>
    <hyperlink xmlns:r="http://schemas.openxmlformats.org/officeDocument/2006/relationships" ref="B135" r:id="rId269"/>
    <hyperlink xmlns:r="http://schemas.openxmlformats.org/officeDocument/2006/relationships" ref="A136" r:id="rId270"/>
    <hyperlink xmlns:r="http://schemas.openxmlformats.org/officeDocument/2006/relationships" ref="B136" r:id="rId271"/>
    <hyperlink xmlns:r="http://schemas.openxmlformats.org/officeDocument/2006/relationships" ref="A137" r:id="rId272"/>
    <hyperlink xmlns:r="http://schemas.openxmlformats.org/officeDocument/2006/relationships" ref="B137" r:id="rId273"/>
    <hyperlink xmlns:r="http://schemas.openxmlformats.org/officeDocument/2006/relationships" ref="A138" r:id="rId274"/>
    <hyperlink xmlns:r="http://schemas.openxmlformats.org/officeDocument/2006/relationships" ref="B138" r:id="rId275"/>
    <hyperlink xmlns:r="http://schemas.openxmlformats.org/officeDocument/2006/relationships" ref="A139" r:id="rId276"/>
    <hyperlink xmlns:r="http://schemas.openxmlformats.org/officeDocument/2006/relationships" ref="B139" r:id="rId277"/>
    <hyperlink xmlns:r="http://schemas.openxmlformats.org/officeDocument/2006/relationships" ref="A140" r:id="rId278"/>
    <hyperlink xmlns:r="http://schemas.openxmlformats.org/officeDocument/2006/relationships" ref="B140" r:id="rId279"/>
    <hyperlink xmlns:r="http://schemas.openxmlformats.org/officeDocument/2006/relationships" ref="A141" r:id="rId280"/>
    <hyperlink xmlns:r="http://schemas.openxmlformats.org/officeDocument/2006/relationships" ref="B141" r:id="rId281"/>
    <hyperlink xmlns:r="http://schemas.openxmlformats.org/officeDocument/2006/relationships" ref="A142" r:id="rId282"/>
    <hyperlink xmlns:r="http://schemas.openxmlformats.org/officeDocument/2006/relationships" ref="B142" r:id="rId283"/>
    <hyperlink xmlns:r="http://schemas.openxmlformats.org/officeDocument/2006/relationships" ref="A143" r:id="rId284"/>
    <hyperlink xmlns:r="http://schemas.openxmlformats.org/officeDocument/2006/relationships" ref="B143" r:id="rId285"/>
    <hyperlink xmlns:r="http://schemas.openxmlformats.org/officeDocument/2006/relationships" ref="A144" r:id="rId286"/>
    <hyperlink xmlns:r="http://schemas.openxmlformats.org/officeDocument/2006/relationships" ref="B144" r:id="rId287"/>
    <hyperlink xmlns:r="http://schemas.openxmlformats.org/officeDocument/2006/relationships" ref="A145" r:id="rId288"/>
    <hyperlink xmlns:r="http://schemas.openxmlformats.org/officeDocument/2006/relationships" ref="B145" r:id="rId289"/>
    <hyperlink xmlns:r="http://schemas.openxmlformats.org/officeDocument/2006/relationships" ref="A146" r:id="rId290"/>
    <hyperlink xmlns:r="http://schemas.openxmlformats.org/officeDocument/2006/relationships" ref="B146" r:id="rId291"/>
    <hyperlink xmlns:r="http://schemas.openxmlformats.org/officeDocument/2006/relationships" ref="A147" r:id="rId292"/>
    <hyperlink xmlns:r="http://schemas.openxmlformats.org/officeDocument/2006/relationships" ref="B147" r:id="rId293"/>
    <hyperlink xmlns:r="http://schemas.openxmlformats.org/officeDocument/2006/relationships" ref="A148" r:id="rId294"/>
    <hyperlink xmlns:r="http://schemas.openxmlformats.org/officeDocument/2006/relationships" ref="B148" r:id="rId295"/>
    <hyperlink xmlns:r="http://schemas.openxmlformats.org/officeDocument/2006/relationships" ref="A149" r:id="rId296"/>
    <hyperlink xmlns:r="http://schemas.openxmlformats.org/officeDocument/2006/relationships" ref="B149" r:id="rId297"/>
    <hyperlink xmlns:r="http://schemas.openxmlformats.org/officeDocument/2006/relationships" ref="A150" r:id="rId298"/>
    <hyperlink xmlns:r="http://schemas.openxmlformats.org/officeDocument/2006/relationships" ref="B150" r:id="rId299"/>
    <hyperlink xmlns:r="http://schemas.openxmlformats.org/officeDocument/2006/relationships" ref="A151" r:id="rId300"/>
    <hyperlink xmlns:r="http://schemas.openxmlformats.org/officeDocument/2006/relationships" ref="B151" r:id="rId301"/>
    <hyperlink xmlns:r="http://schemas.openxmlformats.org/officeDocument/2006/relationships" ref="A152" r:id="rId302"/>
    <hyperlink xmlns:r="http://schemas.openxmlformats.org/officeDocument/2006/relationships" ref="B152" r:id="rId303"/>
    <hyperlink xmlns:r="http://schemas.openxmlformats.org/officeDocument/2006/relationships" ref="A153" r:id="rId304"/>
    <hyperlink xmlns:r="http://schemas.openxmlformats.org/officeDocument/2006/relationships" ref="B153" r:id="rId305"/>
    <hyperlink xmlns:r="http://schemas.openxmlformats.org/officeDocument/2006/relationships" ref="A154" r:id="rId306"/>
    <hyperlink xmlns:r="http://schemas.openxmlformats.org/officeDocument/2006/relationships" ref="B154" r:id="rId307"/>
    <hyperlink xmlns:r="http://schemas.openxmlformats.org/officeDocument/2006/relationships" ref="A155" r:id="rId308"/>
    <hyperlink xmlns:r="http://schemas.openxmlformats.org/officeDocument/2006/relationships" ref="B155" r:id="rId309"/>
    <hyperlink xmlns:r="http://schemas.openxmlformats.org/officeDocument/2006/relationships" ref="A156" r:id="rId310"/>
    <hyperlink xmlns:r="http://schemas.openxmlformats.org/officeDocument/2006/relationships" ref="B156" r:id="rId311"/>
    <hyperlink xmlns:r="http://schemas.openxmlformats.org/officeDocument/2006/relationships" ref="A157" r:id="rId312"/>
    <hyperlink xmlns:r="http://schemas.openxmlformats.org/officeDocument/2006/relationships" ref="B157" r:id="rId313"/>
    <hyperlink xmlns:r="http://schemas.openxmlformats.org/officeDocument/2006/relationships" ref="A158" r:id="rId314"/>
    <hyperlink xmlns:r="http://schemas.openxmlformats.org/officeDocument/2006/relationships" ref="B158" r:id="rId315"/>
    <hyperlink xmlns:r="http://schemas.openxmlformats.org/officeDocument/2006/relationships" ref="A159" r:id="rId316"/>
    <hyperlink xmlns:r="http://schemas.openxmlformats.org/officeDocument/2006/relationships" ref="B159" r:id="rId317"/>
    <hyperlink xmlns:r="http://schemas.openxmlformats.org/officeDocument/2006/relationships" ref="A160" r:id="rId318"/>
    <hyperlink xmlns:r="http://schemas.openxmlformats.org/officeDocument/2006/relationships" ref="B160" r:id="rId319"/>
    <hyperlink xmlns:r="http://schemas.openxmlformats.org/officeDocument/2006/relationships" ref="A161" r:id="rId320"/>
    <hyperlink xmlns:r="http://schemas.openxmlformats.org/officeDocument/2006/relationships" ref="B161" r:id="rId321"/>
    <hyperlink xmlns:r="http://schemas.openxmlformats.org/officeDocument/2006/relationships" ref="A162" r:id="rId322"/>
    <hyperlink xmlns:r="http://schemas.openxmlformats.org/officeDocument/2006/relationships" ref="B162" r:id="rId323"/>
    <hyperlink xmlns:r="http://schemas.openxmlformats.org/officeDocument/2006/relationships" ref="A163" r:id="rId324"/>
    <hyperlink xmlns:r="http://schemas.openxmlformats.org/officeDocument/2006/relationships" ref="B163" r:id="rId325"/>
    <hyperlink xmlns:r="http://schemas.openxmlformats.org/officeDocument/2006/relationships" ref="A164" r:id="rId326"/>
    <hyperlink xmlns:r="http://schemas.openxmlformats.org/officeDocument/2006/relationships" ref="B164" r:id="rId327"/>
    <hyperlink xmlns:r="http://schemas.openxmlformats.org/officeDocument/2006/relationships" ref="A165" r:id="rId328"/>
    <hyperlink xmlns:r="http://schemas.openxmlformats.org/officeDocument/2006/relationships" ref="B165" r:id="rId329"/>
    <hyperlink xmlns:r="http://schemas.openxmlformats.org/officeDocument/2006/relationships" ref="A166" r:id="rId330"/>
    <hyperlink xmlns:r="http://schemas.openxmlformats.org/officeDocument/2006/relationships" ref="B166" r:id="rId331"/>
    <hyperlink xmlns:r="http://schemas.openxmlformats.org/officeDocument/2006/relationships" ref="A167" r:id="rId332"/>
    <hyperlink xmlns:r="http://schemas.openxmlformats.org/officeDocument/2006/relationships" ref="B167" r:id="rId333"/>
    <hyperlink xmlns:r="http://schemas.openxmlformats.org/officeDocument/2006/relationships" ref="A168" r:id="rId334"/>
    <hyperlink xmlns:r="http://schemas.openxmlformats.org/officeDocument/2006/relationships" ref="B168" r:id="rId335"/>
    <hyperlink xmlns:r="http://schemas.openxmlformats.org/officeDocument/2006/relationships" ref="A169" r:id="rId336"/>
    <hyperlink xmlns:r="http://schemas.openxmlformats.org/officeDocument/2006/relationships" ref="B169" r:id="rId337"/>
    <hyperlink xmlns:r="http://schemas.openxmlformats.org/officeDocument/2006/relationships" ref="A170" r:id="rId338"/>
    <hyperlink xmlns:r="http://schemas.openxmlformats.org/officeDocument/2006/relationships" ref="B170" r:id="rId339"/>
    <hyperlink xmlns:r="http://schemas.openxmlformats.org/officeDocument/2006/relationships" ref="A171" r:id="rId340"/>
    <hyperlink xmlns:r="http://schemas.openxmlformats.org/officeDocument/2006/relationships" ref="B171" r:id="rId341"/>
    <hyperlink xmlns:r="http://schemas.openxmlformats.org/officeDocument/2006/relationships" ref="A172" r:id="rId342"/>
    <hyperlink xmlns:r="http://schemas.openxmlformats.org/officeDocument/2006/relationships" ref="B172" r:id="rId343"/>
    <hyperlink xmlns:r="http://schemas.openxmlformats.org/officeDocument/2006/relationships" ref="A173" r:id="rId344"/>
    <hyperlink xmlns:r="http://schemas.openxmlformats.org/officeDocument/2006/relationships" ref="B173" r:id="rId345"/>
    <hyperlink xmlns:r="http://schemas.openxmlformats.org/officeDocument/2006/relationships" ref="A174" r:id="rId346"/>
    <hyperlink xmlns:r="http://schemas.openxmlformats.org/officeDocument/2006/relationships" ref="B174" r:id="rId347"/>
    <hyperlink xmlns:r="http://schemas.openxmlformats.org/officeDocument/2006/relationships" ref="A175" r:id="rId348"/>
    <hyperlink xmlns:r="http://schemas.openxmlformats.org/officeDocument/2006/relationships" ref="B175" r:id="rId349"/>
    <hyperlink xmlns:r="http://schemas.openxmlformats.org/officeDocument/2006/relationships" ref="A176" r:id="rId350"/>
    <hyperlink xmlns:r="http://schemas.openxmlformats.org/officeDocument/2006/relationships" ref="B176" r:id="rId351"/>
    <hyperlink xmlns:r="http://schemas.openxmlformats.org/officeDocument/2006/relationships" ref="A177" r:id="rId352"/>
    <hyperlink xmlns:r="http://schemas.openxmlformats.org/officeDocument/2006/relationships" ref="B177" r:id="rId353"/>
    <hyperlink xmlns:r="http://schemas.openxmlformats.org/officeDocument/2006/relationships" ref="A178" r:id="rId354"/>
    <hyperlink xmlns:r="http://schemas.openxmlformats.org/officeDocument/2006/relationships" ref="B178" r:id="rId355"/>
    <hyperlink xmlns:r="http://schemas.openxmlformats.org/officeDocument/2006/relationships" ref="A179" r:id="rId356"/>
    <hyperlink xmlns:r="http://schemas.openxmlformats.org/officeDocument/2006/relationships" ref="B179" r:id="rId357"/>
    <hyperlink xmlns:r="http://schemas.openxmlformats.org/officeDocument/2006/relationships" ref="A180" r:id="rId358"/>
    <hyperlink xmlns:r="http://schemas.openxmlformats.org/officeDocument/2006/relationships" ref="B180" r:id="rId359"/>
    <hyperlink xmlns:r="http://schemas.openxmlformats.org/officeDocument/2006/relationships" ref="A181" r:id="rId360"/>
    <hyperlink xmlns:r="http://schemas.openxmlformats.org/officeDocument/2006/relationships" ref="B181" r:id="rId361"/>
    <hyperlink xmlns:r="http://schemas.openxmlformats.org/officeDocument/2006/relationships" ref="A182" r:id="rId362"/>
    <hyperlink xmlns:r="http://schemas.openxmlformats.org/officeDocument/2006/relationships" ref="B182" r:id="rId363"/>
    <hyperlink xmlns:r="http://schemas.openxmlformats.org/officeDocument/2006/relationships" ref="A183" r:id="rId364"/>
    <hyperlink xmlns:r="http://schemas.openxmlformats.org/officeDocument/2006/relationships" ref="B183" r:id="rId365"/>
    <hyperlink xmlns:r="http://schemas.openxmlformats.org/officeDocument/2006/relationships" ref="A184" r:id="rId366"/>
    <hyperlink xmlns:r="http://schemas.openxmlformats.org/officeDocument/2006/relationships" ref="B184" r:id="rId367"/>
    <hyperlink xmlns:r="http://schemas.openxmlformats.org/officeDocument/2006/relationships" ref="A185" r:id="rId368"/>
    <hyperlink xmlns:r="http://schemas.openxmlformats.org/officeDocument/2006/relationships" ref="B185" r:id="rId369"/>
    <hyperlink xmlns:r="http://schemas.openxmlformats.org/officeDocument/2006/relationships" ref="A186" r:id="rId370"/>
    <hyperlink xmlns:r="http://schemas.openxmlformats.org/officeDocument/2006/relationships" ref="B186" r:id="rId371"/>
    <hyperlink xmlns:r="http://schemas.openxmlformats.org/officeDocument/2006/relationships" ref="A187" r:id="rId372"/>
    <hyperlink xmlns:r="http://schemas.openxmlformats.org/officeDocument/2006/relationships" ref="B187" r:id="rId373"/>
    <hyperlink xmlns:r="http://schemas.openxmlformats.org/officeDocument/2006/relationships" ref="A188" r:id="rId374"/>
    <hyperlink xmlns:r="http://schemas.openxmlformats.org/officeDocument/2006/relationships" ref="B188" r:id="rId375"/>
    <hyperlink xmlns:r="http://schemas.openxmlformats.org/officeDocument/2006/relationships" ref="A189" r:id="rId376"/>
    <hyperlink xmlns:r="http://schemas.openxmlformats.org/officeDocument/2006/relationships" ref="B189" r:id="rId377"/>
    <hyperlink xmlns:r="http://schemas.openxmlformats.org/officeDocument/2006/relationships" ref="A190" r:id="rId378"/>
    <hyperlink xmlns:r="http://schemas.openxmlformats.org/officeDocument/2006/relationships" ref="B190" r:id="rId379"/>
    <hyperlink xmlns:r="http://schemas.openxmlformats.org/officeDocument/2006/relationships" ref="A191" r:id="rId380"/>
    <hyperlink xmlns:r="http://schemas.openxmlformats.org/officeDocument/2006/relationships" ref="B191" r:id="rId381"/>
    <hyperlink xmlns:r="http://schemas.openxmlformats.org/officeDocument/2006/relationships" ref="A192" r:id="rId382"/>
    <hyperlink xmlns:r="http://schemas.openxmlformats.org/officeDocument/2006/relationships" ref="B192" r:id="rId383"/>
    <hyperlink xmlns:r="http://schemas.openxmlformats.org/officeDocument/2006/relationships" ref="A193" r:id="rId384"/>
    <hyperlink xmlns:r="http://schemas.openxmlformats.org/officeDocument/2006/relationships" ref="B193" r:id="rId385"/>
    <hyperlink xmlns:r="http://schemas.openxmlformats.org/officeDocument/2006/relationships" ref="A194" r:id="rId386"/>
    <hyperlink xmlns:r="http://schemas.openxmlformats.org/officeDocument/2006/relationships" ref="B194" r:id="rId387"/>
    <hyperlink xmlns:r="http://schemas.openxmlformats.org/officeDocument/2006/relationships" ref="A195" r:id="rId388"/>
    <hyperlink xmlns:r="http://schemas.openxmlformats.org/officeDocument/2006/relationships" ref="B195" r:id="rId389"/>
    <hyperlink xmlns:r="http://schemas.openxmlformats.org/officeDocument/2006/relationships" ref="A196" r:id="rId390"/>
    <hyperlink xmlns:r="http://schemas.openxmlformats.org/officeDocument/2006/relationships" ref="B196" r:id="rId391"/>
    <hyperlink xmlns:r="http://schemas.openxmlformats.org/officeDocument/2006/relationships" ref="A197" r:id="rId392"/>
    <hyperlink xmlns:r="http://schemas.openxmlformats.org/officeDocument/2006/relationships" ref="B197" r:id="rId393"/>
    <hyperlink xmlns:r="http://schemas.openxmlformats.org/officeDocument/2006/relationships" ref="A198" r:id="rId394"/>
    <hyperlink xmlns:r="http://schemas.openxmlformats.org/officeDocument/2006/relationships" ref="B198" r:id="rId395"/>
    <hyperlink xmlns:r="http://schemas.openxmlformats.org/officeDocument/2006/relationships" ref="A199" r:id="rId396"/>
    <hyperlink xmlns:r="http://schemas.openxmlformats.org/officeDocument/2006/relationships" ref="B199" r:id="rId397"/>
    <hyperlink xmlns:r="http://schemas.openxmlformats.org/officeDocument/2006/relationships" ref="A200" r:id="rId398"/>
    <hyperlink xmlns:r="http://schemas.openxmlformats.org/officeDocument/2006/relationships" ref="B200" r:id="rId399"/>
    <hyperlink xmlns:r="http://schemas.openxmlformats.org/officeDocument/2006/relationships" ref="A201" r:id="rId400"/>
    <hyperlink xmlns:r="http://schemas.openxmlformats.org/officeDocument/2006/relationships" ref="B201" r:id="rId401"/>
    <hyperlink xmlns:r="http://schemas.openxmlformats.org/officeDocument/2006/relationships" ref="A202" r:id="rId402"/>
    <hyperlink xmlns:r="http://schemas.openxmlformats.org/officeDocument/2006/relationships" ref="B202" r:id="rId403"/>
    <hyperlink xmlns:r="http://schemas.openxmlformats.org/officeDocument/2006/relationships" ref="A203" r:id="rId404"/>
    <hyperlink xmlns:r="http://schemas.openxmlformats.org/officeDocument/2006/relationships" ref="B203" r:id="rId405"/>
    <hyperlink xmlns:r="http://schemas.openxmlformats.org/officeDocument/2006/relationships" ref="A204" r:id="rId406"/>
    <hyperlink xmlns:r="http://schemas.openxmlformats.org/officeDocument/2006/relationships" ref="B204" r:id="rId407"/>
    <hyperlink xmlns:r="http://schemas.openxmlformats.org/officeDocument/2006/relationships" ref="A205" r:id="rId408"/>
    <hyperlink xmlns:r="http://schemas.openxmlformats.org/officeDocument/2006/relationships" ref="B205" r:id="rId409"/>
    <hyperlink xmlns:r="http://schemas.openxmlformats.org/officeDocument/2006/relationships" ref="A206" r:id="rId410"/>
    <hyperlink xmlns:r="http://schemas.openxmlformats.org/officeDocument/2006/relationships" ref="B206" r:id="rId411"/>
    <hyperlink xmlns:r="http://schemas.openxmlformats.org/officeDocument/2006/relationships" ref="A207" r:id="rId412"/>
    <hyperlink xmlns:r="http://schemas.openxmlformats.org/officeDocument/2006/relationships" ref="B207" r:id="rId413"/>
    <hyperlink xmlns:r="http://schemas.openxmlformats.org/officeDocument/2006/relationships" ref="A208" r:id="rId414"/>
    <hyperlink xmlns:r="http://schemas.openxmlformats.org/officeDocument/2006/relationships" ref="B208" r:id="rId415"/>
    <hyperlink xmlns:r="http://schemas.openxmlformats.org/officeDocument/2006/relationships" ref="A209" r:id="rId416"/>
    <hyperlink xmlns:r="http://schemas.openxmlformats.org/officeDocument/2006/relationships" ref="B209" r:id="rId417"/>
    <hyperlink xmlns:r="http://schemas.openxmlformats.org/officeDocument/2006/relationships" ref="A210" r:id="rId418"/>
    <hyperlink xmlns:r="http://schemas.openxmlformats.org/officeDocument/2006/relationships" ref="B210" r:id="rId419"/>
    <hyperlink xmlns:r="http://schemas.openxmlformats.org/officeDocument/2006/relationships" ref="A211" r:id="rId420"/>
    <hyperlink xmlns:r="http://schemas.openxmlformats.org/officeDocument/2006/relationships" ref="B211" r:id="rId421"/>
    <hyperlink xmlns:r="http://schemas.openxmlformats.org/officeDocument/2006/relationships" ref="A212" r:id="rId422"/>
    <hyperlink xmlns:r="http://schemas.openxmlformats.org/officeDocument/2006/relationships" ref="B212" r:id="rId423"/>
    <hyperlink xmlns:r="http://schemas.openxmlformats.org/officeDocument/2006/relationships" ref="A213" r:id="rId424"/>
    <hyperlink xmlns:r="http://schemas.openxmlformats.org/officeDocument/2006/relationships" ref="B213" r:id="rId425"/>
    <hyperlink xmlns:r="http://schemas.openxmlformats.org/officeDocument/2006/relationships" ref="A214" r:id="rId426"/>
    <hyperlink xmlns:r="http://schemas.openxmlformats.org/officeDocument/2006/relationships" ref="B214" r:id="rId427"/>
    <hyperlink xmlns:r="http://schemas.openxmlformats.org/officeDocument/2006/relationships" ref="A215" r:id="rId428"/>
    <hyperlink xmlns:r="http://schemas.openxmlformats.org/officeDocument/2006/relationships" ref="B215" r:id="rId429"/>
    <hyperlink xmlns:r="http://schemas.openxmlformats.org/officeDocument/2006/relationships" ref="A216" r:id="rId430"/>
    <hyperlink xmlns:r="http://schemas.openxmlformats.org/officeDocument/2006/relationships" ref="B216" r:id="rId431"/>
    <hyperlink xmlns:r="http://schemas.openxmlformats.org/officeDocument/2006/relationships" ref="A217" r:id="rId432"/>
    <hyperlink xmlns:r="http://schemas.openxmlformats.org/officeDocument/2006/relationships" ref="B217" r:id="rId433"/>
    <hyperlink xmlns:r="http://schemas.openxmlformats.org/officeDocument/2006/relationships" ref="A218" r:id="rId434"/>
    <hyperlink xmlns:r="http://schemas.openxmlformats.org/officeDocument/2006/relationships" ref="B218" r:id="rId435"/>
    <hyperlink xmlns:r="http://schemas.openxmlformats.org/officeDocument/2006/relationships" ref="A219" r:id="rId436"/>
    <hyperlink xmlns:r="http://schemas.openxmlformats.org/officeDocument/2006/relationships" ref="B219" r:id="rId437"/>
    <hyperlink xmlns:r="http://schemas.openxmlformats.org/officeDocument/2006/relationships" ref="A220" r:id="rId438"/>
    <hyperlink xmlns:r="http://schemas.openxmlformats.org/officeDocument/2006/relationships" ref="B220" r:id="rId439"/>
    <hyperlink xmlns:r="http://schemas.openxmlformats.org/officeDocument/2006/relationships" ref="A221" r:id="rId440"/>
    <hyperlink xmlns:r="http://schemas.openxmlformats.org/officeDocument/2006/relationships" ref="B221" r:id="rId441"/>
    <hyperlink xmlns:r="http://schemas.openxmlformats.org/officeDocument/2006/relationships" ref="A222" r:id="rId442"/>
    <hyperlink xmlns:r="http://schemas.openxmlformats.org/officeDocument/2006/relationships" ref="B222" r:id="rId443"/>
    <hyperlink xmlns:r="http://schemas.openxmlformats.org/officeDocument/2006/relationships" ref="A223" r:id="rId444"/>
    <hyperlink xmlns:r="http://schemas.openxmlformats.org/officeDocument/2006/relationships" ref="B223" r:id="rId445"/>
    <hyperlink xmlns:r="http://schemas.openxmlformats.org/officeDocument/2006/relationships" ref="A224" r:id="rId446"/>
    <hyperlink xmlns:r="http://schemas.openxmlformats.org/officeDocument/2006/relationships" ref="B224" r:id="rId447"/>
    <hyperlink xmlns:r="http://schemas.openxmlformats.org/officeDocument/2006/relationships" ref="A225" r:id="rId448"/>
    <hyperlink xmlns:r="http://schemas.openxmlformats.org/officeDocument/2006/relationships" ref="B225" r:id="rId449"/>
    <hyperlink xmlns:r="http://schemas.openxmlformats.org/officeDocument/2006/relationships" ref="A226" r:id="rId450"/>
    <hyperlink xmlns:r="http://schemas.openxmlformats.org/officeDocument/2006/relationships" ref="B226" r:id="rId451"/>
    <hyperlink xmlns:r="http://schemas.openxmlformats.org/officeDocument/2006/relationships" ref="A227" r:id="rId452"/>
    <hyperlink xmlns:r="http://schemas.openxmlformats.org/officeDocument/2006/relationships" ref="B227" r:id="rId453"/>
    <hyperlink xmlns:r="http://schemas.openxmlformats.org/officeDocument/2006/relationships" ref="A228" r:id="rId454"/>
    <hyperlink xmlns:r="http://schemas.openxmlformats.org/officeDocument/2006/relationships" ref="B228" r:id="rId455"/>
    <hyperlink xmlns:r="http://schemas.openxmlformats.org/officeDocument/2006/relationships" ref="A229" r:id="rId456"/>
    <hyperlink xmlns:r="http://schemas.openxmlformats.org/officeDocument/2006/relationships" ref="B229" r:id="rId457"/>
    <hyperlink xmlns:r="http://schemas.openxmlformats.org/officeDocument/2006/relationships" ref="A230" r:id="rId458"/>
    <hyperlink xmlns:r="http://schemas.openxmlformats.org/officeDocument/2006/relationships" ref="B230" r:id="rId459"/>
    <hyperlink xmlns:r="http://schemas.openxmlformats.org/officeDocument/2006/relationships" ref="A231" r:id="rId460"/>
    <hyperlink xmlns:r="http://schemas.openxmlformats.org/officeDocument/2006/relationships" ref="B231" r:id="rId461"/>
    <hyperlink xmlns:r="http://schemas.openxmlformats.org/officeDocument/2006/relationships" ref="A232" r:id="rId462"/>
    <hyperlink xmlns:r="http://schemas.openxmlformats.org/officeDocument/2006/relationships" ref="B232" r:id="rId463"/>
    <hyperlink xmlns:r="http://schemas.openxmlformats.org/officeDocument/2006/relationships" ref="A233" r:id="rId464"/>
    <hyperlink xmlns:r="http://schemas.openxmlformats.org/officeDocument/2006/relationships" ref="B233" r:id="rId465"/>
    <hyperlink xmlns:r="http://schemas.openxmlformats.org/officeDocument/2006/relationships" ref="A234" r:id="rId466"/>
    <hyperlink xmlns:r="http://schemas.openxmlformats.org/officeDocument/2006/relationships" ref="B234" r:id="rId467"/>
    <hyperlink xmlns:r="http://schemas.openxmlformats.org/officeDocument/2006/relationships" ref="A235" r:id="rId468"/>
    <hyperlink xmlns:r="http://schemas.openxmlformats.org/officeDocument/2006/relationships" ref="B235" r:id="rId469"/>
    <hyperlink xmlns:r="http://schemas.openxmlformats.org/officeDocument/2006/relationships" ref="A236" r:id="rId470"/>
    <hyperlink xmlns:r="http://schemas.openxmlformats.org/officeDocument/2006/relationships" ref="B236" r:id="rId471"/>
    <hyperlink xmlns:r="http://schemas.openxmlformats.org/officeDocument/2006/relationships" ref="A237" r:id="rId472"/>
    <hyperlink xmlns:r="http://schemas.openxmlformats.org/officeDocument/2006/relationships" ref="B237" r:id="rId473"/>
    <hyperlink xmlns:r="http://schemas.openxmlformats.org/officeDocument/2006/relationships" ref="A238" r:id="rId474"/>
    <hyperlink xmlns:r="http://schemas.openxmlformats.org/officeDocument/2006/relationships" ref="B238" r:id="rId475"/>
    <hyperlink xmlns:r="http://schemas.openxmlformats.org/officeDocument/2006/relationships" ref="A239" r:id="rId476"/>
    <hyperlink xmlns:r="http://schemas.openxmlformats.org/officeDocument/2006/relationships" ref="B239" r:id="rId477"/>
    <hyperlink xmlns:r="http://schemas.openxmlformats.org/officeDocument/2006/relationships" ref="A240" r:id="rId478"/>
    <hyperlink xmlns:r="http://schemas.openxmlformats.org/officeDocument/2006/relationships" ref="B240" r:id="rId479"/>
    <hyperlink xmlns:r="http://schemas.openxmlformats.org/officeDocument/2006/relationships" ref="A241" r:id="rId480"/>
    <hyperlink xmlns:r="http://schemas.openxmlformats.org/officeDocument/2006/relationships" ref="B241" r:id="rId481"/>
    <hyperlink xmlns:r="http://schemas.openxmlformats.org/officeDocument/2006/relationships" ref="A242" r:id="rId482"/>
    <hyperlink xmlns:r="http://schemas.openxmlformats.org/officeDocument/2006/relationships" ref="B242" r:id="rId483"/>
    <hyperlink xmlns:r="http://schemas.openxmlformats.org/officeDocument/2006/relationships" ref="A243" r:id="rId484"/>
    <hyperlink xmlns:r="http://schemas.openxmlformats.org/officeDocument/2006/relationships" ref="B243" r:id="rId485"/>
    <hyperlink xmlns:r="http://schemas.openxmlformats.org/officeDocument/2006/relationships" ref="A244" r:id="rId486"/>
    <hyperlink xmlns:r="http://schemas.openxmlformats.org/officeDocument/2006/relationships" ref="B244" r:id="rId487"/>
    <hyperlink xmlns:r="http://schemas.openxmlformats.org/officeDocument/2006/relationships" ref="A245" r:id="rId488"/>
    <hyperlink xmlns:r="http://schemas.openxmlformats.org/officeDocument/2006/relationships" ref="B245" r:id="rId489"/>
    <hyperlink xmlns:r="http://schemas.openxmlformats.org/officeDocument/2006/relationships" ref="A246" r:id="rId490"/>
    <hyperlink xmlns:r="http://schemas.openxmlformats.org/officeDocument/2006/relationships" ref="B246" r:id="rId491"/>
    <hyperlink xmlns:r="http://schemas.openxmlformats.org/officeDocument/2006/relationships" ref="A247" r:id="rId492"/>
    <hyperlink xmlns:r="http://schemas.openxmlformats.org/officeDocument/2006/relationships" ref="B247" r:id="rId493"/>
    <hyperlink xmlns:r="http://schemas.openxmlformats.org/officeDocument/2006/relationships" ref="A248" r:id="rId494"/>
    <hyperlink xmlns:r="http://schemas.openxmlformats.org/officeDocument/2006/relationships" ref="B248" r:id="rId495"/>
    <hyperlink xmlns:r="http://schemas.openxmlformats.org/officeDocument/2006/relationships" ref="A249" r:id="rId496"/>
    <hyperlink xmlns:r="http://schemas.openxmlformats.org/officeDocument/2006/relationships" ref="B249" r:id="rId497"/>
    <hyperlink xmlns:r="http://schemas.openxmlformats.org/officeDocument/2006/relationships" ref="A250" r:id="rId498"/>
    <hyperlink xmlns:r="http://schemas.openxmlformats.org/officeDocument/2006/relationships" ref="B250" r:id="rId499"/>
    <hyperlink xmlns:r="http://schemas.openxmlformats.org/officeDocument/2006/relationships" ref="A251" r:id="rId500"/>
    <hyperlink xmlns:r="http://schemas.openxmlformats.org/officeDocument/2006/relationships" ref="B251" r:id="rId501"/>
    <hyperlink xmlns:r="http://schemas.openxmlformats.org/officeDocument/2006/relationships" ref="A252" r:id="rId502"/>
    <hyperlink xmlns:r="http://schemas.openxmlformats.org/officeDocument/2006/relationships" ref="B252" r:id="rId503"/>
    <hyperlink xmlns:r="http://schemas.openxmlformats.org/officeDocument/2006/relationships" ref="A253" r:id="rId504"/>
    <hyperlink xmlns:r="http://schemas.openxmlformats.org/officeDocument/2006/relationships" ref="B253" r:id="rId505"/>
    <hyperlink xmlns:r="http://schemas.openxmlformats.org/officeDocument/2006/relationships" ref="A254" r:id="rId506"/>
    <hyperlink xmlns:r="http://schemas.openxmlformats.org/officeDocument/2006/relationships" ref="B254" r:id="rId507"/>
    <hyperlink xmlns:r="http://schemas.openxmlformats.org/officeDocument/2006/relationships" ref="A255" r:id="rId508"/>
    <hyperlink xmlns:r="http://schemas.openxmlformats.org/officeDocument/2006/relationships" ref="B255" r:id="rId509"/>
    <hyperlink xmlns:r="http://schemas.openxmlformats.org/officeDocument/2006/relationships" ref="A256" r:id="rId510"/>
    <hyperlink xmlns:r="http://schemas.openxmlformats.org/officeDocument/2006/relationships" ref="B256" r:id="rId511"/>
    <hyperlink xmlns:r="http://schemas.openxmlformats.org/officeDocument/2006/relationships" ref="A257" r:id="rId512"/>
    <hyperlink xmlns:r="http://schemas.openxmlformats.org/officeDocument/2006/relationships" ref="B257" r:id="rId513"/>
    <hyperlink xmlns:r="http://schemas.openxmlformats.org/officeDocument/2006/relationships" ref="A258" r:id="rId514"/>
    <hyperlink xmlns:r="http://schemas.openxmlformats.org/officeDocument/2006/relationships" ref="B258" r:id="rId515"/>
    <hyperlink xmlns:r="http://schemas.openxmlformats.org/officeDocument/2006/relationships" ref="A259" r:id="rId516"/>
    <hyperlink xmlns:r="http://schemas.openxmlformats.org/officeDocument/2006/relationships" ref="B259" r:id="rId517"/>
    <hyperlink xmlns:r="http://schemas.openxmlformats.org/officeDocument/2006/relationships" ref="A260" r:id="rId518"/>
    <hyperlink xmlns:r="http://schemas.openxmlformats.org/officeDocument/2006/relationships" ref="B260" r:id="rId519"/>
    <hyperlink xmlns:r="http://schemas.openxmlformats.org/officeDocument/2006/relationships" ref="A261" r:id="rId520"/>
    <hyperlink xmlns:r="http://schemas.openxmlformats.org/officeDocument/2006/relationships" ref="B261" r:id="rId521"/>
    <hyperlink xmlns:r="http://schemas.openxmlformats.org/officeDocument/2006/relationships" ref="A262" r:id="rId522"/>
    <hyperlink xmlns:r="http://schemas.openxmlformats.org/officeDocument/2006/relationships" ref="B262" r:id="rId523"/>
    <hyperlink xmlns:r="http://schemas.openxmlformats.org/officeDocument/2006/relationships" ref="A263" r:id="rId524"/>
    <hyperlink xmlns:r="http://schemas.openxmlformats.org/officeDocument/2006/relationships" ref="B263" r:id="rId525"/>
    <hyperlink xmlns:r="http://schemas.openxmlformats.org/officeDocument/2006/relationships" ref="A264" r:id="rId526"/>
    <hyperlink xmlns:r="http://schemas.openxmlformats.org/officeDocument/2006/relationships" ref="B264" r:id="rId527"/>
    <hyperlink xmlns:r="http://schemas.openxmlformats.org/officeDocument/2006/relationships" ref="A265" r:id="rId528"/>
    <hyperlink xmlns:r="http://schemas.openxmlformats.org/officeDocument/2006/relationships" ref="B265" r:id="rId529"/>
    <hyperlink xmlns:r="http://schemas.openxmlformats.org/officeDocument/2006/relationships" ref="A266" r:id="rId530"/>
    <hyperlink xmlns:r="http://schemas.openxmlformats.org/officeDocument/2006/relationships" ref="B266" r:id="rId531"/>
    <hyperlink xmlns:r="http://schemas.openxmlformats.org/officeDocument/2006/relationships" ref="A267" r:id="rId532"/>
    <hyperlink xmlns:r="http://schemas.openxmlformats.org/officeDocument/2006/relationships" ref="B267" r:id="rId533"/>
    <hyperlink xmlns:r="http://schemas.openxmlformats.org/officeDocument/2006/relationships" ref="A268" r:id="rId534"/>
    <hyperlink xmlns:r="http://schemas.openxmlformats.org/officeDocument/2006/relationships" ref="B268" r:id="rId535"/>
    <hyperlink xmlns:r="http://schemas.openxmlformats.org/officeDocument/2006/relationships" ref="A269" r:id="rId536"/>
    <hyperlink xmlns:r="http://schemas.openxmlformats.org/officeDocument/2006/relationships" ref="B269" r:id="rId537"/>
    <hyperlink xmlns:r="http://schemas.openxmlformats.org/officeDocument/2006/relationships" ref="A270" r:id="rId538"/>
    <hyperlink xmlns:r="http://schemas.openxmlformats.org/officeDocument/2006/relationships" ref="B270" r:id="rId539"/>
    <hyperlink xmlns:r="http://schemas.openxmlformats.org/officeDocument/2006/relationships" ref="A271" r:id="rId540"/>
    <hyperlink xmlns:r="http://schemas.openxmlformats.org/officeDocument/2006/relationships" ref="B271" r:id="rId541"/>
    <hyperlink xmlns:r="http://schemas.openxmlformats.org/officeDocument/2006/relationships" ref="A272" r:id="rId542"/>
    <hyperlink xmlns:r="http://schemas.openxmlformats.org/officeDocument/2006/relationships" ref="B272" r:id="rId543"/>
    <hyperlink xmlns:r="http://schemas.openxmlformats.org/officeDocument/2006/relationships" ref="A273" r:id="rId544"/>
    <hyperlink xmlns:r="http://schemas.openxmlformats.org/officeDocument/2006/relationships" ref="B273" r:id="rId545"/>
    <hyperlink xmlns:r="http://schemas.openxmlformats.org/officeDocument/2006/relationships" ref="A274" r:id="rId546"/>
    <hyperlink xmlns:r="http://schemas.openxmlformats.org/officeDocument/2006/relationships" ref="B274" r:id="rId547"/>
    <hyperlink xmlns:r="http://schemas.openxmlformats.org/officeDocument/2006/relationships" ref="A275" r:id="rId548"/>
    <hyperlink xmlns:r="http://schemas.openxmlformats.org/officeDocument/2006/relationships" ref="B275" r:id="rId549"/>
    <hyperlink xmlns:r="http://schemas.openxmlformats.org/officeDocument/2006/relationships" ref="A276" r:id="rId550"/>
    <hyperlink xmlns:r="http://schemas.openxmlformats.org/officeDocument/2006/relationships" ref="B276" r:id="rId551"/>
    <hyperlink xmlns:r="http://schemas.openxmlformats.org/officeDocument/2006/relationships" ref="A277" r:id="rId552"/>
    <hyperlink xmlns:r="http://schemas.openxmlformats.org/officeDocument/2006/relationships" ref="B277" r:id="rId553"/>
    <hyperlink xmlns:r="http://schemas.openxmlformats.org/officeDocument/2006/relationships" ref="A278" r:id="rId554"/>
    <hyperlink xmlns:r="http://schemas.openxmlformats.org/officeDocument/2006/relationships" ref="B278" r:id="rId555"/>
    <hyperlink xmlns:r="http://schemas.openxmlformats.org/officeDocument/2006/relationships" ref="A279" r:id="rId556"/>
    <hyperlink xmlns:r="http://schemas.openxmlformats.org/officeDocument/2006/relationships" ref="B279" r:id="rId557"/>
    <hyperlink xmlns:r="http://schemas.openxmlformats.org/officeDocument/2006/relationships" ref="A280" r:id="rId558"/>
    <hyperlink xmlns:r="http://schemas.openxmlformats.org/officeDocument/2006/relationships" ref="B280" r:id="rId559"/>
    <hyperlink xmlns:r="http://schemas.openxmlformats.org/officeDocument/2006/relationships" ref="A281" r:id="rId560"/>
    <hyperlink xmlns:r="http://schemas.openxmlformats.org/officeDocument/2006/relationships" ref="B281" r:id="rId561"/>
    <hyperlink xmlns:r="http://schemas.openxmlformats.org/officeDocument/2006/relationships" ref="A282" r:id="rId562"/>
    <hyperlink xmlns:r="http://schemas.openxmlformats.org/officeDocument/2006/relationships" ref="B282" r:id="rId563"/>
    <hyperlink xmlns:r="http://schemas.openxmlformats.org/officeDocument/2006/relationships" ref="A283" r:id="rId564"/>
    <hyperlink xmlns:r="http://schemas.openxmlformats.org/officeDocument/2006/relationships" ref="B283" r:id="rId565"/>
    <hyperlink xmlns:r="http://schemas.openxmlformats.org/officeDocument/2006/relationships" ref="A284" r:id="rId566"/>
    <hyperlink xmlns:r="http://schemas.openxmlformats.org/officeDocument/2006/relationships" ref="B284" r:id="rId567"/>
    <hyperlink xmlns:r="http://schemas.openxmlformats.org/officeDocument/2006/relationships" ref="A285" r:id="rId568"/>
    <hyperlink xmlns:r="http://schemas.openxmlformats.org/officeDocument/2006/relationships" ref="B285" r:id="rId569"/>
    <hyperlink xmlns:r="http://schemas.openxmlformats.org/officeDocument/2006/relationships" ref="A286" r:id="rId570"/>
    <hyperlink xmlns:r="http://schemas.openxmlformats.org/officeDocument/2006/relationships" ref="B286" r:id="rId571"/>
    <hyperlink xmlns:r="http://schemas.openxmlformats.org/officeDocument/2006/relationships" ref="A287" r:id="rId572"/>
    <hyperlink xmlns:r="http://schemas.openxmlformats.org/officeDocument/2006/relationships" ref="B287" r:id="rId573"/>
    <hyperlink xmlns:r="http://schemas.openxmlformats.org/officeDocument/2006/relationships" ref="A288" r:id="rId574"/>
    <hyperlink xmlns:r="http://schemas.openxmlformats.org/officeDocument/2006/relationships" ref="B288" r:id="rId575"/>
    <hyperlink xmlns:r="http://schemas.openxmlformats.org/officeDocument/2006/relationships" ref="A289" r:id="rId576"/>
    <hyperlink xmlns:r="http://schemas.openxmlformats.org/officeDocument/2006/relationships" ref="B289" r:id="rId577"/>
    <hyperlink xmlns:r="http://schemas.openxmlformats.org/officeDocument/2006/relationships" ref="A290" r:id="rId578"/>
    <hyperlink xmlns:r="http://schemas.openxmlformats.org/officeDocument/2006/relationships" ref="B290" r:id="rId579"/>
    <hyperlink xmlns:r="http://schemas.openxmlformats.org/officeDocument/2006/relationships" ref="A291" r:id="rId580"/>
    <hyperlink xmlns:r="http://schemas.openxmlformats.org/officeDocument/2006/relationships" ref="B291" r:id="rId581"/>
    <hyperlink xmlns:r="http://schemas.openxmlformats.org/officeDocument/2006/relationships" ref="A292" r:id="rId582"/>
    <hyperlink xmlns:r="http://schemas.openxmlformats.org/officeDocument/2006/relationships" ref="B292" r:id="rId583"/>
    <hyperlink xmlns:r="http://schemas.openxmlformats.org/officeDocument/2006/relationships" ref="A293" r:id="rId584"/>
    <hyperlink xmlns:r="http://schemas.openxmlformats.org/officeDocument/2006/relationships" ref="B293" r:id="rId585"/>
    <hyperlink xmlns:r="http://schemas.openxmlformats.org/officeDocument/2006/relationships" ref="A294" r:id="rId586"/>
    <hyperlink xmlns:r="http://schemas.openxmlformats.org/officeDocument/2006/relationships" ref="B294" r:id="rId587"/>
    <hyperlink xmlns:r="http://schemas.openxmlformats.org/officeDocument/2006/relationships" ref="A295" r:id="rId588"/>
    <hyperlink xmlns:r="http://schemas.openxmlformats.org/officeDocument/2006/relationships" ref="B295" r:id="rId589"/>
    <hyperlink xmlns:r="http://schemas.openxmlformats.org/officeDocument/2006/relationships" ref="A296" r:id="rId590"/>
    <hyperlink xmlns:r="http://schemas.openxmlformats.org/officeDocument/2006/relationships" ref="B296" r:id="rId591"/>
    <hyperlink xmlns:r="http://schemas.openxmlformats.org/officeDocument/2006/relationships" ref="A297" r:id="rId592"/>
    <hyperlink xmlns:r="http://schemas.openxmlformats.org/officeDocument/2006/relationships" ref="B297" r:id="rId593"/>
    <hyperlink xmlns:r="http://schemas.openxmlformats.org/officeDocument/2006/relationships" ref="A298" r:id="rId594"/>
    <hyperlink xmlns:r="http://schemas.openxmlformats.org/officeDocument/2006/relationships" ref="B298" r:id="rId595"/>
    <hyperlink xmlns:r="http://schemas.openxmlformats.org/officeDocument/2006/relationships" ref="A299" r:id="rId596"/>
    <hyperlink xmlns:r="http://schemas.openxmlformats.org/officeDocument/2006/relationships" ref="B299" r:id="rId597"/>
    <hyperlink xmlns:r="http://schemas.openxmlformats.org/officeDocument/2006/relationships" ref="A300" r:id="rId598"/>
    <hyperlink xmlns:r="http://schemas.openxmlformats.org/officeDocument/2006/relationships" ref="B300" r:id="rId599"/>
    <hyperlink xmlns:r="http://schemas.openxmlformats.org/officeDocument/2006/relationships" ref="A301" r:id="rId600"/>
    <hyperlink xmlns:r="http://schemas.openxmlformats.org/officeDocument/2006/relationships" ref="B301" r:id="rId601"/>
    <hyperlink xmlns:r="http://schemas.openxmlformats.org/officeDocument/2006/relationships" ref="A302" r:id="rId602"/>
    <hyperlink xmlns:r="http://schemas.openxmlformats.org/officeDocument/2006/relationships" ref="B302" r:id="rId603"/>
    <hyperlink xmlns:r="http://schemas.openxmlformats.org/officeDocument/2006/relationships" ref="A303" r:id="rId604"/>
    <hyperlink xmlns:r="http://schemas.openxmlformats.org/officeDocument/2006/relationships" ref="B303" r:id="rId605"/>
    <hyperlink xmlns:r="http://schemas.openxmlformats.org/officeDocument/2006/relationships" ref="A304" r:id="rId606"/>
    <hyperlink xmlns:r="http://schemas.openxmlformats.org/officeDocument/2006/relationships" ref="B304" r:id="rId607"/>
    <hyperlink xmlns:r="http://schemas.openxmlformats.org/officeDocument/2006/relationships" ref="A305" r:id="rId608"/>
    <hyperlink xmlns:r="http://schemas.openxmlformats.org/officeDocument/2006/relationships" ref="B305" r:id="rId609"/>
    <hyperlink xmlns:r="http://schemas.openxmlformats.org/officeDocument/2006/relationships" ref="A306" r:id="rId610"/>
    <hyperlink xmlns:r="http://schemas.openxmlformats.org/officeDocument/2006/relationships" ref="B306" r:id="rId611"/>
    <hyperlink xmlns:r="http://schemas.openxmlformats.org/officeDocument/2006/relationships" ref="A307" r:id="rId612"/>
    <hyperlink xmlns:r="http://schemas.openxmlformats.org/officeDocument/2006/relationships" ref="B307" r:id="rId613"/>
    <hyperlink xmlns:r="http://schemas.openxmlformats.org/officeDocument/2006/relationships" ref="A308" r:id="rId614"/>
    <hyperlink xmlns:r="http://schemas.openxmlformats.org/officeDocument/2006/relationships" ref="B308" r:id="rId615"/>
    <hyperlink xmlns:r="http://schemas.openxmlformats.org/officeDocument/2006/relationships" ref="A309" r:id="rId616"/>
    <hyperlink xmlns:r="http://schemas.openxmlformats.org/officeDocument/2006/relationships" ref="B309" r:id="rId617"/>
    <hyperlink xmlns:r="http://schemas.openxmlformats.org/officeDocument/2006/relationships" ref="A310" r:id="rId618"/>
    <hyperlink xmlns:r="http://schemas.openxmlformats.org/officeDocument/2006/relationships" ref="B310" r:id="rId619"/>
    <hyperlink xmlns:r="http://schemas.openxmlformats.org/officeDocument/2006/relationships" ref="A311" r:id="rId620"/>
    <hyperlink xmlns:r="http://schemas.openxmlformats.org/officeDocument/2006/relationships" ref="B311" r:id="rId621"/>
    <hyperlink xmlns:r="http://schemas.openxmlformats.org/officeDocument/2006/relationships" ref="A312" r:id="rId622"/>
    <hyperlink xmlns:r="http://schemas.openxmlformats.org/officeDocument/2006/relationships" ref="B312" r:id="rId623"/>
    <hyperlink xmlns:r="http://schemas.openxmlformats.org/officeDocument/2006/relationships" ref="A313" r:id="rId624"/>
    <hyperlink xmlns:r="http://schemas.openxmlformats.org/officeDocument/2006/relationships" ref="B313" r:id="rId625"/>
    <hyperlink xmlns:r="http://schemas.openxmlformats.org/officeDocument/2006/relationships" ref="A314" r:id="rId626"/>
    <hyperlink xmlns:r="http://schemas.openxmlformats.org/officeDocument/2006/relationships" ref="B314" r:id="rId627"/>
    <hyperlink xmlns:r="http://schemas.openxmlformats.org/officeDocument/2006/relationships" ref="A315" r:id="rId628"/>
    <hyperlink xmlns:r="http://schemas.openxmlformats.org/officeDocument/2006/relationships" ref="B315" r:id="rId629"/>
    <hyperlink xmlns:r="http://schemas.openxmlformats.org/officeDocument/2006/relationships" ref="A316" r:id="rId630"/>
    <hyperlink xmlns:r="http://schemas.openxmlformats.org/officeDocument/2006/relationships" ref="B316" r:id="rId631"/>
    <hyperlink xmlns:r="http://schemas.openxmlformats.org/officeDocument/2006/relationships" ref="A317" r:id="rId632"/>
    <hyperlink xmlns:r="http://schemas.openxmlformats.org/officeDocument/2006/relationships" ref="B317" r:id="rId633"/>
    <hyperlink xmlns:r="http://schemas.openxmlformats.org/officeDocument/2006/relationships" ref="A318" r:id="rId634"/>
    <hyperlink xmlns:r="http://schemas.openxmlformats.org/officeDocument/2006/relationships" ref="B318" r:id="rId635"/>
    <hyperlink xmlns:r="http://schemas.openxmlformats.org/officeDocument/2006/relationships" ref="A319" r:id="rId636"/>
    <hyperlink xmlns:r="http://schemas.openxmlformats.org/officeDocument/2006/relationships" ref="B319" r:id="rId637"/>
    <hyperlink xmlns:r="http://schemas.openxmlformats.org/officeDocument/2006/relationships" ref="A320" r:id="rId638"/>
    <hyperlink xmlns:r="http://schemas.openxmlformats.org/officeDocument/2006/relationships" ref="B320" r:id="rId639"/>
    <hyperlink xmlns:r="http://schemas.openxmlformats.org/officeDocument/2006/relationships" ref="A321" r:id="rId640"/>
    <hyperlink xmlns:r="http://schemas.openxmlformats.org/officeDocument/2006/relationships" ref="B321" r:id="rId641"/>
    <hyperlink xmlns:r="http://schemas.openxmlformats.org/officeDocument/2006/relationships" ref="A322" r:id="rId642"/>
    <hyperlink xmlns:r="http://schemas.openxmlformats.org/officeDocument/2006/relationships" ref="B322" r:id="rId643"/>
    <hyperlink xmlns:r="http://schemas.openxmlformats.org/officeDocument/2006/relationships" ref="A323" r:id="rId644"/>
    <hyperlink xmlns:r="http://schemas.openxmlformats.org/officeDocument/2006/relationships" ref="B323" r:id="rId645"/>
    <hyperlink xmlns:r="http://schemas.openxmlformats.org/officeDocument/2006/relationships" ref="A324" r:id="rId646"/>
    <hyperlink xmlns:r="http://schemas.openxmlformats.org/officeDocument/2006/relationships" ref="B324" r:id="rId647"/>
    <hyperlink xmlns:r="http://schemas.openxmlformats.org/officeDocument/2006/relationships" ref="A325" r:id="rId648"/>
    <hyperlink xmlns:r="http://schemas.openxmlformats.org/officeDocument/2006/relationships" ref="B325" r:id="rId649"/>
    <hyperlink xmlns:r="http://schemas.openxmlformats.org/officeDocument/2006/relationships" ref="A326" r:id="rId650"/>
    <hyperlink xmlns:r="http://schemas.openxmlformats.org/officeDocument/2006/relationships" ref="B326" r:id="rId651"/>
    <hyperlink xmlns:r="http://schemas.openxmlformats.org/officeDocument/2006/relationships" ref="A327" r:id="rId652"/>
    <hyperlink xmlns:r="http://schemas.openxmlformats.org/officeDocument/2006/relationships" ref="B327" r:id="rId653"/>
    <hyperlink xmlns:r="http://schemas.openxmlformats.org/officeDocument/2006/relationships" ref="A328" r:id="rId654"/>
    <hyperlink xmlns:r="http://schemas.openxmlformats.org/officeDocument/2006/relationships" ref="B328" r:id="rId655"/>
    <hyperlink xmlns:r="http://schemas.openxmlformats.org/officeDocument/2006/relationships" ref="A329" r:id="rId656"/>
    <hyperlink xmlns:r="http://schemas.openxmlformats.org/officeDocument/2006/relationships" ref="B329" r:id="rId657"/>
    <hyperlink xmlns:r="http://schemas.openxmlformats.org/officeDocument/2006/relationships" ref="A330" r:id="rId658"/>
    <hyperlink xmlns:r="http://schemas.openxmlformats.org/officeDocument/2006/relationships" ref="B330" r:id="rId659"/>
    <hyperlink xmlns:r="http://schemas.openxmlformats.org/officeDocument/2006/relationships" ref="A331" r:id="rId660"/>
    <hyperlink xmlns:r="http://schemas.openxmlformats.org/officeDocument/2006/relationships" ref="B331" r:id="rId661"/>
    <hyperlink xmlns:r="http://schemas.openxmlformats.org/officeDocument/2006/relationships" ref="A332" r:id="rId662"/>
    <hyperlink xmlns:r="http://schemas.openxmlformats.org/officeDocument/2006/relationships" ref="B332" r:id="rId663"/>
    <hyperlink xmlns:r="http://schemas.openxmlformats.org/officeDocument/2006/relationships" ref="A333" r:id="rId664"/>
    <hyperlink xmlns:r="http://schemas.openxmlformats.org/officeDocument/2006/relationships" ref="B333" r:id="rId665"/>
    <hyperlink xmlns:r="http://schemas.openxmlformats.org/officeDocument/2006/relationships" ref="A334" r:id="rId666"/>
    <hyperlink xmlns:r="http://schemas.openxmlformats.org/officeDocument/2006/relationships" ref="B334" r:id="rId667"/>
    <hyperlink xmlns:r="http://schemas.openxmlformats.org/officeDocument/2006/relationships" ref="A335" r:id="rId668"/>
    <hyperlink xmlns:r="http://schemas.openxmlformats.org/officeDocument/2006/relationships" ref="B335" r:id="rId669"/>
    <hyperlink xmlns:r="http://schemas.openxmlformats.org/officeDocument/2006/relationships" ref="A336" r:id="rId670"/>
    <hyperlink xmlns:r="http://schemas.openxmlformats.org/officeDocument/2006/relationships" ref="B336" r:id="rId671"/>
    <hyperlink xmlns:r="http://schemas.openxmlformats.org/officeDocument/2006/relationships" ref="A337" r:id="rId672"/>
    <hyperlink xmlns:r="http://schemas.openxmlformats.org/officeDocument/2006/relationships" ref="B337" r:id="rId673"/>
    <hyperlink xmlns:r="http://schemas.openxmlformats.org/officeDocument/2006/relationships" ref="A338" r:id="rId674"/>
    <hyperlink xmlns:r="http://schemas.openxmlformats.org/officeDocument/2006/relationships" ref="B338" r:id="rId675"/>
    <hyperlink xmlns:r="http://schemas.openxmlformats.org/officeDocument/2006/relationships" ref="A339" r:id="rId676"/>
    <hyperlink xmlns:r="http://schemas.openxmlformats.org/officeDocument/2006/relationships" ref="B339" r:id="rId677"/>
    <hyperlink xmlns:r="http://schemas.openxmlformats.org/officeDocument/2006/relationships" ref="A340" r:id="rId678"/>
    <hyperlink xmlns:r="http://schemas.openxmlformats.org/officeDocument/2006/relationships" ref="B340" r:id="rId679"/>
    <hyperlink xmlns:r="http://schemas.openxmlformats.org/officeDocument/2006/relationships" ref="A341" r:id="rId680"/>
    <hyperlink xmlns:r="http://schemas.openxmlformats.org/officeDocument/2006/relationships" ref="B341" r:id="rId681"/>
    <hyperlink xmlns:r="http://schemas.openxmlformats.org/officeDocument/2006/relationships" ref="A342" r:id="rId682"/>
    <hyperlink xmlns:r="http://schemas.openxmlformats.org/officeDocument/2006/relationships" ref="B342" r:id="rId683"/>
    <hyperlink xmlns:r="http://schemas.openxmlformats.org/officeDocument/2006/relationships" ref="A343" r:id="rId684"/>
    <hyperlink xmlns:r="http://schemas.openxmlformats.org/officeDocument/2006/relationships" ref="B343" r:id="rId685"/>
    <hyperlink xmlns:r="http://schemas.openxmlformats.org/officeDocument/2006/relationships" ref="A344" r:id="rId686"/>
    <hyperlink xmlns:r="http://schemas.openxmlformats.org/officeDocument/2006/relationships" ref="B344" r:id="rId687"/>
    <hyperlink xmlns:r="http://schemas.openxmlformats.org/officeDocument/2006/relationships" ref="A345" r:id="rId688"/>
    <hyperlink xmlns:r="http://schemas.openxmlformats.org/officeDocument/2006/relationships" ref="B345" r:id="rId689"/>
    <hyperlink xmlns:r="http://schemas.openxmlformats.org/officeDocument/2006/relationships" ref="A346" r:id="rId690"/>
    <hyperlink xmlns:r="http://schemas.openxmlformats.org/officeDocument/2006/relationships" ref="B346" r:id="rId691"/>
    <hyperlink xmlns:r="http://schemas.openxmlformats.org/officeDocument/2006/relationships" ref="A347" r:id="rId692"/>
    <hyperlink xmlns:r="http://schemas.openxmlformats.org/officeDocument/2006/relationships" ref="B347" r:id="rId693"/>
    <hyperlink xmlns:r="http://schemas.openxmlformats.org/officeDocument/2006/relationships" ref="A348" r:id="rId694"/>
    <hyperlink xmlns:r="http://schemas.openxmlformats.org/officeDocument/2006/relationships" ref="B348" r:id="rId695"/>
    <hyperlink xmlns:r="http://schemas.openxmlformats.org/officeDocument/2006/relationships" ref="A349" r:id="rId696"/>
    <hyperlink xmlns:r="http://schemas.openxmlformats.org/officeDocument/2006/relationships" ref="B349" r:id="rId697"/>
    <hyperlink xmlns:r="http://schemas.openxmlformats.org/officeDocument/2006/relationships" ref="A350" r:id="rId698"/>
    <hyperlink xmlns:r="http://schemas.openxmlformats.org/officeDocument/2006/relationships" ref="B350" r:id="rId699"/>
    <hyperlink xmlns:r="http://schemas.openxmlformats.org/officeDocument/2006/relationships" ref="A351" r:id="rId700"/>
    <hyperlink xmlns:r="http://schemas.openxmlformats.org/officeDocument/2006/relationships" ref="B351" r:id="rId701"/>
    <hyperlink xmlns:r="http://schemas.openxmlformats.org/officeDocument/2006/relationships" ref="A352" r:id="rId702"/>
    <hyperlink xmlns:r="http://schemas.openxmlformats.org/officeDocument/2006/relationships" ref="B352" r:id="rId703"/>
    <hyperlink xmlns:r="http://schemas.openxmlformats.org/officeDocument/2006/relationships" ref="A353" r:id="rId704"/>
    <hyperlink xmlns:r="http://schemas.openxmlformats.org/officeDocument/2006/relationships" ref="B353" r:id="rId705"/>
    <hyperlink xmlns:r="http://schemas.openxmlformats.org/officeDocument/2006/relationships" ref="A354" r:id="rId706"/>
    <hyperlink xmlns:r="http://schemas.openxmlformats.org/officeDocument/2006/relationships" ref="B354" r:id="rId707"/>
    <hyperlink xmlns:r="http://schemas.openxmlformats.org/officeDocument/2006/relationships" ref="A355" r:id="rId708"/>
    <hyperlink xmlns:r="http://schemas.openxmlformats.org/officeDocument/2006/relationships" ref="B355" r:id="rId709"/>
    <hyperlink xmlns:r="http://schemas.openxmlformats.org/officeDocument/2006/relationships" ref="A356" r:id="rId710"/>
    <hyperlink xmlns:r="http://schemas.openxmlformats.org/officeDocument/2006/relationships" ref="B356" r:id="rId711"/>
    <hyperlink xmlns:r="http://schemas.openxmlformats.org/officeDocument/2006/relationships" ref="A357" r:id="rId712"/>
    <hyperlink xmlns:r="http://schemas.openxmlformats.org/officeDocument/2006/relationships" ref="B357" r:id="rId713"/>
    <hyperlink xmlns:r="http://schemas.openxmlformats.org/officeDocument/2006/relationships" ref="A358" r:id="rId714"/>
    <hyperlink xmlns:r="http://schemas.openxmlformats.org/officeDocument/2006/relationships" ref="B358" r:id="rId715"/>
    <hyperlink xmlns:r="http://schemas.openxmlformats.org/officeDocument/2006/relationships" ref="A359" r:id="rId716"/>
    <hyperlink xmlns:r="http://schemas.openxmlformats.org/officeDocument/2006/relationships" ref="B359" r:id="rId717"/>
    <hyperlink xmlns:r="http://schemas.openxmlformats.org/officeDocument/2006/relationships" ref="A360" r:id="rId718"/>
    <hyperlink xmlns:r="http://schemas.openxmlformats.org/officeDocument/2006/relationships" ref="B360" r:id="rId719"/>
    <hyperlink xmlns:r="http://schemas.openxmlformats.org/officeDocument/2006/relationships" ref="A361" r:id="rId720"/>
    <hyperlink xmlns:r="http://schemas.openxmlformats.org/officeDocument/2006/relationships" ref="B361" r:id="rId721"/>
    <hyperlink xmlns:r="http://schemas.openxmlformats.org/officeDocument/2006/relationships" ref="A362" r:id="rId722"/>
    <hyperlink xmlns:r="http://schemas.openxmlformats.org/officeDocument/2006/relationships" ref="B362" r:id="rId723"/>
    <hyperlink xmlns:r="http://schemas.openxmlformats.org/officeDocument/2006/relationships" ref="A363" r:id="rId724"/>
    <hyperlink xmlns:r="http://schemas.openxmlformats.org/officeDocument/2006/relationships" ref="B363" r:id="rId725"/>
    <hyperlink xmlns:r="http://schemas.openxmlformats.org/officeDocument/2006/relationships" ref="A364" r:id="rId726"/>
    <hyperlink xmlns:r="http://schemas.openxmlformats.org/officeDocument/2006/relationships" ref="B364" r:id="rId727"/>
    <hyperlink xmlns:r="http://schemas.openxmlformats.org/officeDocument/2006/relationships" ref="A365" r:id="rId728"/>
    <hyperlink xmlns:r="http://schemas.openxmlformats.org/officeDocument/2006/relationships" ref="B365" r:id="rId729"/>
    <hyperlink xmlns:r="http://schemas.openxmlformats.org/officeDocument/2006/relationships" ref="A366" r:id="rId730"/>
    <hyperlink xmlns:r="http://schemas.openxmlformats.org/officeDocument/2006/relationships" ref="B366" r:id="rId731"/>
    <hyperlink xmlns:r="http://schemas.openxmlformats.org/officeDocument/2006/relationships" ref="A367" r:id="rId732"/>
    <hyperlink xmlns:r="http://schemas.openxmlformats.org/officeDocument/2006/relationships" ref="B367" r:id="rId733"/>
    <hyperlink xmlns:r="http://schemas.openxmlformats.org/officeDocument/2006/relationships" ref="A368" r:id="rId734"/>
    <hyperlink xmlns:r="http://schemas.openxmlformats.org/officeDocument/2006/relationships" ref="B368" r:id="rId735"/>
    <hyperlink xmlns:r="http://schemas.openxmlformats.org/officeDocument/2006/relationships" ref="A369" r:id="rId736"/>
    <hyperlink xmlns:r="http://schemas.openxmlformats.org/officeDocument/2006/relationships" ref="B369" r:id="rId737"/>
    <hyperlink xmlns:r="http://schemas.openxmlformats.org/officeDocument/2006/relationships" ref="A370" r:id="rId738"/>
    <hyperlink xmlns:r="http://schemas.openxmlformats.org/officeDocument/2006/relationships" ref="B370" r:id="rId739"/>
    <hyperlink xmlns:r="http://schemas.openxmlformats.org/officeDocument/2006/relationships" ref="A371" r:id="rId740"/>
    <hyperlink xmlns:r="http://schemas.openxmlformats.org/officeDocument/2006/relationships" ref="B371" r:id="rId741"/>
    <hyperlink xmlns:r="http://schemas.openxmlformats.org/officeDocument/2006/relationships" ref="A372" r:id="rId742"/>
    <hyperlink xmlns:r="http://schemas.openxmlformats.org/officeDocument/2006/relationships" ref="B372" r:id="rId743"/>
    <hyperlink xmlns:r="http://schemas.openxmlformats.org/officeDocument/2006/relationships" ref="A373" r:id="rId744"/>
    <hyperlink xmlns:r="http://schemas.openxmlformats.org/officeDocument/2006/relationships" ref="B373" r:id="rId745"/>
    <hyperlink xmlns:r="http://schemas.openxmlformats.org/officeDocument/2006/relationships" ref="A374" r:id="rId746"/>
    <hyperlink xmlns:r="http://schemas.openxmlformats.org/officeDocument/2006/relationships" ref="B374" r:id="rId747"/>
    <hyperlink xmlns:r="http://schemas.openxmlformats.org/officeDocument/2006/relationships" ref="A375" r:id="rId748"/>
    <hyperlink xmlns:r="http://schemas.openxmlformats.org/officeDocument/2006/relationships" ref="B375" r:id="rId749"/>
    <hyperlink xmlns:r="http://schemas.openxmlformats.org/officeDocument/2006/relationships" ref="A376" r:id="rId750"/>
    <hyperlink xmlns:r="http://schemas.openxmlformats.org/officeDocument/2006/relationships" ref="B376" r:id="rId751"/>
    <hyperlink xmlns:r="http://schemas.openxmlformats.org/officeDocument/2006/relationships" ref="A377" r:id="rId752"/>
    <hyperlink xmlns:r="http://schemas.openxmlformats.org/officeDocument/2006/relationships" ref="B377" r:id="rId753"/>
    <hyperlink xmlns:r="http://schemas.openxmlformats.org/officeDocument/2006/relationships" ref="A378" r:id="rId754"/>
    <hyperlink xmlns:r="http://schemas.openxmlformats.org/officeDocument/2006/relationships" ref="B378" r:id="rId755"/>
    <hyperlink xmlns:r="http://schemas.openxmlformats.org/officeDocument/2006/relationships" ref="A379" r:id="rId756"/>
    <hyperlink xmlns:r="http://schemas.openxmlformats.org/officeDocument/2006/relationships" ref="B379" r:id="rId757"/>
    <hyperlink xmlns:r="http://schemas.openxmlformats.org/officeDocument/2006/relationships" ref="A380" r:id="rId758"/>
    <hyperlink xmlns:r="http://schemas.openxmlformats.org/officeDocument/2006/relationships" ref="B380" r:id="rId759"/>
    <hyperlink xmlns:r="http://schemas.openxmlformats.org/officeDocument/2006/relationships" ref="A381" r:id="rId760"/>
    <hyperlink xmlns:r="http://schemas.openxmlformats.org/officeDocument/2006/relationships" ref="B381" r:id="rId761"/>
    <hyperlink xmlns:r="http://schemas.openxmlformats.org/officeDocument/2006/relationships" ref="A382" r:id="rId762"/>
    <hyperlink xmlns:r="http://schemas.openxmlformats.org/officeDocument/2006/relationships" ref="B382" r:id="rId763"/>
    <hyperlink xmlns:r="http://schemas.openxmlformats.org/officeDocument/2006/relationships" ref="A383" r:id="rId764"/>
    <hyperlink xmlns:r="http://schemas.openxmlformats.org/officeDocument/2006/relationships" ref="B383" r:id="rId765"/>
    <hyperlink xmlns:r="http://schemas.openxmlformats.org/officeDocument/2006/relationships" ref="A384" r:id="rId766"/>
    <hyperlink xmlns:r="http://schemas.openxmlformats.org/officeDocument/2006/relationships" ref="B384" r:id="rId767"/>
    <hyperlink xmlns:r="http://schemas.openxmlformats.org/officeDocument/2006/relationships" ref="A385" r:id="rId768"/>
    <hyperlink xmlns:r="http://schemas.openxmlformats.org/officeDocument/2006/relationships" ref="B385" r:id="rId769"/>
    <hyperlink xmlns:r="http://schemas.openxmlformats.org/officeDocument/2006/relationships" ref="A386" r:id="rId770"/>
    <hyperlink xmlns:r="http://schemas.openxmlformats.org/officeDocument/2006/relationships" ref="B386" r:id="rId771"/>
    <hyperlink xmlns:r="http://schemas.openxmlformats.org/officeDocument/2006/relationships" ref="A387" r:id="rId772"/>
    <hyperlink xmlns:r="http://schemas.openxmlformats.org/officeDocument/2006/relationships" ref="B387" r:id="rId773"/>
    <hyperlink xmlns:r="http://schemas.openxmlformats.org/officeDocument/2006/relationships" ref="A388" r:id="rId774"/>
    <hyperlink xmlns:r="http://schemas.openxmlformats.org/officeDocument/2006/relationships" ref="B388" r:id="rId775"/>
    <hyperlink xmlns:r="http://schemas.openxmlformats.org/officeDocument/2006/relationships" ref="A389" r:id="rId776"/>
    <hyperlink xmlns:r="http://schemas.openxmlformats.org/officeDocument/2006/relationships" ref="B389" r:id="rId777"/>
    <hyperlink xmlns:r="http://schemas.openxmlformats.org/officeDocument/2006/relationships" ref="A390" r:id="rId778"/>
    <hyperlink xmlns:r="http://schemas.openxmlformats.org/officeDocument/2006/relationships" ref="B390" r:id="rId779"/>
    <hyperlink xmlns:r="http://schemas.openxmlformats.org/officeDocument/2006/relationships" ref="A391" r:id="rId780"/>
    <hyperlink xmlns:r="http://schemas.openxmlformats.org/officeDocument/2006/relationships" ref="B391" r:id="rId781"/>
    <hyperlink xmlns:r="http://schemas.openxmlformats.org/officeDocument/2006/relationships" ref="A392" r:id="rId782"/>
    <hyperlink xmlns:r="http://schemas.openxmlformats.org/officeDocument/2006/relationships" ref="B392" r:id="rId783"/>
    <hyperlink xmlns:r="http://schemas.openxmlformats.org/officeDocument/2006/relationships" ref="A393" r:id="rId784"/>
    <hyperlink xmlns:r="http://schemas.openxmlformats.org/officeDocument/2006/relationships" ref="B393" r:id="rId785"/>
    <hyperlink xmlns:r="http://schemas.openxmlformats.org/officeDocument/2006/relationships" ref="A394" r:id="rId786"/>
    <hyperlink xmlns:r="http://schemas.openxmlformats.org/officeDocument/2006/relationships" ref="B394" r:id="rId787"/>
    <hyperlink xmlns:r="http://schemas.openxmlformats.org/officeDocument/2006/relationships" ref="A395" r:id="rId788"/>
    <hyperlink xmlns:r="http://schemas.openxmlformats.org/officeDocument/2006/relationships" ref="B395" r:id="rId789"/>
    <hyperlink xmlns:r="http://schemas.openxmlformats.org/officeDocument/2006/relationships" ref="A396" r:id="rId790"/>
    <hyperlink xmlns:r="http://schemas.openxmlformats.org/officeDocument/2006/relationships" ref="B396" r:id="rId791"/>
    <hyperlink xmlns:r="http://schemas.openxmlformats.org/officeDocument/2006/relationships" ref="A397" r:id="rId792"/>
    <hyperlink xmlns:r="http://schemas.openxmlformats.org/officeDocument/2006/relationships" ref="B397" r:id="rId793"/>
    <hyperlink xmlns:r="http://schemas.openxmlformats.org/officeDocument/2006/relationships" ref="A398" r:id="rId794"/>
    <hyperlink xmlns:r="http://schemas.openxmlformats.org/officeDocument/2006/relationships" ref="B398" r:id="rId795"/>
    <hyperlink xmlns:r="http://schemas.openxmlformats.org/officeDocument/2006/relationships" ref="A399" r:id="rId796"/>
    <hyperlink xmlns:r="http://schemas.openxmlformats.org/officeDocument/2006/relationships" ref="B399" r:id="rId797"/>
    <hyperlink xmlns:r="http://schemas.openxmlformats.org/officeDocument/2006/relationships" ref="A400" r:id="rId798"/>
    <hyperlink xmlns:r="http://schemas.openxmlformats.org/officeDocument/2006/relationships" ref="B400" r:id="rId799"/>
    <hyperlink xmlns:r="http://schemas.openxmlformats.org/officeDocument/2006/relationships" ref="A401" r:id="rId800"/>
    <hyperlink xmlns:r="http://schemas.openxmlformats.org/officeDocument/2006/relationships" ref="B401" r:id="rId801"/>
    <hyperlink xmlns:r="http://schemas.openxmlformats.org/officeDocument/2006/relationships" ref="A402" r:id="rId802"/>
    <hyperlink xmlns:r="http://schemas.openxmlformats.org/officeDocument/2006/relationships" ref="B402" r:id="rId803"/>
    <hyperlink xmlns:r="http://schemas.openxmlformats.org/officeDocument/2006/relationships" ref="A403" r:id="rId804"/>
    <hyperlink xmlns:r="http://schemas.openxmlformats.org/officeDocument/2006/relationships" ref="B403" r:id="rId805"/>
    <hyperlink xmlns:r="http://schemas.openxmlformats.org/officeDocument/2006/relationships" ref="A404" r:id="rId806"/>
    <hyperlink xmlns:r="http://schemas.openxmlformats.org/officeDocument/2006/relationships" ref="B404" r:id="rId807"/>
    <hyperlink xmlns:r="http://schemas.openxmlformats.org/officeDocument/2006/relationships" ref="A405" r:id="rId808"/>
    <hyperlink xmlns:r="http://schemas.openxmlformats.org/officeDocument/2006/relationships" ref="B405" r:id="rId809"/>
    <hyperlink xmlns:r="http://schemas.openxmlformats.org/officeDocument/2006/relationships" ref="A406" r:id="rId810"/>
    <hyperlink xmlns:r="http://schemas.openxmlformats.org/officeDocument/2006/relationships" ref="B406" r:id="rId811"/>
    <hyperlink xmlns:r="http://schemas.openxmlformats.org/officeDocument/2006/relationships" ref="A407" r:id="rId812"/>
    <hyperlink xmlns:r="http://schemas.openxmlformats.org/officeDocument/2006/relationships" ref="B407" r:id="rId813"/>
    <hyperlink xmlns:r="http://schemas.openxmlformats.org/officeDocument/2006/relationships" ref="A408" r:id="rId814"/>
    <hyperlink xmlns:r="http://schemas.openxmlformats.org/officeDocument/2006/relationships" ref="B408" r:id="rId815"/>
    <hyperlink xmlns:r="http://schemas.openxmlformats.org/officeDocument/2006/relationships" ref="A409" r:id="rId816"/>
    <hyperlink xmlns:r="http://schemas.openxmlformats.org/officeDocument/2006/relationships" ref="B409" r:id="rId817"/>
    <hyperlink xmlns:r="http://schemas.openxmlformats.org/officeDocument/2006/relationships" ref="A410" r:id="rId818"/>
    <hyperlink xmlns:r="http://schemas.openxmlformats.org/officeDocument/2006/relationships" ref="B410" r:id="rId819"/>
    <hyperlink xmlns:r="http://schemas.openxmlformats.org/officeDocument/2006/relationships" ref="A411" r:id="rId820"/>
    <hyperlink xmlns:r="http://schemas.openxmlformats.org/officeDocument/2006/relationships" ref="B411" r:id="rId821"/>
    <hyperlink xmlns:r="http://schemas.openxmlformats.org/officeDocument/2006/relationships" ref="A412" r:id="rId822"/>
    <hyperlink xmlns:r="http://schemas.openxmlformats.org/officeDocument/2006/relationships" ref="B412" r:id="rId823"/>
    <hyperlink xmlns:r="http://schemas.openxmlformats.org/officeDocument/2006/relationships" ref="A413" r:id="rId824"/>
    <hyperlink xmlns:r="http://schemas.openxmlformats.org/officeDocument/2006/relationships" ref="B413" r:id="rId825"/>
    <hyperlink xmlns:r="http://schemas.openxmlformats.org/officeDocument/2006/relationships" ref="A414" r:id="rId826"/>
    <hyperlink xmlns:r="http://schemas.openxmlformats.org/officeDocument/2006/relationships" ref="B414" r:id="rId827"/>
    <hyperlink xmlns:r="http://schemas.openxmlformats.org/officeDocument/2006/relationships" ref="A415" r:id="rId828"/>
    <hyperlink xmlns:r="http://schemas.openxmlformats.org/officeDocument/2006/relationships" ref="B415" r:id="rId829"/>
    <hyperlink xmlns:r="http://schemas.openxmlformats.org/officeDocument/2006/relationships" ref="A416" r:id="rId830"/>
    <hyperlink xmlns:r="http://schemas.openxmlformats.org/officeDocument/2006/relationships" ref="B416" r:id="rId831"/>
    <hyperlink xmlns:r="http://schemas.openxmlformats.org/officeDocument/2006/relationships" ref="A417" r:id="rId832"/>
    <hyperlink xmlns:r="http://schemas.openxmlformats.org/officeDocument/2006/relationships" ref="B417" r:id="rId833"/>
    <hyperlink xmlns:r="http://schemas.openxmlformats.org/officeDocument/2006/relationships" ref="A418" r:id="rId834"/>
    <hyperlink xmlns:r="http://schemas.openxmlformats.org/officeDocument/2006/relationships" ref="B418" r:id="rId835"/>
    <hyperlink xmlns:r="http://schemas.openxmlformats.org/officeDocument/2006/relationships" ref="A419" r:id="rId836"/>
    <hyperlink xmlns:r="http://schemas.openxmlformats.org/officeDocument/2006/relationships" ref="B419" r:id="rId837"/>
    <hyperlink xmlns:r="http://schemas.openxmlformats.org/officeDocument/2006/relationships" ref="A420" r:id="rId838"/>
    <hyperlink xmlns:r="http://schemas.openxmlformats.org/officeDocument/2006/relationships" ref="B420" r:id="rId839"/>
    <hyperlink xmlns:r="http://schemas.openxmlformats.org/officeDocument/2006/relationships" ref="A421" r:id="rId840"/>
    <hyperlink xmlns:r="http://schemas.openxmlformats.org/officeDocument/2006/relationships" ref="B421" r:id="rId841"/>
    <hyperlink xmlns:r="http://schemas.openxmlformats.org/officeDocument/2006/relationships" ref="A422" r:id="rId842"/>
    <hyperlink xmlns:r="http://schemas.openxmlformats.org/officeDocument/2006/relationships" ref="B422" r:id="rId843"/>
    <hyperlink xmlns:r="http://schemas.openxmlformats.org/officeDocument/2006/relationships" ref="A423" r:id="rId844"/>
    <hyperlink xmlns:r="http://schemas.openxmlformats.org/officeDocument/2006/relationships" ref="B423" r:id="rId845"/>
    <hyperlink xmlns:r="http://schemas.openxmlformats.org/officeDocument/2006/relationships" ref="A424" r:id="rId846"/>
    <hyperlink xmlns:r="http://schemas.openxmlformats.org/officeDocument/2006/relationships" ref="B424" r:id="rId847"/>
    <hyperlink xmlns:r="http://schemas.openxmlformats.org/officeDocument/2006/relationships" ref="A425" r:id="rId848"/>
    <hyperlink xmlns:r="http://schemas.openxmlformats.org/officeDocument/2006/relationships" ref="B425" r:id="rId849"/>
    <hyperlink xmlns:r="http://schemas.openxmlformats.org/officeDocument/2006/relationships" ref="A426" r:id="rId850"/>
    <hyperlink xmlns:r="http://schemas.openxmlformats.org/officeDocument/2006/relationships" ref="B426" r:id="rId851"/>
    <hyperlink xmlns:r="http://schemas.openxmlformats.org/officeDocument/2006/relationships" ref="A427" r:id="rId852"/>
    <hyperlink xmlns:r="http://schemas.openxmlformats.org/officeDocument/2006/relationships" ref="B427" r:id="rId853"/>
    <hyperlink xmlns:r="http://schemas.openxmlformats.org/officeDocument/2006/relationships" ref="A428" r:id="rId854"/>
    <hyperlink xmlns:r="http://schemas.openxmlformats.org/officeDocument/2006/relationships" ref="B428" r:id="rId855"/>
    <hyperlink xmlns:r="http://schemas.openxmlformats.org/officeDocument/2006/relationships" ref="A429" r:id="rId856"/>
    <hyperlink xmlns:r="http://schemas.openxmlformats.org/officeDocument/2006/relationships" ref="B429" r:id="rId857"/>
    <hyperlink xmlns:r="http://schemas.openxmlformats.org/officeDocument/2006/relationships" ref="A430" r:id="rId858"/>
    <hyperlink xmlns:r="http://schemas.openxmlformats.org/officeDocument/2006/relationships" ref="B430" r:id="rId859"/>
    <hyperlink xmlns:r="http://schemas.openxmlformats.org/officeDocument/2006/relationships" ref="A431" r:id="rId860"/>
    <hyperlink xmlns:r="http://schemas.openxmlformats.org/officeDocument/2006/relationships" ref="B431" r:id="rId861"/>
    <hyperlink xmlns:r="http://schemas.openxmlformats.org/officeDocument/2006/relationships" ref="A432" r:id="rId862"/>
    <hyperlink xmlns:r="http://schemas.openxmlformats.org/officeDocument/2006/relationships" ref="B432" r:id="rId863"/>
    <hyperlink xmlns:r="http://schemas.openxmlformats.org/officeDocument/2006/relationships" ref="A433" r:id="rId864"/>
    <hyperlink xmlns:r="http://schemas.openxmlformats.org/officeDocument/2006/relationships" ref="B433" r:id="rId865"/>
    <hyperlink xmlns:r="http://schemas.openxmlformats.org/officeDocument/2006/relationships" ref="A434" r:id="rId866"/>
    <hyperlink xmlns:r="http://schemas.openxmlformats.org/officeDocument/2006/relationships" ref="B434" r:id="rId867"/>
    <hyperlink xmlns:r="http://schemas.openxmlformats.org/officeDocument/2006/relationships" ref="A435" r:id="rId868"/>
    <hyperlink xmlns:r="http://schemas.openxmlformats.org/officeDocument/2006/relationships" ref="B435" r:id="rId869"/>
    <hyperlink xmlns:r="http://schemas.openxmlformats.org/officeDocument/2006/relationships" ref="A436" r:id="rId870"/>
    <hyperlink xmlns:r="http://schemas.openxmlformats.org/officeDocument/2006/relationships" ref="B436" r:id="rId871"/>
    <hyperlink xmlns:r="http://schemas.openxmlformats.org/officeDocument/2006/relationships" ref="A437" r:id="rId872"/>
    <hyperlink xmlns:r="http://schemas.openxmlformats.org/officeDocument/2006/relationships" ref="B437" r:id="rId873"/>
    <hyperlink xmlns:r="http://schemas.openxmlformats.org/officeDocument/2006/relationships" ref="A438" r:id="rId874"/>
    <hyperlink xmlns:r="http://schemas.openxmlformats.org/officeDocument/2006/relationships" ref="B438" r:id="rId875"/>
    <hyperlink xmlns:r="http://schemas.openxmlformats.org/officeDocument/2006/relationships" ref="A439" r:id="rId876"/>
    <hyperlink xmlns:r="http://schemas.openxmlformats.org/officeDocument/2006/relationships" ref="B439" r:id="rId877"/>
    <hyperlink xmlns:r="http://schemas.openxmlformats.org/officeDocument/2006/relationships" ref="A440" r:id="rId878"/>
    <hyperlink xmlns:r="http://schemas.openxmlformats.org/officeDocument/2006/relationships" ref="B440" r:id="rId879"/>
    <hyperlink xmlns:r="http://schemas.openxmlformats.org/officeDocument/2006/relationships" ref="A441" r:id="rId880"/>
    <hyperlink xmlns:r="http://schemas.openxmlformats.org/officeDocument/2006/relationships" ref="B441" r:id="rId881"/>
    <hyperlink xmlns:r="http://schemas.openxmlformats.org/officeDocument/2006/relationships" ref="A442" r:id="rId882"/>
    <hyperlink xmlns:r="http://schemas.openxmlformats.org/officeDocument/2006/relationships" ref="B442" r:id="rId883"/>
    <hyperlink xmlns:r="http://schemas.openxmlformats.org/officeDocument/2006/relationships" ref="A443" r:id="rId884"/>
    <hyperlink xmlns:r="http://schemas.openxmlformats.org/officeDocument/2006/relationships" ref="B443" r:id="rId885"/>
    <hyperlink xmlns:r="http://schemas.openxmlformats.org/officeDocument/2006/relationships" ref="A444" r:id="rId886"/>
    <hyperlink xmlns:r="http://schemas.openxmlformats.org/officeDocument/2006/relationships" ref="B444" r:id="rId887"/>
    <hyperlink xmlns:r="http://schemas.openxmlformats.org/officeDocument/2006/relationships" ref="A445" r:id="rId888"/>
    <hyperlink xmlns:r="http://schemas.openxmlformats.org/officeDocument/2006/relationships" ref="B445" r:id="rId889"/>
    <hyperlink xmlns:r="http://schemas.openxmlformats.org/officeDocument/2006/relationships" ref="A446" r:id="rId890"/>
    <hyperlink xmlns:r="http://schemas.openxmlformats.org/officeDocument/2006/relationships" ref="B446" r:id="rId891"/>
    <hyperlink xmlns:r="http://schemas.openxmlformats.org/officeDocument/2006/relationships" ref="A447" r:id="rId892"/>
    <hyperlink xmlns:r="http://schemas.openxmlformats.org/officeDocument/2006/relationships" ref="B447" r:id="rId893"/>
    <hyperlink xmlns:r="http://schemas.openxmlformats.org/officeDocument/2006/relationships" ref="A448" r:id="rId894"/>
    <hyperlink xmlns:r="http://schemas.openxmlformats.org/officeDocument/2006/relationships" ref="B448" r:id="rId895"/>
    <hyperlink xmlns:r="http://schemas.openxmlformats.org/officeDocument/2006/relationships" ref="A449" r:id="rId896"/>
    <hyperlink xmlns:r="http://schemas.openxmlformats.org/officeDocument/2006/relationships" ref="B449" r:id="rId897"/>
    <hyperlink xmlns:r="http://schemas.openxmlformats.org/officeDocument/2006/relationships" ref="A450" r:id="rId898"/>
    <hyperlink xmlns:r="http://schemas.openxmlformats.org/officeDocument/2006/relationships" ref="B450" r:id="rId899"/>
    <hyperlink xmlns:r="http://schemas.openxmlformats.org/officeDocument/2006/relationships" ref="A451" r:id="rId900"/>
    <hyperlink xmlns:r="http://schemas.openxmlformats.org/officeDocument/2006/relationships" ref="B451" r:id="rId901"/>
    <hyperlink xmlns:r="http://schemas.openxmlformats.org/officeDocument/2006/relationships" ref="A452" r:id="rId902"/>
    <hyperlink xmlns:r="http://schemas.openxmlformats.org/officeDocument/2006/relationships" ref="B452" r:id="rId903"/>
    <hyperlink xmlns:r="http://schemas.openxmlformats.org/officeDocument/2006/relationships" ref="A453" r:id="rId904"/>
    <hyperlink xmlns:r="http://schemas.openxmlformats.org/officeDocument/2006/relationships" ref="B453" r:id="rId905"/>
    <hyperlink xmlns:r="http://schemas.openxmlformats.org/officeDocument/2006/relationships" ref="A454" r:id="rId906"/>
    <hyperlink xmlns:r="http://schemas.openxmlformats.org/officeDocument/2006/relationships" ref="B454" r:id="rId907"/>
    <hyperlink xmlns:r="http://schemas.openxmlformats.org/officeDocument/2006/relationships" ref="A455" r:id="rId908"/>
    <hyperlink xmlns:r="http://schemas.openxmlformats.org/officeDocument/2006/relationships" ref="B455" r:id="rId909"/>
    <hyperlink xmlns:r="http://schemas.openxmlformats.org/officeDocument/2006/relationships" ref="A456" r:id="rId910"/>
    <hyperlink xmlns:r="http://schemas.openxmlformats.org/officeDocument/2006/relationships" ref="B456" r:id="rId911"/>
    <hyperlink xmlns:r="http://schemas.openxmlformats.org/officeDocument/2006/relationships" ref="A457" r:id="rId912"/>
    <hyperlink xmlns:r="http://schemas.openxmlformats.org/officeDocument/2006/relationships" ref="B457" r:id="rId913"/>
    <hyperlink xmlns:r="http://schemas.openxmlformats.org/officeDocument/2006/relationships" ref="A458" r:id="rId914"/>
    <hyperlink xmlns:r="http://schemas.openxmlformats.org/officeDocument/2006/relationships" ref="B458" r:id="rId915"/>
    <hyperlink xmlns:r="http://schemas.openxmlformats.org/officeDocument/2006/relationships" ref="A459" r:id="rId916"/>
    <hyperlink xmlns:r="http://schemas.openxmlformats.org/officeDocument/2006/relationships" ref="B459" r:id="rId917"/>
    <hyperlink xmlns:r="http://schemas.openxmlformats.org/officeDocument/2006/relationships" ref="A460" r:id="rId918"/>
    <hyperlink xmlns:r="http://schemas.openxmlformats.org/officeDocument/2006/relationships" ref="B460" r:id="rId919"/>
    <hyperlink xmlns:r="http://schemas.openxmlformats.org/officeDocument/2006/relationships" ref="A461" r:id="rId920"/>
    <hyperlink xmlns:r="http://schemas.openxmlformats.org/officeDocument/2006/relationships" ref="B461" r:id="rId921"/>
    <hyperlink xmlns:r="http://schemas.openxmlformats.org/officeDocument/2006/relationships" ref="A462" r:id="rId922"/>
    <hyperlink xmlns:r="http://schemas.openxmlformats.org/officeDocument/2006/relationships" ref="B462" r:id="rId923"/>
    <hyperlink xmlns:r="http://schemas.openxmlformats.org/officeDocument/2006/relationships" ref="A463" r:id="rId924"/>
    <hyperlink xmlns:r="http://schemas.openxmlformats.org/officeDocument/2006/relationships" ref="B463" r:id="rId925"/>
    <hyperlink xmlns:r="http://schemas.openxmlformats.org/officeDocument/2006/relationships" ref="A464" r:id="rId926"/>
    <hyperlink xmlns:r="http://schemas.openxmlformats.org/officeDocument/2006/relationships" ref="B464" r:id="rId927"/>
    <hyperlink xmlns:r="http://schemas.openxmlformats.org/officeDocument/2006/relationships" ref="A465" r:id="rId928"/>
    <hyperlink xmlns:r="http://schemas.openxmlformats.org/officeDocument/2006/relationships" ref="B465" r:id="rId929"/>
    <hyperlink xmlns:r="http://schemas.openxmlformats.org/officeDocument/2006/relationships" ref="A466" r:id="rId930"/>
    <hyperlink xmlns:r="http://schemas.openxmlformats.org/officeDocument/2006/relationships" ref="B466" r:id="rId931"/>
    <hyperlink xmlns:r="http://schemas.openxmlformats.org/officeDocument/2006/relationships" ref="A467" r:id="rId932"/>
    <hyperlink xmlns:r="http://schemas.openxmlformats.org/officeDocument/2006/relationships" ref="B467" r:id="rId933"/>
    <hyperlink xmlns:r="http://schemas.openxmlformats.org/officeDocument/2006/relationships" ref="A468" r:id="rId934"/>
    <hyperlink xmlns:r="http://schemas.openxmlformats.org/officeDocument/2006/relationships" ref="B468" r:id="rId935"/>
    <hyperlink xmlns:r="http://schemas.openxmlformats.org/officeDocument/2006/relationships" ref="A469" r:id="rId936"/>
    <hyperlink xmlns:r="http://schemas.openxmlformats.org/officeDocument/2006/relationships" ref="B469" r:id="rId937"/>
    <hyperlink xmlns:r="http://schemas.openxmlformats.org/officeDocument/2006/relationships" ref="A470" r:id="rId938"/>
    <hyperlink xmlns:r="http://schemas.openxmlformats.org/officeDocument/2006/relationships" ref="B470" r:id="rId939"/>
    <hyperlink xmlns:r="http://schemas.openxmlformats.org/officeDocument/2006/relationships" ref="A471" r:id="rId940"/>
    <hyperlink xmlns:r="http://schemas.openxmlformats.org/officeDocument/2006/relationships" ref="B471" r:id="rId941"/>
    <hyperlink xmlns:r="http://schemas.openxmlformats.org/officeDocument/2006/relationships" ref="A472" r:id="rId942"/>
    <hyperlink xmlns:r="http://schemas.openxmlformats.org/officeDocument/2006/relationships" ref="B472" r:id="rId943"/>
    <hyperlink xmlns:r="http://schemas.openxmlformats.org/officeDocument/2006/relationships" ref="A473" r:id="rId944"/>
    <hyperlink xmlns:r="http://schemas.openxmlformats.org/officeDocument/2006/relationships" ref="B473" r:id="rId945"/>
    <hyperlink xmlns:r="http://schemas.openxmlformats.org/officeDocument/2006/relationships" ref="A474" r:id="rId946"/>
    <hyperlink xmlns:r="http://schemas.openxmlformats.org/officeDocument/2006/relationships" ref="B474" r:id="rId947"/>
    <hyperlink xmlns:r="http://schemas.openxmlformats.org/officeDocument/2006/relationships" ref="A475" r:id="rId948"/>
    <hyperlink xmlns:r="http://schemas.openxmlformats.org/officeDocument/2006/relationships" ref="B475" r:id="rId949"/>
    <hyperlink xmlns:r="http://schemas.openxmlformats.org/officeDocument/2006/relationships" ref="A476" r:id="rId950"/>
    <hyperlink xmlns:r="http://schemas.openxmlformats.org/officeDocument/2006/relationships" ref="B476" r:id="rId951"/>
    <hyperlink xmlns:r="http://schemas.openxmlformats.org/officeDocument/2006/relationships" ref="A477" r:id="rId952"/>
    <hyperlink xmlns:r="http://schemas.openxmlformats.org/officeDocument/2006/relationships" ref="B477" r:id="rId953"/>
    <hyperlink xmlns:r="http://schemas.openxmlformats.org/officeDocument/2006/relationships" ref="A478" r:id="rId954"/>
    <hyperlink xmlns:r="http://schemas.openxmlformats.org/officeDocument/2006/relationships" ref="B478" r:id="rId955"/>
    <hyperlink xmlns:r="http://schemas.openxmlformats.org/officeDocument/2006/relationships" ref="A479" r:id="rId956"/>
    <hyperlink xmlns:r="http://schemas.openxmlformats.org/officeDocument/2006/relationships" ref="B479" r:id="rId957"/>
    <hyperlink xmlns:r="http://schemas.openxmlformats.org/officeDocument/2006/relationships" ref="A480" r:id="rId958"/>
    <hyperlink xmlns:r="http://schemas.openxmlformats.org/officeDocument/2006/relationships" ref="B480" r:id="rId959"/>
    <hyperlink xmlns:r="http://schemas.openxmlformats.org/officeDocument/2006/relationships" ref="A481" r:id="rId960"/>
    <hyperlink xmlns:r="http://schemas.openxmlformats.org/officeDocument/2006/relationships" ref="B481" r:id="rId961"/>
    <hyperlink xmlns:r="http://schemas.openxmlformats.org/officeDocument/2006/relationships" ref="A482" r:id="rId962"/>
    <hyperlink xmlns:r="http://schemas.openxmlformats.org/officeDocument/2006/relationships" ref="B482" r:id="rId963"/>
    <hyperlink xmlns:r="http://schemas.openxmlformats.org/officeDocument/2006/relationships" ref="A483" r:id="rId964"/>
    <hyperlink xmlns:r="http://schemas.openxmlformats.org/officeDocument/2006/relationships" ref="B483" r:id="rId965"/>
    <hyperlink xmlns:r="http://schemas.openxmlformats.org/officeDocument/2006/relationships" ref="A484" r:id="rId966"/>
    <hyperlink xmlns:r="http://schemas.openxmlformats.org/officeDocument/2006/relationships" ref="B484" r:id="rId967"/>
    <hyperlink xmlns:r="http://schemas.openxmlformats.org/officeDocument/2006/relationships" ref="A485" r:id="rId968"/>
    <hyperlink xmlns:r="http://schemas.openxmlformats.org/officeDocument/2006/relationships" ref="B485" r:id="rId969"/>
    <hyperlink xmlns:r="http://schemas.openxmlformats.org/officeDocument/2006/relationships" ref="A486" r:id="rId970"/>
    <hyperlink xmlns:r="http://schemas.openxmlformats.org/officeDocument/2006/relationships" ref="B486" r:id="rId971"/>
    <hyperlink xmlns:r="http://schemas.openxmlformats.org/officeDocument/2006/relationships" ref="A487" r:id="rId972"/>
    <hyperlink xmlns:r="http://schemas.openxmlformats.org/officeDocument/2006/relationships" ref="B487" r:id="rId973"/>
    <hyperlink xmlns:r="http://schemas.openxmlformats.org/officeDocument/2006/relationships" ref="A488" r:id="rId974"/>
    <hyperlink xmlns:r="http://schemas.openxmlformats.org/officeDocument/2006/relationships" ref="B488" r:id="rId975"/>
    <hyperlink xmlns:r="http://schemas.openxmlformats.org/officeDocument/2006/relationships" ref="A489" r:id="rId976"/>
    <hyperlink xmlns:r="http://schemas.openxmlformats.org/officeDocument/2006/relationships" ref="B489" r:id="rId977"/>
    <hyperlink xmlns:r="http://schemas.openxmlformats.org/officeDocument/2006/relationships" ref="A490" r:id="rId978"/>
    <hyperlink xmlns:r="http://schemas.openxmlformats.org/officeDocument/2006/relationships" ref="B490" r:id="rId979"/>
    <hyperlink xmlns:r="http://schemas.openxmlformats.org/officeDocument/2006/relationships" ref="A491" r:id="rId980"/>
    <hyperlink xmlns:r="http://schemas.openxmlformats.org/officeDocument/2006/relationships" ref="B491" r:id="rId981"/>
    <hyperlink xmlns:r="http://schemas.openxmlformats.org/officeDocument/2006/relationships" ref="A492" r:id="rId982"/>
    <hyperlink xmlns:r="http://schemas.openxmlformats.org/officeDocument/2006/relationships" ref="B492" r:id="rId983"/>
    <hyperlink xmlns:r="http://schemas.openxmlformats.org/officeDocument/2006/relationships" ref="A493" r:id="rId984"/>
    <hyperlink xmlns:r="http://schemas.openxmlformats.org/officeDocument/2006/relationships" ref="B493" r:id="rId985"/>
    <hyperlink xmlns:r="http://schemas.openxmlformats.org/officeDocument/2006/relationships" ref="A494" r:id="rId986"/>
    <hyperlink xmlns:r="http://schemas.openxmlformats.org/officeDocument/2006/relationships" ref="B494" r:id="rId987"/>
    <hyperlink xmlns:r="http://schemas.openxmlformats.org/officeDocument/2006/relationships" ref="A495" r:id="rId988"/>
    <hyperlink xmlns:r="http://schemas.openxmlformats.org/officeDocument/2006/relationships" ref="B495" r:id="rId989"/>
    <hyperlink xmlns:r="http://schemas.openxmlformats.org/officeDocument/2006/relationships" ref="A496" r:id="rId990"/>
    <hyperlink xmlns:r="http://schemas.openxmlformats.org/officeDocument/2006/relationships" ref="B496" r:id="rId991"/>
    <hyperlink xmlns:r="http://schemas.openxmlformats.org/officeDocument/2006/relationships" ref="A497" r:id="rId992"/>
    <hyperlink xmlns:r="http://schemas.openxmlformats.org/officeDocument/2006/relationships" ref="B497" r:id="rId993"/>
    <hyperlink xmlns:r="http://schemas.openxmlformats.org/officeDocument/2006/relationships" ref="A498" r:id="rId994"/>
    <hyperlink xmlns:r="http://schemas.openxmlformats.org/officeDocument/2006/relationships" ref="B498" r:id="rId995"/>
    <hyperlink xmlns:r="http://schemas.openxmlformats.org/officeDocument/2006/relationships" ref="A499" r:id="rId996"/>
    <hyperlink xmlns:r="http://schemas.openxmlformats.org/officeDocument/2006/relationships" ref="B499" r:id="rId997"/>
    <hyperlink xmlns:r="http://schemas.openxmlformats.org/officeDocument/2006/relationships" ref="A500" r:id="rId998"/>
    <hyperlink xmlns:r="http://schemas.openxmlformats.org/officeDocument/2006/relationships" ref="B500" r:id="rId999"/>
    <hyperlink xmlns:r="http://schemas.openxmlformats.org/officeDocument/2006/relationships" ref="A501" r:id="rId1000"/>
    <hyperlink xmlns:r="http://schemas.openxmlformats.org/officeDocument/2006/relationships" ref="B501" r:id="rId1001"/>
    <hyperlink xmlns:r="http://schemas.openxmlformats.org/officeDocument/2006/relationships" ref="A502" r:id="rId1002"/>
    <hyperlink xmlns:r="http://schemas.openxmlformats.org/officeDocument/2006/relationships" ref="B502" r:id="rId1003"/>
    <hyperlink xmlns:r="http://schemas.openxmlformats.org/officeDocument/2006/relationships" ref="A503" r:id="rId1004"/>
    <hyperlink xmlns:r="http://schemas.openxmlformats.org/officeDocument/2006/relationships" ref="B503" r:id="rId1005"/>
    <hyperlink xmlns:r="http://schemas.openxmlformats.org/officeDocument/2006/relationships" ref="A504" r:id="rId1006"/>
    <hyperlink xmlns:r="http://schemas.openxmlformats.org/officeDocument/2006/relationships" ref="B504" r:id="rId1007"/>
    <hyperlink xmlns:r="http://schemas.openxmlformats.org/officeDocument/2006/relationships" ref="A505" r:id="rId1008"/>
    <hyperlink xmlns:r="http://schemas.openxmlformats.org/officeDocument/2006/relationships" ref="B505" r:id="rId1009"/>
    <hyperlink xmlns:r="http://schemas.openxmlformats.org/officeDocument/2006/relationships" ref="A506" r:id="rId1010"/>
    <hyperlink xmlns:r="http://schemas.openxmlformats.org/officeDocument/2006/relationships" ref="B506" r:id="rId1011"/>
    <hyperlink xmlns:r="http://schemas.openxmlformats.org/officeDocument/2006/relationships" ref="A507" r:id="rId1012"/>
    <hyperlink xmlns:r="http://schemas.openxmlformats.org/officeDocument/2006/relationships" ref="B507" r:id="rId1013"/>
    <hyperlink xmlns:r="http://schemas.openxmlformats.org/officeDocument/2006/relationships" ref="A508" r:id="rId1014"/>
    <hyperlink xmlns:r="http://schemas.openxmlformats.org/officeDocument/2006/relationships" ref="B508" r:id="rId1015"/>
    <hyperlink xmlns:r="http://schemas.openxmlformats.org/officeDocument/2006/relationships" ref="A509" r:id="rId1016"/>
    <hyperlink xmlns:r="http://schemas.openxmlformats.org/officeDocument/2006/relationships" ref="B509" r:id="rId1017"/>
    <hyperlink xmlns:r="http://schemas.openxmlformats.org/officeDocument/2006/relationships" ref="A510" r:id="rId1018"/>
    <hyperlink xmlns:r="http://schemas.openxmlformats.org/officeDocument/2006/relationships" ref="B510" r:id="rId1019"/>
    <hyperlink xmlns:r="http://schemas.openxmlformats.org/officeDocument/2006/relationships" ref="A511" r:id="rId1020"/>
    <hyperlink xmlns:r="http://schemas.openxmlformats.org/officeDocument/2006/relationships" ref="B511" r:id="rId1021"/>
    <hyperlink xmlns:r="http://schemas.openxmlformats.org/officeDocument/2006/relationships" ref="A512" r:id="rId1022"/>
    <hyperlink xmlns:r="http://schemas.openxmlformats.org/officeDocument/2006/relationships" ref="B512" r:id="rId1023"/>
    <hyperlink xmlns:r="http://schemas.openxmlformats.org/officeDocument/2006/relationships" ref="A513" r:id="rId1024"/>
    <hyperlink xmlns:r="http://schemas.openxmlformats.org/officeDocument/2006/relationships" ref="B513" r:id="rId1025"/>
    <hyperlink xmlns:r="http://schemas.openxmlformats.org/officeDocument/2006/relationships" ref="A514" r:id="rId1026"/>
    <hyperlink xmlns:r="http://schemas.openxmlformats.org/officeDocument/2006/relationships" ref="B514" r:id="rId1027"/>
    <hyperlink xmlns:r="http://schemas.openxmlformats.org/officeDocument/2006/relationships" ref="A515" r:id="rId1028"/>
    <hyperlink xmlns:r="http://schemas.openxmlformats.org/officeDocument/2006/relationships" ref="B515" r:id="rId1029"/>
    <hyperlink xmlns:r="http://schemas.openxmlformats.org/officeDocument/2006/relationships" ref="A516" r:id="rId1030"/>
    <hyperlink xmlns:r="http://schemas.openxmlformats.org/officeDocument/2006/relationships" ref="B516" r:id="rId1031"/>
    <hyperlink xmlns:r="http://schemas.openxmlformats.org/officeDocument/2006/relationships" ref="A517" r:id="rId1032"/>
    <hyperlink xmlns:r="http://schemas.openxmlformats.org/officeDocument/2006/relationships" ref="B517" r:id="rId1033"/>
    <hyperlink xmlns:r="http://schemas.openxmlformats.org/officeDocument/2006/relationships" ref="A518" r:id="rId1034"/>
    <hyperlink xmlns:r="http://schemas.openxmlformats.org/officeDocument/2006/relationships" ref="B518" r:id="rId1035"/>
    <hyperlink xmlns:r="http://schemas.openxmlformats.org/officeDocument/2006/relationships" ref="A519" r:id="rId1036"/>
    <hyperlink xmlns:r="http://schemas.openxmlformats.org/officeDocument/2006/relationships" ref="B519" r:id="rId1037"/>
    <hyperlink xmlns:r="http://schemas.openxmlformats.org/officeDocument/2006/relationships" ref="A520" r:id="rId1038"/>
    <hyperlink xmlns:r="http://schemas.openxmlformats.org/officeDocument/2006/relationships" ref="B520" r:id="rId1039"/>
    <hyperlink xmlns:r="http://schemas.openxmlformats.org/officeDocument/2006/relationships" ref="A521" r:id="rId1040"/>
    <hyperlink xmlns:r="http://schemas.openxmlformats.org/officeDocument/2006/relationships" ref="B521" r:id="rId1041"/>
    <hyperlink xmlns:r="http://schemas.openxmlformats.org/officeDocument/2006/relationships" ref="A522" r:id="rId1042"/>
    <hyperlink xmlns:r="http://schemas.openxmlformats.org/officeDocument/2006/relationships" ref="B522" r:id="rId1043"/>
    <hyperlink xmlns:r="http://schemas.openxmlformats.org/officeDocument/2006/relationships" ref="A523" r:id="rId1044"/>
    <hyperlink xmlns:r="http://schemas.openxmlformats.org/officeDocument/2006/relationships" ref="B523" r:id="rId1045"/>
    <hyperlink xmlns:r="http://schemas.openxmlformats.org/officeDocument/2006/relationships" ref="A524" r:id="rId1046"/>
    <hyperlink xmlns:r="http://schemas.openxmlformats.org/officeDocument/2006/relationships" ref="B524" r:id="rId1047"/>
    <hyperlink xmlns:r="http://schemas.openxmlformats.org/officeDocument/2006/relationships" ref="A525" r:id="rId1048"/>
    <hyperlink xmlns:r="http://schemas.openxmlformats.org/officeDocument/2006/relationships" ref="B525" r:id="rId1049"/>
    <hyperlink xmlns:r="http://schemas.openxmlformats.org/officeDocument/2006/relationships" ref="A526" r:id="rId1050"/>
    <hyperlink xmlns:r="http://schemas.openxmlformats.org/officeDocument/2006/relationships" ref="B526" r:id="rId1051"/>
    <hyperlink xmlns:r="http://schemas.openxmlformats.org/officeDocument/2006/relationships" ref="A527" r:id="rId1052"/>
    <hyperlink xmlns:r="http://schemas.openxmlformats.org/officeDocument/2006/relationships" ref="B527" r:id="rId1053"/>
    <hyperlink xmlns:r="http://schemas.openxmlformats.org/officeDocument/2006/relationships" ref="A528" r:id="rId1054"/>
    <hyperlink xmlns:r="http://schemas.openxmlformats.org/officeDocument/2006/relationships" ref="B528" r:id="rId1055"/>
    <hyperlink xmlns:r="http://schemas.openxmlformats.org/officeDocument/2006/relationships" ref="A529" r:id="rId1056"/>
    <hyperlink xmlns:r="http://schemas.openxmlformats.org/officeDocument/2006/relationships" ref="B529" r:id="rId1057"/>
    <hyperlink xmlns:r="http://schemas.openxmlformats.org/officeDocument/2006/relationships" ref="A530" r:id="rId1058"/>
    <hyperlink xmlns:r="http://schemas.openxmlformats.org/officeDocument/2006/relationships" ref="B530" r:id="rId1059"/>
    <hyperlink xmlns:r="http://schemas.openxmlformats.org/officeDocument/2006/relationships" ref="A531" r:id="rId1060"/>
    <hyperlink xmlns:r="http://schemas.openxmlformats.org/officeDocument/2006/relationships" ref="B531" r:id="rId1061"/>
    <hyperlink xmlns:r="http://schemas.openxmlformats.org/officeDocument/2006/relationships" ref="A532" r:id="rId1062"/>
    <hyperlink xmlns:r="http://schemas.openxmlformats.org/officeDocument/2006/relationships" ref="B532" r:id="rId1063"/>
    <hyperlink xmlns:r="http://schemas.openxmlformats.org/officeDocument/2006/relationships" ref="A533" r:id="rId1064"/>
    <hyperlink xmlns:r="http://schemas.openxmlformats.org/officeDocument/2006/relationships" ref="B533" r:id="rId1065"/>
    <hyperlink xmlns:r="http://schemas.openxmlformats.org/officeDocument/2006/relationships" ref="A534" r:id="rId1066"/>
    <hyperlink xmlns:r="http://schemas.openxmlformats.org/officeDocument/2006/relationships" ref="B534" r:id="rId1067"/>
    <hyperlink xmlns:r="http://schemas.openxmlformats.org/officeDocument/2006/relationships" ref="A535" r:id="rId1068"/>
    <hyperlink xmlns:r="http://schemas.openxmlformats.org/officeDocument/2006/relationships" ref="B535" r:id="rId1069"/>
    <hyperlink xmlns:r="http://schemas.openxmlformats.org/officeDocument/2006/relationships" ref="A536" r:id="rId1070"/>
    <hyperlink xmlns:r="http://schemas.openxmlformats.org/officeDocument/2006/relationships" ref="B536" r:id="rId1071"/>
    <hyperlink xmlns:r="http://schemas.openxmlformats.org/officeDocument/2006/relationships" ref="A537" r:id="rId1072"/>
    <hyperlink xmlns:r="http://schemas.openxmlformats.org/officeDocument/2006/relationships" ref="B537" r:id="rId1073"/>
    <hyperlink xmlns:r="http://schemas.openxmlformats.org/officeDocument/2006/relationships" ref="A538" r:id="rId1074"/>
    <hyperlink xmlns:r="http://schemas.openxmlformats.org/officeDocument/2006/relationships" ref="B538" r:id="rId1075"/>
    <hyperlink xmlns:r="http://schemas.openxmlformats.org/officeDocument/2006/relationships" ref="A539" r:id="rId1076"/>
    <hyperlink xmlns:r="http://schemas.openxmlformats.org/officeDocument/2006/relationships" ref="B539" r:id="rId1077"/>
    <hyperlink xmlns:r="http://schemas.openxmlformats.org/officeDocument/2006/relationships" ref="A540" r:id="rId1078"/>
    <hyperlink xmlns:r="http://schemas.openxmlformats.org/officeDocument/2006/relationships" ref="B540" r:id="rId1079"/>
    <hyperlink xmlns:r="http://schemas.openxmlformats.org/officeDocument/2006/relationships" ref="A541" r:id="rId1080"/>
    <hyperlink xmlns:r="http://schemas.openxmlformats.org/officeDocument/2006/relationships" ref="B541" r:id="rId1081"/>
    <hyperlink xmlns:r="http://schemas.openxmlformats.org/officeDocument/2006/relationships" ref="A542" r:id="rId1082"/>
    <hyperlink xmlns:r="http://schemas.openxmlformats.org/officeDocument/2006/relationships" ref="B542" r:id="rId1083"/>
    <hyperlink xmlns:r="http://schemas.openxmlformats.org/officeDocument/2006/relationships" ref="A543" r:id="rId1084"/>
    <hyperlink xmlns:r="http://schemas.openxmlformats.org/officeDocument/2006/relationships" ref="B543" r:id="rId1085"/>
    <hyperlink xmlns:r="http://schemas.openxmlformats.org/officeDocument/2006/relationships" ref="A544" r:id="rId1086"/>
    <hyperlink xmlns:r="http://schemas.openxmlformats.org/officeDocument/2006/relationships" ref="B544" r:id="rId1087"/>
    <hyperlink xmlns:r="http://schemas.openxmlformats.org/officeDocument/2006/relationships" ref="A545" r:id="rId1088"/>
    <hyperlink xmlns:r="http://schemas.openxmlformats.org/officeDocument/2006/relationships" ref="B545" r:id="rId1089"/>
    <hyperlink xmlns:r="http://schemas.openxmlformats.org/officeDocument/2006/relationships" ref="A546" r:id="rId1090"/>
    <hyperlink xmlns:r="http://schemas.openxmlformats.org/officeDocument/2006/relationships" ref="B546" r:id="rId1091"/>
    <hyperlink xmlns:r="http://schemas.openxmlformats.org/officeDocument/2006/relationships" ref="A547" r:id="rId1092"/>
    <hyperlink xmlns:r="http://schemas.openxmlformats.org/officeDocument/2006/relationships" ref="B547" r:id="rId1093"/>
    <hyperlink xmlns:r="http://schemas.openxmlformats.org/officeDocument/2006/relationships" ref="A548" r:id="rId1094"/>
    <hyperlink xmlns:r="http://schemas.openxmlformats.org/officeDocument/2006/relationships" ref="B548" r:id="rId1095"/>
    <hyperlink xmlns:r="http://schemas.openxmlformats.org/officeDocument/2006/relationships" ref="A549" r:id="rId1096"/>
    <hyperlink xmlns:r="http://schemas.openxmlformats.org/officeDocument/2006/relationships" ref="B549" r:id="rId1097"/>
    <hyperlink xmlns:r="http://schemas.openxmlformats.org/officeDocument/2006/relationships" ref="A550" r:id="rId1098"/>
    <hyperlink xmlns:r="http://schemas.openxmlformats.org/officeDocument/2006/relationships" ref="B550" r:id="rId1099"/>
    <hyperlink xmlns:r="http://schemas.openxmlformats.org/officeDocument/2006/relationships" ref="A551" r:id="rId1100"/>
    <hyperlink xmlns:r="http://schemas.openxmlformats.org/officeDocument/2006/relationships" ref="B551" r:id="rId1101"/>
    <hyperlink xmlns:r="http://schemas.openxmlformats.org/officeDocument/2006/relationships" ref="A552" r:id="rId1102"/>
    <hyperlink xmlns:r="http://schemas.openxmlformats.org/officeDocument/2006/relationships" ref="B552" r:id="rId1103"/>
    <hyperlink xmlns:r="http://schemas.openxmlformats.org/officeDocument/2006/relationships" ref="A553" r:id="rId1104"/>
    <hyperlink xmlns:r="http://schemas.openxmlformats.org/officeDocument/2006/relationships" ref="B553" r:id="rId1105"/>
    <hyperlink xmlns:r="http://schemas.openxmlformats.org/officeDocument/2006/relationships" ref="A554" r:id="rId1106"/>
    <hyperlink xmlns:r="http://schemas.openxmlformats.org/officeDocument/2006/relationships" ref="B554" r:id="rId1107"/>
    <hyperlink xmlns:r="http://schemas.openxmlformats.org/officeDocument/2006/relationships" ref="A555" r:id="rId1108"/>
    <hyperlink xmlns:r="http://schemas.openxmlformats.org/officeDocument/2006/relationships" ref="B555" r:id="rId1109"/>
    <hyperlink xmlns:r="http://schemas.openxmlformats.org/officeDocument/2006/relationships" ref="A556" r:id="rId1110"/>
    <hyperlink xmlns:r="http://schemas.openxmlformats.org/officeDocument/2006/relationships" ref="B556" r:id="rId1111"/>
    <hyperlink xmlns:r="http://schemas.openxmlformats.org/officeDocument/2006/relationships" ref="A557" r:id="rId1112"/>
    <hyperlink xmlns:r="http://schemas.openxmlformats.org/officeDocument/2006/relationships" ref="B557" r:id="rId1113"/>
    <hyperlink xmlns:r="http://schemas.openxmlformats.org/officeDocument/2006/relationships" ref="A558" r:id="rId1114"/>
    <hyperlink xmlns:r="http://schemas.openxmlformats.org/officeDocument/2006/relationships" ref="B558" r:id="rId1115"/>
    <hyperlink xmlns:r="http://schemas.openxmlformats.org/officeDocument/2006/relationships" ref="A559" r:id="rId1116"/>
    <hyperlink xmlns:r="http://schemas.openxmlformats.org/officeDocument/2006/relationships" ref="B559" r:id="rId1117"/>
    <hyperlink xmlns:r="http://schemas.openxmlformats.org/officeDocument/2006/relationships" ref="A560" r:id="rId1118"/>
    <hyperlink xmlns:r="http://schemas.openxmlformats.org/officeDocument/2006/relationships" ref="B560" r:id="rId1119"/>
    <hyperlink xmlns:r="http://schemas.openxmlformats.org/officeDocument/2006/relationships" ref="A561" r:id="rId1120"/>
    <hyperlink xmlns:r="http://schemas.openxmlformats.org/officeDocument/2006/relationships" ref="B561" r:id="rId1121"/>
    <hyperlink xmlns:r="http://schemas.openxmlformats.org/officeDocument/2006/relationships" ref="A562" r:id="rId1122"/>
    <hyperlink xmlns:r="http://schemas.openxmlformats.org/officeDocument/2006/relationships" ref="B562" r:id="rId1123"/>
    <hyperlink xmlns:r="http://schemas.openxmlformats.org/officeDocument/2006/relationships" ref="A563" r:id="rId1124"/>
    <hyperlink xmlns:r="http://schemas.openxmlformats.org/officeDocument/2006/relationships" ref="B563" r:id="rId1125"/>
    <hyperlink xmlns:r="http://schemas.openxmlformats.org/officeDocument/2006/relationships" ref="A564" r:id="rId1126"/>
    <hyperlink xmlns:r="http://schemas.openxmlformats.org/officeDocument/2006/relationships" ref="B564" r:id="rId1127"/>
    <hyperlink xmlns:r="http://schemas.openxmlformats.org/officeDocument/2006/relationships" ref="A565" r:id="rId1128"/>
    <hyperlink xmlns:r="http://schemas.openxmlformats.org/officeDocument/2006/relationships" ref="B565" r:id="rId1129"/>
    <hyperlink xmlns:r="http://schemas.openxmlformats.org/officeDocument/2006/relationships" ref="A566" r:id="rId1130"/>
    <hyperlink xmlns:r="http://schemas.openxmlformats.org/officeDocument/2006/relationships" ref="B566" r:id="rId1131"/>
    <hyperlink xmlns:r="http://schemas.openxmlformats.org/officeDocument/2006/relationships" ref="A567" r:id="rId1132"/>
    <hyperlink xmlns:r="http://schemas.openxmlformats.org/officeDocument/2006/relationships" ref="B567" r:id="rId1133"/>
    <hyperlink xmlns:r="http://schemas.openxmlformats.org/officeDocument/2006/relationships" ref="A568" r:id="rId1134"/>
    <hyperlink xmlns:r="http://schemas.openxmlformats.org/officeDocument/2006/relationships" ref="B568" r:id="rId1135"/>
    <hyperlink xmlns:r="http://schemas.openxmlformats.org/officeDocument/2006/relationships" ref="A569" r:id="rId1136"/>
    <hyperlink xmlns:r="http://schemas.openxmlformats.org/officeDocument/2006/relationships" ref="B569" r:id="rId1137"/>
    <hyperlink xmlns:r="http://schemas.openxmlformats.org/officeDocument/2006/relationships" ref="A570" r:id="rId1138"/>
    <hyperlink xmlns:r="http://schemas.openxmlformats.org/officeDocument/2006/relationships" ref="B570" r:id="rId1139"/>
    <hyperlink xmlns:r="http://schemas.openxmlformats.org/officeDocument/2006/relationships" ref="A571" r:id="rId1140"/>
    <hyperlink xmlns:r="http://schemas.openxmlformats.org/officeDocument/2006/relationships" ref="B571" r:id="rId1141"/>
    <hyperlink xmlns:r="http://schemas.openxmlformats.org/officeDocument/2006/relationships" ref="A572" r:id="rId1142"/>
    <hyperlink xmlns:r="http://schemas.openxmlformats.org/officeDocument/2006/relationships" ref="B572" r:id="rId1143"/>
    <hyperlink xmlns:r="http://schemas.openxmlformats.org/officeDocument/2006/relationships" ref="A573" r:id="rId1144"/>
    <hyperlink xmlns:r="http://schemas.openxmlformats.org/officeDocument/2006/relationships" ref="B573" r:id="rId1145"/>
    <hyperlink xmlns:r="http://schemas.openxmlformats.org/officeDocument/2006/relationships" ref="A574" r:id="rId1146"/>
    <hyperlink xmlns:r="http://schemas.openxmlformats.org/officeDocument/2006/relationships" ref="B574" r:id="rId1147"/>
    <hyperlink xmlns:r="http://schemas.openxmlformats.org/officeDocument/2006/relationships" ref="A575" r:id="rId1148"/>
    <hyperlink xmlns:r="http://schemas.openxmlformats.org/officeDocument/2006/relationships" ref="B575" r:id="rId1149"/>
    <hyperlink xmlns:r="http://schemas.openxmlformats.org/officeDocument/2006/relationships" ref="A576" r:id="rId1150"/>
    <hyperlink xmlns:r="http://schemas.openxmlformats.org/officeDocument/2006/relationships" ref="B576" r:id="rId1151"/>
    <hyperlink xmlns:r="http://schemas.openxmlformats.org/officeDocument/2006/relationships" ref="A577" r:id="rId1152"/>
    <hyperlink xmlns:r="http://schemas.openxmlformats.org/officeDocument/2006/relationships" ref="B577" r:id="rId1153"/>
    <hyperlink xmlns:r="http://schemas.openxmlformats.org/officeDocument/2006/relationships" ref="A578" r:id="rId1154"/>
    <hyperlink xmlns:r="http://schemas.openxmlformats.org/officeDocument/2006/relationships" ref="B578" r:id="rId1155"/>
    <hyperlink xmlns:r="http://schemas.openxmlformats.org/officeDocument/2006/relationships" ref="A579" r:id="rId1156"/>
    <hyperlink xmlns:r="http://schemas.openxmlformats.org/officeDocument/2006/relationships" ref="B579" r:id="rId1157"/>
    <hyperlink xmlns:r="http://schemas.openxmlformats.org/officeDocument/2006/relationships" ref="A580" r:id="rId1158"/>
    <hyperlink xmlns:r="http://schemas.openxmlformats.org/officeDocument/2006/relationships" ref="B580" r:id="rId1159"/>
    <hyperlink xmlns:r="http://schemas.openxmlformats.org/officeDocument/2006/relationships" ref="A581" r:id="rId1160"/>
    <hyperlink xmlns:r="http://schemas.openxmlformats.org/officeDocument/2006/relationships" ref="B581" r:id="rId1161"/>
    <hyperlink xmlns:r="http://schemas.openxmlformats.org/officeDocument/2006/relationships" ref="A582" r:id="rId1162"/>
    <hyperlink xmlns:r="http://schemas.openxmlformats.org/officeDocument/2006/relationships" ref="B582" r:id="rId1163"/>
    <hyperlink xmlns:r="http://schemas.openxmlformats.org/officeDocument/2006/relationships" ref="A583" r:id="rId1164"/>
    <hyperlink xmlns:r="http://schemas.openxmlformats.org/officeDocument/2006/relationships" ref="B583" r:id="rId1165"/>
    <hyperlink xmlns:r="http://schemas.openxmlformats.org/officeDocument/2006/relationships" ref="A584" r:id="rId1166"/>
    <hyperlink xmlns:r="http://schemas.openxmlformats.org/officeDocument/2006/relationships" ref="B584" r:id="rId1167"/>
    <hyperlink xmlns:r="http://schemas.openxmlformats.org/officeDocument/2006/relationships" ref="A585" r:id="rId1168"/>
    <hyperlink xmlns:r="http://schemas.openxmlformats.org/officeDocument/2006/relationships" ref="B585" r:id="rId1169"/>
    <hyperlink xmlns:r="http://schemas.openxmlformats.org/officeDocument/2006/relationships" ref="A586" r:id="rId1170"/>
    <hyperlink xmlns:r="http://schemas.openxmlformats.org/officeDocument/2006/relationships" ref="B586" r:id="rId1171"/>
    <hyperlink xmlns:r="http://schemas.openxmlformats.org/officeDocument/2006/relationships" ref="A587" r:id="rId1172"/>
    <hyperlink xmlns:r="http://schemas.openxmlformats.org/officeDocument/2006/relationships" ref="B587" r:id="rId1173"/>
    <hyperlink xmlns:r="http://schemas.openxmlformats.org/officeDocument/2006/relationships" ref="A588" r:id="rId1174"/>
    <hyperlink xmlns:r="http://schemas.openxmlformats.org/officeDocument/2006/relationships" ref="B588" r:id="rId1175"/>
    <hyperlink xmlns:r="http://schemas.openxmlformats.org/officeDocument/2006/relationships" ref="A589" r:id="rId1176"/>
    <hyperlink xmlns:r="http://schemas.openxmlformats.org/officeDocument/2006/relationships" ref="B589" r:id="rId1177"/>
    <hyperlink xmlns:r="http://schemas.openxmlformats.org/officeDocument/2006/relationships" ref="A590" r:id="rId1178"/>
    <hyperlink xmlns:r="http://schemas.openxmlformats.org/officeDocument/2006/relationships" ref="B590" r:id="rId1179"/>
    <hyperlink xmlns:r="http://schemas.openxmlformats.org/officeDocument/2006/relationships" ref="A591" r:id="rId1180"/>
    <hyperlink xmlns:r="http://schemas.openxmlformats.org/officeDocument/2006/relationships" ref="B591" r:id="rId1181"/>
    <hyperlink xmlns:r="http://schemas.openxmlformats.org/officeDocument/2006/relationships" ref="A592" r:id="rId1182"/>
    <hyperlink xmlns:r="http://schemas.openxmlformats.org/officeDocument/2006/relationships" ref="B592" r:id="rId1183"/>
    <hyperlink xmlns:r="http://schemas.openxmlformats.org/officeDocument/2006/relationships" ref="A593" r:id="rId1184"/>
    <hyperlink xmlns:r="http://schemas.openxmlformats.org/officeDocument/2006/relationships" ref="B593" r:id="rId1185"/>
    <hyperlink xmlns:r="http://schemas.openxmlformats.org/officeDocument/2006/relationships" ref="A594" r:id="rId1186"/>
    <hyperlink xmlns:r="http://schemas.openxmlformats.org/officeDocument/2006/relationships" ref="B594" r:id="rId1187"/>
    <hyperlink xmlns:r="http://schemas.openxmlformats.org/officeDocument/2006/relationships" ref="A595" r:id="rId1188"/>
    <hyperlink xmlns:r="http://schemas.openxmlformats.org/officeDocument/2006/relationships" ref="B595" r:id="rId1189"/>
    <hyperlink xmlns:r="http://schemas.openxmlformats.org/officeDocument/2006/relationships" ref="A596" r:id="rId1190"/>
    <hyperlink xmlns:r="http://schemas.openxmlformats.org/officeDocument/2006/relationships" ref="B596" r:id="rId1191"/>
    <hyperlink xmlns:r="http://schemas.openxmlformats.org/officeDocument/2006/relationships" ref="A597" r:id="rId1192"/>
    <hyperlink xmlns:r="http://schemas.openxmlformats.org/officeDocument/2006/relationships" ref="B597" r:id="rId1193"/>
    <hyperlink xmlns:r="http://schemas.openxmlformats.org/officeDocument/2006/relationships" ref="A598" r:id="rId1194"/>
    <hyperlink xmlns:r="http://schemas.openxmlformats.org/officeDocument/2006/relationships" ref="B598" r:id="rId1195"/>
    <hyperlink xmlns:r="http://schemas.openxmlformats.org/officeDocument/2006/relationships" ref="A599" r:id="rId1196"/>
    <hyperlink xmlns:r="http://schemas.openxmlformats.org/officeDocument/2006/relationships" ref="B599" r:id="rId1197"/>
    <hyperlink xmlns:r="http://schemas.openxmlformats.org/officeDocument/2006/relationships" ref="A600" r:id="rId1198"/>
    <hyperlink xmlns:r="http://schemas.openxmlformats.org/officeDocument/2006/relationships" ref="B600" r:id="rId1199"/>
    <hyperlink xmlns:r="http://schemas.openxmlformats.org/officeDocument/2006/relationships" ref="A601" r:id="rId1200"/>
    <hyperlink xmlns:r="http://schemas.openxmlformats.org/officeDocument/2006/relationships" ref="B601" r:id="rId1201"/>
    <hyperlink xmlns:r="http://schemas.openxmlformats.org/officeDocument/2006/relationships" ref="A602" r:id="rId1202"/>
    <hyperlink xmlns:r="http://schemas.openxmlformats.org/officeDocument/2006/relationships" ref="B602" r:id="rId1203"/>
    <hyperlink xmlns:r="http://schemas.openxmlformats.org/officeDocument/2006/relationships" ref="A603" r:id="rId1204"/>
    <hyperlink xmlns:r="http://schemas.openxmlformats.org/officeDocument/2006/relationships" ref="B603" r:id="rId1205"/>
    <hyperlink xmlns:r="http://schemas.openxmlformats.org/officeDocument/2006/relationships" ref="A604" r:id="rId1206"/>
    <hyperlink xmlns:r="http://schemas.openxmlformats.org/officeDocument/2006/relationships" ref="B604" r:id="rId1207"/>
    <hyperlink xmlns:r="http://schemas.openxmlformats.org/officeDocument/2006/relationships" ref="A605" r:id="rId1208"/>
    <hyperlink xmlns:r="http://schemas.openxmlformats.org/officeDocument/2006/relationships" ref="B605" r:id="rId1209"/>
    <hyperlink xmlns:r="http://schemas.openxmlformats.org/officeDocument/2006/relationships" ref="A606" r:id="rId1210"/>
    <hyperlink xmlns:r="http://schemas.openxmlformats.org/officeDocument/2006/relationships" ref="B606" r:id="rId1211"/>
    <hyperlink xmlns:r="http://schemas.openxmlformats.org/officeDocument/2006/relationships" ref="A607" r:id="rId1212"/>
    <hyperlink xmlns:r="http://schemas.openxmlformats.org/officeDocument/2006/relationships" ref="B607" r:id="rId1213"/>
    <hyperlink xmlns:r="http://schemas.openxmlformats.org/officeDocument/2006/relationships" ref="A608" r:id="rId1214"/>
    <hyperlink xmlns:r="http://schemas.openxmlformats.org/officeDocument/2006/relationships" ref="B608" r:id="rId1215"/>
    <hyperlink xmlns:r="http://schemas.openxmlformats.org/officeDocument/2006/relationships" ref="A609" r:id="rId1216"/>
    <hyperlink xmlns:r="http://schemas.openxmlformats.org/officeDocument/2006/relationships" ref="B609" r:id="rId1217"/>
    <hyperlink xmlns:r="http://schemas.openxmlformats.org/officeDocument/2006/relationships" ref="A610" r:id="rId1218"/>
    <hyperlink xmlns:r="http://schemas.openxmlformats.org/officeDocument/2006/relationships" ref="B610" r:id="rId1219"/>
    <hyperlink xmlns:r="http://schemas.openxmlformats.org/officeDocument/2006/relationships" ref="A611" r:id="rId1220"/>
    <hyperlink xmlns:r="http://schemas.openxmlformats.org/officeDocument/2006/relationships" ref="B611" r:id="rId1221"/>
    <hyperlink xmlns:r="http://schemas.openxmlformats.org/officeDocument/2006/relationships" ref="A612" r:id="rId1222"/>
    <hyperlink xmlns:r="http://schemas.openxmlformats.org/officeDocument/2006/relationships" ref="B612" r:id="rId1223"/>
    <hyperlink xmlns:r="http://schemas.openxmlformats.org/officeDocument/2006/relationships" ref="A613" r:id="rId1224"/>
    <hyperlink xmlns:r="http://schemas.openxmlformats.org/officeDocument/2006/relationships" ref="B613" r:id="rId1225"/>
    <hyperlink xmlns:r="http://schemas.openxmlformats.org/officeDocument/2006/relationships" ref="A614" r:id="rId1226"/>
    <hyperlink xmlns:r="http://schemas.openxmlformats.org/officeDocument/2006/relationships" ref="B614" r:id="rId1227"/>
    <hyperlink xmlns:r="http://schemas.openxmlformats.org/officeDocument/2006/relationships" ref="A615" r:id="rId1228"/>
    <hyperlink xmlns:r="http://schemas.openxmlformats.org/officeDocument/2006/relationships" ref="B615" r:id="rId1229"/>
    <hyperlink xmlns:r="http://schemas.openxmlformats.org/officeDocument/2006/relationships" ref="A616" r:id="rId1230"/>
    <hyperlink xmlns:r="http://schemas.openxmlformats.org/officeDocument/2006/relationships" ref="B616" r:id="rId1231"/>
    <hyperlink xmlns:r="http://schemas.openxmlformats.org/officeDocument/2006/relationships" ref="A617" r:id="rId1232"/>
    <hyperlink xmlns:r="http://schemas.openxmlformats.org/officeDocument/2006/relationships" ref="B617" r:id="rId1233"/>
    <hyperlink xmlns:r="http://schemas.openxmlformats.org/officeDocument/2006/relationships" ref="A618" r:id="rId1234"/>
    <hyperlink xmlns:r="http://schemas.openxmlformats.org/officeDocument/2006/relationships" ref="B618" r:id="rId1235"/>
    <hyperlink xmlns:r="http://schemas.openxmlformats.org/officeDocument/2006/relationships" ref="A619" r:id="rId1236"/>
    <hyperlink xmlns:r="http://schemas.openxmlformats.org/officeDocument/2006/relationships" ref="B619" r:id="rId1237"/>
    <hyperlink xmlns:r="http://schemas.openxmlformats.org/officeDocument/2006/relationships" ref="A620" r:id="rId1238"/>
    <hyperlink xmlns:r="http://schemas.openxmlformats.org/officeDocument/2006/relationships" ref="B620" r:id="rId1239"/>
    <hyperlink xmlns:r="http://schemas.openxmlformats.org/officeDocument/2006/relationships" ref="A621" r:id="rId1240"/>
    <hyperlink xmlns:r="http://schemas.openxmlformats.org/officeDocument/2006/relationships" ref="B621" r:id="rId1241"/>
    <hyperlink xmlns:r="http://schemas.openxmlformats.org/officeDocument/2006/relationships" ref="A622" r:id="rId1242"/>
    <hyperlink xmlns:r="http://schemas.openxmlformats.org/officeDocument/2006/relationships" ref="B622" r:id="rId1243"/>
    <hyperlink xmlns:r="http://schemas.openxmlformats.org/officeDocument/2006/relationships" ref="A623" r:id="rId1244"/>
    <hyperlink xmlns:r="http://schemas.openxmlformats.org/officeDocument/2006/relationships" ref="B623" r:id="rId1245"/>
    <hyperlink xmlns:r="http://schemas.openxmlformats.org/officeDocument/2006/relationships" ref="A624" r:id="rId1246"/>
    <hyperlink xmlns:r="http://schemas.openxmlformats.org/officeDocument/2006/relationships" ref="B624" r:id="rId1247"/>
    <hyperlink xmlns:r="http://schemas.openxmlformats.org/officeDocument/2006/relationships" ref="A625" r:id="rId1248"/>
    <hyperlink xmlns:r="http://schemas.openxmlformats.org/officeDocument/2006/relationships" ref="B625" r:id="rId1249"/>
    <hyperlink xmlns:r="http://schemas.openxmlformats.org/officeDocument/2006/relationships" ref="A626" r:id="rId1250"/>
    <hyperlink xmlns:r="http://schemas.openxmlformats.org/officeDocument/2006/relationships" ref="B626" r:id="rId1251"/>
    <hyperlink xmlns:r="http://schemas.openxmlformats.org/officeDocument/2006/relationships" ref="A627" r:id="rId1252"/>
    <hyperlink xmlns:r="http://schemas.openxmlformats.org/officeDocument/2006/relationships" ref="B627" r:id="rId1253"/>
    <hyperlink xmlns:r="http://schemas.openxmlformats.org/officeDocument/2006/relationships" ref="A628" r:id="rId1254"/>
    <hyperlink xmlns:r="http://schemas.openxmlformats.org/officeDocument/2006/relationships" ref="B628" r:id="rId1255"/>
    <hyperlink xmlns:r="http://schemas.openxmlformats.org/officeDocument/2006/relationships" ref="A629" r:id="rId1256"/>
    <hyperlink xmlns:r="http://schemas.openxmlformats.org/officeDocument/2006/relationships" ref="B629" r:id="rId1257"/>
    <hyperlink xmlns:r="http://schemas.openxmlformats.org/officeDocument/2006/relationships" ref="A630" r:id="rId1258"/>
    <hyperlink xmlns:r="http://schemas.openxmlformats.org/officeDocument/2006/relationships" ref="B630" r:id="rId1259"/>
    <hyperlink xmlns:r="http://schemas.openxmlformats.org/officeDocument/2006/relationships" ref="A631" r:id="rId1260"/>
    <hyperlink xmlns:r="http://schemas.openxmlformats.org/officeDocument/2006/relationships" ref="B631" r:id="rId1261"/>
    <hyperlink xmlns:r="http://schemas.openxmlformats.org/officeDocument/2006/relationships" ref="A632" r:id="rId1262"/>
    <hyperlink xmlns:r="http://schemas.openxmlformats.org/officeDocument/2006/relationships" ref="B632" r:id="rId1263"/>
    <hyperlink xmlns:r="http://schemas.openxmlformats.org/officeDocument/2006/relationships" ref="A633" r:id="rId1264"/>
    <hyperlink xmlns:r="http://schemas.openxmlformats.org/officeDocument/2006/relationships" ref="B633" r:id="rId1265"/>
    <hyperlink xmlns:r="http://schemas.openxmlformats.org/officeDocument/2006/relationships" ref="A634" r:id="rId1266"/>
    <hyperlink xmlns:r="http://schemas.openxmlformats.org/officeDocument/2006/relationships" ref="B634" r:id="rId1267"/>
    <hyperlink xmlns:r="http://schemas.openxmlformats.org/officeDocument/2006/relationships" ref="A635" r:id="rId1268"/>
    <hyperlink xmlns:r="http://schemas.openxmlformats.org/officeDocument/2006/relationships" ref="B635" r:id="rId1269"/>
    <hyperlink xmlns:r="http://schemas.openxmlformats.org/officeDocument/2006/relationships" ref="A636" r:id="rId1270"/>
    <hyperlink xmlns:r="http://schemas.openxmlformats.org/officeDocument/2006/relationships" ref="B636" r:id="rId1271"/>
    <hyperlink xmlns:r="http://schemas.openxmlformats.org/officeDocument/2006/relationships" ref="A637" r:id="rId1272"/>
    <hyperlink xmlns:r="http://schemas.openxmlformats.org/officeDocument/2006/relationships" ref="B637" r:id="rId1273"/>
    <hyperlink xmlns:r="http://schemas.openxmlformats.org/officeDocument/2006/relationships" ref="A638" r:id="rId1274"/>
    <hyperlink xmlns:r="http://schemas.openxmlformats.org/officeDocument/2006/relationships" ref="B638" r:id="rId1275"/>
    <hyperlink xmlns:r="http://schemas.openxmlformats.org/officeDocument/2006/relationships" ref="A639" r:id="rId1276"/>
    <hyperlink xmlns:r="http://schemas.openxmlformats.org/officeDocument/2006/relationships" ref="B639" r:id="rId1277"/>
    <hyperlink xmlns:r="http://schemas.openxmlformats.org/officeDocument/2006/relationships" ref="A640" r:id="rId1278"/>
    <hyperlink xmlns:r="http://schemas.openxmlformats.org/officeDocument/2006/relationships" ref="B640" r:id="rId1279"/>
    <hyperlink xmlns:r="http://schemas.openxmlformats.org/officeDocument/2006/relationships" ref="A641" r:id="rId1280"/>
    <hyperlink xmlns:r="http://schemas.openxmlformats.org/officeDocument/2006/relationships" ref="B641" r:id="rId1281"/>
    <hyperlink xmlns:r="http://schemas.openxmlformats.org/officeDocument/2006/relationships" ref="A642" r:id="rId1282"/>
    <hyperlink xmlns:r="http://schemas.openxmlformats.org/officeDocument/2006/relationships" ref="B642" r:id="rId1283"/>
    <hyperlink xmlns:r="http://schemas.openxmlformats.org/officeDocument/2006/relationships" ref="A643" r:id="rId1284"/>
    <hyperlink xmlns:r="http://schemas.openxmlformats.org/officeDocument/2006/relationships" ref="B643" r:id="rId1285"/>
    <hyperlink xmlns:r="http://schemas.openxmlformats.org/officeDocument/2006/relationships" ref="A644" r:id="rId1286"/>
    <hyperlink xmlns:r="http://schemas.openxmlformats.org/officeDocument/2006/relationships" ref="B644" r:id="rId1287"/>
    <hyperlink xmlns:r="http://schemas.openxmlformats.org/officeDocument/2006/relationships" ref="A645" r:id="rId1288"/>
    <hyperlink xmlns:r="http://schemas.openxmlformats.org/officeDocument/2006/relationships" ref="B645" r:id="rId1289"/>
    <hyperlink xmlns:r="http://schemas.openxmlformats.org/officeDocument/2006/relationships" ref="A646" r:id="rId1290"/>
    <hyperlink xmlns:r="http://schemas.openxmlformats.org/officeDocument/2006/relationships" ref="B646" r:id="rId1291"/>
    <hyperlink xmlns:r="http://schemas.openxmlformats.org/officeDocument/2006/relationships" ref="A647" r:id="rId1292"/>
    <hyperlink xmlns:r="http://schemas.openxmlformats.org/officeDocument/2006/relationships" ref="B647" r:id="rId1293"/>
    <hyperlink xmlns:r="http://schemas.openxmlformats.org/officeDocument/2006/relationships" ref="A648" r:id="rId1294"/>
    <hyperlink xmlns:r="http://schemas.openxmlformats.org/officeDocument/2006/relationships" ref="B648" r:id="rId1295"/>
    <hyperlink xmlns:r="http://schemas.openxmlformats.org/officeDocument/2006/relationships" ref="A649" r:id="rId1296"/>
    <hyperlink xmlns:r="http://schemas.openxmlformats.org/officeDocument/2006/relationships" ref="B649" r:id="rId1297"/>
    <hyperlink xmlns:r="http://schemas.openxmlformats.org/officeDocument/2006/relationships" ref="A650" r:id="rId1298"/>
    <hyperlink xmlns:r="http://schemas.openxmlformats.org/officeDocument/2006/relationships" ref="B650" r:id="rId1299"/>
    <hyperlink xmlns:r="http://schemas.openxmlformats.org/officeDocument/2006/relationships" ref="A651" r:id="rId1300"/>
    <hyperlink xmlns:r="http://schemas.openxmlformats.org/officeDocument/2006/relationships" ref="B651" r:id="rId1301"/>
    <hyperlink xmlns:r="http://schemas.openxmlformats.org/officeDocument/2006/relationships" ref="A652" r:id="rId1302"/>
    <hyperlink xmlns:r="http://schemas.openxmlformats.org/officeDocument/2006/relationships" ref="B652" r:id="rId1303"/>
    <hyperlink xmlns:r="http://schemas.openxmlformats.org/officeDocument/2006/relationships" ref="A653" r:id="rId1304"/>
    <hyperlink xmlns:r="http://schemas.openxmlformats.org/officeDocument/2006/relationships" ref="B653" r:id="rId1305"/>
    <hyperlink xmlns:r="http://schemas.openxmlformats.org/officeDocument/2006/relationships" ref="A654" r:id="rId1306"/>
    <hyperlink xmlns:r="http://schemas.openxmlformats.org/officeDocument/2006/relationships" ref="B654" r:id="rId1307"/>
    <hyperlink xmlns:r="http://schemas.openxmlformats.org/officeDocument/2006/relationships" ref="A655" r:id="rId1308"/>
    <hyperlink xmlns:r="http://schemas.openxmlformats.org/officeDocument/2006/relationships" ref="B655" r:id="rId1309"/>
    <hyperlink xmlns:r="http://schemas.openxmlformats.org/officeDocument/2006/relationships" ref="A656" r:id="rId1310"/>
    <hyperlink xmlns:r="http://schemas.openxmlformats.org/officeDocument/2006/relationships" ref="B656" r:id="rId1311"/>
    <hyperlink xmlns:r="http://schemas.openxmlformats.org/officeDocument/2006/relationships" ref="A657" r:id="rId1312"/>
    <hyperlink xmlns:r="http://schemas.openxmlformats.org/officeDocument/2006/relationships" ref="B657" r:id="rId1313"/>
    <hyperlink xmlns:r="http://schemas.openxmlformats.org/officeDocument/2006/relationships" ref="A658" r:id="rId1314"/>
    <hyperlink xmlns:r="http://schemas.openxmlformats.org/officeDocument/2006/relationships" ref="B658" r:id="rId1315"/>
    <hyperlink xmlns:r="http://schemas.openxmlformats.org/officeDocument/2006/relationships" ref="A659" r:id="rId1316"/>
    <hyperlink xmlns:r="http://schemas.openxmlformats.org/officeDocument/2006/relationships" ref="B659" r:id="rId1317"/>
    <hyperlink xmlns:r="http://schemas.openxmlformats.org/officeDocument/2006/relationships" ref="A660" r:id="rId1318"/>
    <hyperlink xmlns:r="http://schemas.openxmlformats.org/officeDocument/2006/relationships" ref="B660" r:id="rId1319"/>
    <hyperlink xmlns:r="http://schemas.openxmlformats.org/officeDocument/2006/relationships" ref="A661" r:id="rId1320"/>
    <hyperlink xmlns:r="http://schemas.openxmlformats.org/officeDocument/2006/relationships" ref="B661" r:id="rId1321"/>
    <hyperlink xmlns:r="http://schemas.openxmlformats.org/officeDocument/2006/relationships" ref="A662" r:id="rId1322"/>
    <hyperlink xmlns:r="http://schemas.openxmlformats.org/officeDocument/2006/relationships" ref="B662" r:id="rId1323"/>
    <hyperlink xmlns:r="http://schemas.openxmlformats.org/officeDocument/2006/relationships" ref="A663" r:id="rId1324"/>
    <hyperlink xmlns:r="http://schemas.openxmlformats.org/officeDocument/2006/relationships" ref="B663" r:id="rId1325"/>
    <hyperlink xmlns:r="http://schemas.openxmlformats.org/officeDocument/2006/relationships" ref="A664" r:id="rId1326"/>
    <hyperlink xmlns:r="http://schemas.openxmlformats.org/officeDocument/2006/relationships" ref="B664" r:id="rId1327"/>
    <hyperlink xmlns:r="http://schemas.openxmlformats.org/officeDocument/2006/relationships" ref="A665" r:id="rId1328"/>
    <hyperlink xmlns:r="http://schemas.openxmlformats.org/officeDocument/2006/relationships" ref="B665" r:id="rId1329"/>
    <hyperlink xmlns:r="http://schemas.openxmlformats.org/officeDocument/2006/relationships" ref="A666" r:id="rId1330"/>
    <hyperlink xmlns:r="http://schemas.openxmlformats.org/officeDocument/2006/relationships" ref="B666" r:id="rId1331"/>
    <hyperlink xmlns:r="http://schemas.openxmlformats.org/officeDocument/2006/relationships" ref="A667" r:id="rId1332"/>
    <hyperlink xmlns:r="http://schemas.openxmlformats.org/officeDocument/2006/relationships" ref="B667" r:id="rId1333"/>
    <hyperlink xmlns:r="http://schemas.openxmlformats.org/officeDocument/2006/relationships" ref="A668" r:id="rId1334"/>
    <hyperlink xmlns:r="http://schemas.openxmlformats.org/officeDocument/2006/relationships" ref="B668" r:id="rId1335"/>
    <hyperlink xmlns:r="http://schemas.openxmlformats.org/officeDocument/2006/relationships" ref="A669" r:id="rId1336"/>
    <hyperlink xmlns:r="http://schemas.openxmlformats.org/officeDocument/2006/relationships" ref="B669" r:id="rId1337"/>
    <hyperlink xmlns:r="http://schemas.openxmlformats.org/officeDocument/2006/relationships" ref="A670" r:id="rId1338"/>
    <hyperlink xmlns:r="http://schemas.openxmlformats.org/officeDocument/2006/relationships" ref="B670" r:id="rId1339"/>
    <hyperlink xmlns:r="http://schemas.openxmlformats.org/officeDocument/2006/relationships" ref="A671" r:id="rId1340"/>
    <hyperlink xmlns:r="http://schemas.openxmlformats.org/officeDocument/2006/relationships" ref="B671" r:id="rId1341"/>
    <hyperlink xmlns:r="http://schemas.openxmlformats.org/officeDocument/2006/relationships" ref="A672" r:id="rId1342"/>
    <hyperlink xmlns:r="http://schemas.openxmlformats.org/officeDocument/2006/relationships" ref="B672" r:id="rId1343"/>
    <hyperlink xmlns:r="http://schemas.openxmlformats.org/officeDocument/2006/relationships" ref="A673" r:id="rId1344"/>
    <hyperlink xmlns:r="http://schemas.openxmlformats.org/officeDocument/2006/relationships" ref="B673" r:id="rId1345"/>
    <hyperlink xmlns:r="http://schemas.openxmlformats.org/officeDocument/2006/relationships" ref="A674" r:id="rId1346"/>
    <hyperlink xmlns:r="http://schemas.openxmlformats.org/officeDocument/2006/relationships" ref="B674" r:id="rId1347"/>
    <hyperlink xmlns:r="http://schemas.openxmlformats.org/officeDocument/2006/relationships" ref="A675" r:id="rId1348"/>
    <hyperlink xmlns:r="http://schemas.openxmlformats.org/officeDocument/2006/relationships" ref="B675" r:id="rId1349"/>
    <hyperlink xmlns:r="http://schemas.openxmlformats.org/officeDocument/2006/relationships" ref="A676" r:id="rId1350"/>
    <hyperlink xmlns:r="http://schemas.openxmlformats.org/officeDocument/2006/relationships" ref="B676" r:id="rId1351"/>
    <hyperlink xmlns:r="http://schemas.openxmlformats.org/officeDocument/2006/relationships" ref="A677" r:id="rId1352"/>
    <hyperlink xmlns:r="http://schemas.openxmlformats.org/officeDocument/2006/relationships" ref="B677" r:id="rId1353"/>
    <hyperlink xmlns:r="http://schemas.openxmlformats.org/officeDocument/2006/relationships" ref="A678" r:id="rId1354"/>
    <hyperlink xmlns:r="http://schemas.openxmlformats.org/officeDocument/2006/relationships" ref="B678" r:id="rId1355"/>
    <hyperlink xmlns:r="http://schemas.openxmlformats.org/officeDocument/2006/relationships" ref="A679" r:id="rId1356"/>
    <hyperlink xmlns:r="http://schemas.openxmlformats.org/officeDocument/2006/relationships" ref="B679" r:id="rId1357"/>
    <hyperlink xmlns:r="http://schemas.openxmlformats.org/officeDocument/2006/relationships" ref="A680" r:id="rId1358"/>
    <hyperlink xmlns:r="http://schemas.openxmlformats.org/officeDocument/2006/relationships" ref="B680" r:id="rId1359"/>
    <hyperlink xmlns:r="http://schemas.openxmlformats.org/officeDocument/2006/relationships" ref="A681" r:id="rId1360"/>
    <hyperlink xmlns:r="http://schemas.openxmlformats.org/officeDocument/2006/relationships" ref="B681" r:id="rId1361"/>
    <hyperlink xmlns:r="http://schemas.openxmlformats.org/officeDocument/2006/relationships" ref="A682" r:id="rId1362"/>
    <hyperlink xmlns:r="http://schemas.openxmlformats.org/officeDocument/2006/relationships" ref="B682" r:id="rId1363"/>
    <hyperlink xmlns:r="http://schemas.openxmlformats.org/officeDocument/2006/relationships" ref="A683" r:id="rId1364"/>
    <hyperlink xmlns:r="http://schemas.openxmlformats.org/officeDocument/2006/relationships" ref="B683" r:id="rId1365"/>
    <hyperlink xmlns:r="http://schemas.openxmlformats.org/officeDocument/2006/relationships" ref="A684" r:id="rId1366"/>
    <hyperlink xmlns:r="http://schemas.openxmlformats.org/officeDocument/2006/relationships" ref="B684" r:id="rId1367"/>
    <hyperlink xmlns:r="http://schemas.openxmlformats.org/officeDocument/2006/relationships" ref="A685" r:id="rId1368"/>
    <hyperlink xmlns:r="http://schemas.openxmlformats.org/officeDocument/2006/relationships" ref="B685" r:id="rId1369"/>
    <hyperlink xmlns:r="http://schemas.openxmlformats.org/officeDocument/2006/relationships" ref="A686" r:id="rId1370"/>
    <hyperlink xmlns:r="http://schemas.openxmlformats.org/officeDocument/2006/relationships" ref="B686" r:id="rId1371"/>
    <hyperlink xmlns:r="http://schemas.openxmlformats.org/officeDocument/2006/relationships" ref="A687" r:id="rId1372"/>
    <hyperlink xmlns:r="http://schemas.openxmlformats.org/officeDocument/2006/relationships" ref="B687" r:id="rId1373"/>
    <hyperlink xmlns:r="http://schemas.openxmlformats.org/officeDocument/2006/relationships" ref="A688" r:id="rId1374"/>
    <hyperlink xmlns:r="http://schemas.openxmlformats.org/officeDocument/2006/relationships" ref="B688" r:id="rId1375"/>
    <hyperlink xmlns:r="http://schemas.openxmlformats.org/officeDocument/2006/relationships" ref="A689" r:id="rId1376"/>
    <hyperlink xmlns:r="http://schemas.openxmlformats.org/officeDocument/2006/relationships" ref="B689" r:id="rId1377"/>
    <hyperlink xmlns:r="http://schemas.openxmlformats.org/officeDocument/2006/relationships" ref="A690" r:id="rId1378"/>
    <hyperlink xmlns:r="http://schemas.openxmlformats.org/officeDocument/2006/relationships" ref="B690" r:id="rId1379"/>
    <hyperlink xmlns:r="http://schemas.openxmlformats.org/officeDocument/2006/relationships" ref="A691" r:id="rId1380"/>
    <hyperlink xmlns:r="http://schemas.openxmlformats.org/officeDocument/2006/relationships" ref="B691" r:id="rId1381"/>
    <hyperlink xmlns:r="http://schemas.openxmlformats.org/officeDocument/2006/relationships" ref="A692" r:id="rId1382"/>
    <hyperlink xmlns:r="http://schemas.openxmlformats.org/officeDocument/2006/relationships" ref="B692" r:id="rId1383"/>
    <hyperlink xmlns:r="http://schemas.openxmlformats.org/officeDocument/2006/relationships" ref="A693" r:id="rId1384"/>
    <hyperlink xmlns:r="http://schemas.openxmlformats.org/officeDocument/2006/relationships" ref="B693" r:id="rId1385"/>
    <hyperlink xmlns:r="http://schemas.openxmlformats.org/officeDocument/2006/relationships" ref="A694" r:id="rId1386"/>
    <hyperlink xmlns:r="http://schemas.openxmlformats.org/officeDocument/2006/relationships" ref="B694" r:id="rId1387"/>
    <hyperlink xmlns:r="http://schemas.openxmlformats.org/officeDocument/2006/relationships" ref="A695" r:id="rId1388"/>
    <hyperlink xmlns:r="http://schemas.openxmlformats.org/officeDocument/2006/relationships" ref="B695" r:id="rId1389"/>
    <hyperlink xmlns:r="http://schemas.openxmlformats.org/officeDocument/2006/relationships" ref="A696" r:id="rId1390"/>
    <hyperlink xmlns:r="http://schemas.openxmlformats.org/officeDocument/2006/relationships" ref="B696" r:id="rId1391"/>
    <hyperlink xmlns:r="http://schemas.openxmlformats.org/officeDocument/2006/relationships" ref="A697" r:id="rId1392"/>
    <hyperlink xmlns:r="http://schemas.openxmlformats.org/officeDocument/2006/relationships" ref="B697" r:id="rId1393"/>
    <hyperlink xmlns:r="http://schemas.openxmlformats.org/officeDocument/2006/relationships" ref="A698" r:id="rId1394"/>
    <hyperlink xmlns:r="http://schemas.openxmlformats.org/officeDocument/2006/relationships" ref="B698" r:id="rId1395"/>
    <hyperlink xmlns:r="http://schemas.openxmlformats.org/officeDocument/2006/relationships" ref="A699" r:id="rId1396"/>
    <hyperlink xmlns:r="http://schemas.openxmlformats.org/officeDocument/2006/relationships" ref="B699" r:id="rId1397"/>
    <hyperlink xmlns:r="http://schemas.openxmlformats.org/officeDocument/2006/relationships" ref="A700" r:id="rId1398"/>
    <hyperlink xmlns:r="http://schemas.openxmlformats.org/officeDocument/2006/relationships" ref="B700" r:id="rId1399"/>
    <hyperlink xmlns:r="http://schemas.openxmlformats.org/officeDocument/2006/relationships" ref="A701" r:id="rId1400"/>
    <hyperlink xmlns:r="http://schemas.openxmlformats.org/officeDocument/2006/relationships" ref="B701" r:id="rId1401"/>
    <hyperlink xmlns:r="http://schemas.openxmlformats.org/officeDocument/2006/relationships" ref="A702" r:id="rId1402"/>
    <hyperlink xmlns:r="http://schemas.openxmlformats.org/officeDocument/2006/relationships" ref="B702" r:id="rId1403"/>
    <hyperlink xmlns:r="http://schemas.openxmlformats.org/officeDocument/2006/relationships" ref="A703" r:id="rId1404"/>
    <hyperlink xmlns:r="http://schemas.openxmlformats.org/officeDocument/2006/relationships" ref="B703" r:id="rId1405"/>
    <hyperlink xmlns:r="http://schemas.openxmlformats.org/officeDocument/2006/relationships" ref="A704" r:id="rId1406"/>
    <hyperlink xmlns:r="http://schemas.openxmlformats.org/officeDocument/2006/relationships" ref="B704" r:id="rId1407"/>
    <hyperlink xmlns:r="http://schemas.openxmlformats.org/officeDocument/2006/relationships" ref="A705" r:id="rId1408"/>
    <hyperlink xmlns:r="http://schemas.openxmlformats.org/officeDocument/2006/relationships" ref="B705" r:id="rId1409"/>
    <hyperlink xmlns:r="http://schemas.openxmlformats.org/officeDocument/2006/relationships" ref="A706" r:id="rId1410"/>
    <hyperlink xmlns:r="http://schemas.openxmlformats.org/officeDocument/2006/relationships" ref="B706" r:id="rId1411"/>
    <hyperlink xmlns:r="http://schemas.openxmlformats.org/officeDocument/2006/relationships" ref="A707" r:id="rId1412"/>
    <hyperlink xmlns:r="http://schemas.openxmlformats.org/officeDocument/2006/relationships" ref="B707" r:id="rId1413"/>
    <hyperlink xmlns:r="http://schemas.openxmlformats.org/officeDocument/2006/relationships" ref="A708" r:id="rId1414"/>
    <hyperlink xmlns:r="http://schemas.openxmlformats.org/officeDocument/2006/relationships" ref="B708" r:id="rId1415"/>
    <hyperlink xmlns:r="http://schemas.openxmlformats.org/officeDocument/2006/relationships" ref="A709" r:id="rId1416"/>
    <hyperlink xmlns:r="http://schemas.openxmlformats.org/officeDocument/2006/relationships" ref="B709" r:id="rId1417"/>
    <hyperlink xmlns:r="http://schemas.openxmlformats.org/officeDocument/2006/relationships" ref="A710" r:id="rId1418"/>
    <hyperlink xmlns:r="http://schemas.openxmlformats.org/officeDocument/2006/relationships" ref="B710" r:id="rId1419"/>
    <hyperlink xmlns:r="http://schemas.openxmlformats.org/officeDocument/2006/relationships" ref="A711" r:id="rId1420"/>
    <hyperlink xmlns:r="http://schemas.openxmlformats.org/officeDocument/2006/relationships" ref="B711" r:id="rId1421"/>
    <hyperlink xmlns:r="http://schemas.openxmlformats.org/officeDocument/2006/relationships" ref="A712" r:id="rId1422"/>
    <hyperlink xmlns:r="http://schemas.openxmlformats.org/officeDocument/2006/relationships" ref="B712" r:id="rId1423"/>
    <hyperlink xmlns:r="http://schemas.openxmlformats.org/officeDocument/2006/relationships" ref="A713" r:id="rId1424"/>
    <hyperlink xmlns:r="http://schemas.openxmlformats.org/officeDocument/2006/relationships" ref="B713" r:id="rId1425"/>
    <hyperlink xmlns:r="http://schemas.openxmlformats.org/officeDocument/2006/relationships" ref="A714" r:id="rId1426"/>
    <hyperlink xmlns:r="http://schemas.openxmlformats.org/officeDocument/2006/relationships" ref="B714" r:id="rId1427"/>
    <hyperlink xmlns:r="http://schemas.openxmlformats.org/officeDocument/2006/relationships" ref="A715" r:id="rId1428"/>
    <hyperlink xmlns:r="http://schemas.openxmlformats.org/officeDocument/2006/relationships" ref="B715" r:id="rId1429"/>
    <hyperlink xmlns:r="http://schemas.openxmlformats.org/officeDocument/2006/relationships" ref="A716" r:id="rId1430"/>
    <hyperlink xmlns:r="http://schemas.openxmlformats.org/officeDocument/2006/relationships" ref="B716" r:id="rId1431"/>
    <hyperlink xmlns:r="http://schemas.openxmlformats.org/officeDocument/2006/relationships" ref="A717" r:id="rId1432"/>
    <hyperlink xmlns:r="http://schemas.openxmlformats.org/officeDocument/2006/relationships" ref="B717" r:id="rId1433"/>
    <hyperlink xmlns:r="http://schemas.openxmlformats.org/officeDocument/2006/relationships" ref="A718" r:id="rId1434"/>
    <hyperlink xmlns:r="http://schemas.openxmlformats.org/officeDocument/2006/relationships" ref="B718" r:id="rId1435"/>
    <hyperlink xmlns:r="http://schemas.openxmlformats.org/officeDocument/2006/relationships" ref="A719" r:id="rId1436"/>
    <hyperlink xmlns:r="http://schemas.openxmlformats.org/officeDocument/2006/relationships" ref="B719" r:id="rId1437"/>
    <hyperlink xmlns:r="http://schemas.openxmlformats.org/officeDocument/2006/relationships" ref="A720" r:id="rId1438"/>
    <hyperlink xmlns:r="http://schemas.openxmlformats.org/officeDocument/2006/relationships" ref="B720" r:id="rId1439"/>
    <hyperlink xmlns:r="http://schemas.openxmlformats.org/officeDocument/2006/relationships" ref="A721" r:id="rId1440"/>
    <hyperlink xmlns:r="http://schemas.openxmlformats.org/officeDocument/2006/relationships" ref="B721" r:id="rId1441"/>
    <hyperlink xmlns:r="http://schemas.openxmlformats.org/officeDocument/2006/relationships" ref="A722" r:id="rId1442"/>
    <hyperlink xmlns:r="http://schemas.openxmlformats.org/officeDocument/2006/relationships" ref="B722" r:id="rId1443"/>
    <hyperlink xmlns:r="http://schemas.openxmlformats.org/officeDocument/2006/relationships" ref="A723" r:id="rId1444"/>
    <hyperlink xmlns:r="http://schemas.openxmlformats.org/officeDocument/2006/relationships" ref="B723" r:id="rId1445"/>
    <hyperlink xmlns:r="http://schemas.openxmlformats.org/officeDocument/2006/relationships" ref="A724" r:id="rId1446"/>
    <hyperlink xmlns:r="http://schemas.openxmlformats.org/officeDocument/2006/relationships" ref="B724" r:id="rId1447"/>
    <hyperlink xmlns:r="http://schemas.openxmlformats.org/officeDocument/2006/relationships" ref="A725" r:id="rId1448"/>
    <hyperlink xmlns:r="http://schemas.openxmlformats.org/officeDocument/2006/relationships" ref="B725" r:id="rId1449"/>
    <hyperlink xmlns:r="http://schemas.openxmlformats.org/officeDocument/2006/relationships" ref="A726" r:id="rId1450"/>
    <hyperlink xmlns:r="http://schemas.openxmlformats.org/officeDocument/2006/relationships" ref="B726" r:id="rId1451"/>
    <hyperlink xmlns:r="http://schemas.openxmlformats.org/officeDocument/2006/relationships" ref="A727" r:id="rId1452"/>
    <hyperlink xmlns:r="http://schemas.openxmlformats.org/officeDocument/2006/relationships" ref="B727" r:id="rId1453"/>
    <hyperlink xmlns:r="http://schemas.openxmlformats.org/officeDocument/2006/relationships" ref="A728" r:id="rId1454"/>
    <hyperlink xmlns:r="http://schemas.openxmlformats.org/officeDocument/2006/relationships" ref="B728" r:id="rId1455"/>
    <hyperlink xmlns:r="http://schemas.openxmlformats.org/officeDocument/2006/relationships" ref="A729" r:id="rId1456"/>
    <hyperlink xmlns:r="http://schemas.openxmlformats.org/officeDocument/2006/relationships" ref="B729" r:id="rId1457"/>
    <hyperlink xmlns:r="http://schemas.openxmlformats.org/officeDocument/2006/relationships" ref="A730" r:id="rId1458"/>
    <hyperlink xmlns:r="http://schemas.openxmlformats.org/officeDocument/2006/relationships" ref="B730" r:id="rId1459"/>
    <hyperlink xmlns:r="http://schemas.openxmlformats.org/officeDocument/2006/relationships" ref="A731" r:id="rId1460"/>
    <hyperlink xmlns:r="http://schemas.openxmlformats.org/officeDocument/2006/relationships" ref="B731" r:id="rId1461"/>
    <hyperlink xmlns:r="http://schemas.openxmlformats.org/officeDocument/2006/relationships" ref="A732" r:id="rId1462"/>
    <hyperlink xmlns:r="http://schemas.openxmlformats.org/officeDocument/2006/relationships" ref="B732" r:id="rId1463"/>
    <hyperlink xmlns:r="http://schemas.openxmlformats.org/officeDocument/2006/relationships" ref="A733" r:id="rId1464"/>
    <hyperlink xmlns:r="http://schemas.openxmlformats.org/officeDocument/2006/relationships" ref="B733" r:id="rId1465"/>
    <hyperlink xmlns:r="http://schemas.openxmlformats.org/officeDocument/2006/relationships" ref="A734" r:id="rId1466"/>
    <hyperlink xmlns:r="http://schemas.openxmlformats.org/officeDocument/2006/relationships" ref="B734" r:id="rId1467"/>
    <hyperlink xmlns:r="http://schemas.openxmlformats.org/officeDocument/2006/relationships" ref="A735" r:id="rId1468"/>
    <hyperlink xmlns:r="http://schemas.openxmlformats.org/officeDocument/2006/relationships" ref="B735" r:id="rId1469"/>
    <hyperlink xmlns:r="http://schemas.openxmlformats.org/officeDocument/2006/relationships" ref="A736" r:id="rId1470"/>
    <hyperlink xmlns:r="http://schemas.openxmlformats.org/officeDocument/2006/relationships" ref="B736" r:id="rId1471"/>
    <hyperlink xmlns:r="http://schemas.openxmlformats.org/officeDocument/2006/relationships" ref="A737" r:id="rId1472"/>
    <hyperlink xmlns:r="http://schemas.openxmlformats.org/officeDocument/2006/relationships" ref="B737" r:id="rId1473"/>
    <hyperlink xmlns:r="http://schemas.openxmlformats.org/officeDocument/2006/relationships" ref="A738" r:id="rId1474"/>
    <hyperlink xmlns:r="http://schemas.openxmlformats.org/officeDocument/2006/relationships" ref="B738" r:id="rId1475"/>
    <hyperlink xmlns:r="http://schemas.openxmlformats.org/officeDocument/2006/relationships" ref="A739" r:id="rId1476"/>
    <hyperlink xmlns:r="http://schemas.openxmlformats.org/officeDocument/2006/relationships" ref="B739" r:id="rId1477"/>
    <hyperlink xmlns:r="http://schemas.openxmlformats.org/officeDocument/2006/relationships" ref="A740" r:id="rId1478"/>
    <hyperlink xmlns:r="http://schemas.openxmlformats.org/officeDocument/2006/relationships" ref="B740" r:id="rId1479"/>
    <hyperlink xmlns:r="http://schemas.openxmlformats.org/officeDocument/2006/relationships" ref="A741" r:id="rId1480"/>
    <hyperlink xmlns:r="http://schemas.openxmlformats.org/officeDocument/2006/relationships" ref="B741" r:id="rId1481"/>
    <hyperlink xmlns:r="http://schemas.openxmlformats.org/officeDocument/2006/relationships" ref="A742" r:id="rId1482"/>
    <hyperlink xmlns:r="http://schemas.openxmlformats.org/officeDocument/2006/relationships" ref="B742" r:id="rId1483"/>
    <hyperlink xmlns:r="http://schemas.openxmlformats.org/officeDocument/2006/relationships" ref="A743" r:id="rId1484"/>
    <hyperlink xmlns:r="http://schemas.openxmlformats.org/officeDocument/2006/relationships" ref="B743" r:id="rId1485"/>
    <hyperlink xmlns:r="http://schemas.openxmlformats.org/officeDocument/2006/relationships" ref="A744" r:id="rId1486"/>
    <hyperlink xmlns:r="http://schemas.openxmlformats.org/officeDocument/2006/relationships" ref="B744" r:id="rId1487"/>
    <hyperlink xmlns:r="http://schemas.openxmlformats.org/officeDocument/2006/relationships" ref="A745" r:id="rId1488"/>
    <hyperlink xmlns:r="http://schemas.openxmlformats.org/officeDocument/2006/relationships" ref="B745" r:id="rId1489"/>
    <hyperlink xmlns:r="http://schemas.openxmlformats.org/officeDocument/2006/relationships" ref="A746" r:id="rId1490"/>
    <hyperlink xmlns:r="http://schemas.openxmlformats.org/officeDocument/2006/relationships" ref="B746" r:id="rId1491"/>
    <hyperlink xmlns:r="http://schemas.openxmlformats.org/officeDocument/2006/relationships" ref="A747" r:id="rId1492"/>
    <hyperlink xmlns:r="http://schemas.openxmlformats.org/officeDocument/2006/relationships" ref="B747" r:id="rId1493"/>
    <hyperlink xmlns:r="http://schemas.openxmlformats.org/officeDocument/2006/relationships" ref="A748" r:id="rId1494"/>
    <hyperlink xmlns:r="http://schemas.openxmlformats.org/officeDocument/2006/relationships" ref="B748" r:id="rId1495"/>
    <hyperlink xmlns:r="http://schemas.openxmlformats.org/officeDocument/2006/relationships" ref="A749" r:id="rId1496"/>
    <hyperlink xmlns:r="http://schemas.openxmlformats.org/officeDocument/2006/relationships" ref="B749" r:id="rId1497"/>
    <hyperlink xmlns:r="http://schemas.openxmlformats.org/officeDocument/2006/relationships" ref="A750" r:id="rId1498"/>
    <hyperlink xmlns:r="http://schemas.openxmlformats.org/officeDocument/2006/relationships" ref="B750" r:id="rId1499"/>
    <hyperlink xmlns:r="http://schemas.openxmlformats.org/officeDocument/2006/relationships" ref="A751" r:id="rId1500"/>
    <hyperlink xmlns:r="http://schemas.openxmlformats.org/officeDocument/2006/relationships" ref="B751" r:id="rId1501"/>
    <hyperlink xmlns:r="http://schemas.openxmlformats.org/officeDocument/2006/relationships" ref="A752" r:id="rId1502"/>
    <hyperlink xmlns:r="http://schemas.openxmlformats.org/officeDocument/2006/relationships" ref="B752" r:id="rId1503"/>
    <hyperlink xmlns:r="http://schemas.openxmlformats.org/officeDocument/2006/relationships" ref="A753" r:id="rId1504"/>
    <hyperlink xmlns:r="http://schemas.openxmlformats.org/officeDocument/2006/relationships" ref="B753" r:id="rId1505"/>
    <hyperlink xmlns:r="http://schemas.openxmlformats.org/officeDocument/2006/relationships" ref="A754" r:id="rId1506"/>
    <hyperlink xmlns:r="http://schemas.openxmlformats.org/officeDocument/2006/relationships" ref="B754" r:id="rId1507"/>
    <hyperlink xmlns:r="http://schemas.openxmlformats.org/officeDocument/2006/relationships" ref="A755" r:id="rId1508"/>
    <hyperlink xmlns:r="http://schemas.openxmlformats.org/officeDocument/2006/relationships" ref="B755" r:id="rId1509"/>
    <hyperlink xmlns:r="http://schemas.openxmlformats.org/officeDocument/2006/relationships" ref="A756" r:id="rId1510"/>
    <hyperlink xmlns:r="http://schemas.openxmlformats.org/officeDocument/2006/relationships" ref="B756" r:id="rId1511"/>
    <hyperlink xmlns:r="http://schemas.openxmlformats.org/officeDocument/2006/relationships" ref="A757" r:id="rId1512"/>
    <hyperlink xmlns:r="http://schemas.openxmlformats.org/officeDocument/2006/relationships" ref="B757" r:id="rId1513"/>
    <hyperlink xmlns:r="http://schemas.openxmlformats.org/officeDocument/2006/relationships" ref="A758" r:id="rId1514"/>
    <hyperlink xmlns:r="http://schemas.openxmlformats.org/officeDocument/2006/relationships" ref="B758" r:id="rId1515"/>
    <hyperlink xmlns:r="http://schemas.openxmlformats.org/officeDocument/2006/relationships" ref="A759" r:id="rId1516"/>
    <hyperlink xmlns:r="http://schemas.openxmlformats.org/officeDocument/2006/relationships" ref="B759" r:id="rId1517"/>
    <hyperlink xmlns:r="http://schemas.openxmlformats.org/officeDocument/2006/relationships" ref="A760" r:id="rId1518"/>
    <hyperlink xmlns:r="http://schemas.openxmlformats.org/officeDocument/2006/relationships" ref="B760" r:id="rId1519"/>
    <hyperlink xmlns:r="http://schemas.openxmlformats.org/officeDocument/2006/relationships" ref="A761" r:id="rId1520"/>
    <hyperlink xmlns:r="http://schemas.openxmlformats.org/officeDocument/2006/relationships" ref="B761" r:id="rId1521"/>
    <hyperlink xmlns:r="http://schemas.openxmlformats.org/officeDocument/2006/relationships" ref="A762" r:id="rId1522"/>
    <hyperlink xmlns:r="http://schemas.openxmlformats.org/officeDocument/2006/relationships" ref="B762" r:id="rId1523"/>
    <hyperlink xmlns:r="http://schemas.openxmlformats.org/officeDocument/2006/relationships" ref="A763" r:id="rId1524"/>
    <hyperlink xmlns:r="http://schemas.openxmlformats.org/officeDocument/2006/relationships" ref="B763" r:id="rId1525"/>
    <hyperlink xmlns:r="http://schemas.openxmlformats.org/officeDocument/2006/relationships" ref="A764" r:id="rId1526"/>
    <hyperlink xmlns:r="http://schemas.openxmlformats.org/officeDocument/2006/relationships" ref="B764" r:id="rId1527"/>
    <hyperlink xmlns:r="http://schemas.openxmlformats.org/officeDocument/2006/relationships" ref="A765" r:id="rId1528"/>
    <hyperlink xmlns:r="http://schemas.openxmlformats.org/officeDocument/2006/relationships" ref="B765" r:id="rId1529"/>
    <hyperlink xmlns:r="http://schemas.openxmlformats.org/officeDocument/2006/relationships" ref="A766" r:id="rId1530"/>
    <hyperlink xmlns:r="http://schemas.openxmlformats.org/officeDocument/2006/relationships" ref="B766" r:id="rId1531"/>
    <hyperlink xmlns:r="http://schemas.openxmlformats.org/officeDocument/2006/relationships" ref="A767" r:id="rId1532"/>
    <hyperlink xmlns:r="http://schemas.openxmlformats.org/officeDocument/2006/relationships" ref="B767" r:id="rId1533"/>
    <hyperlink xmlns:r="http://schemas.openxmlformats.org/officeDocument/2006/relationships" ref="A768" r:id="rId1534"/>
    <hyperlink xmlns:r="http://schemas.openxmlformats.org/officeDocument/2006/relationships" ref="B768" r:id="rId1535"/>
    <hyperlink xmlns:r="http://schemas.openxmlformats.org/officeDocument/2006/relationships" ref="A769" r:id="rId1536"/>
    <hyperlink xmlns:r="http://schemas.openxmlformats.org/officeDocument/2006/relationships" ref="B769" r:id="rId1537"/>
    <hyperlink xmlns:r="http://schemas.openxmlformats.org/officeDocument/2006/relationships" ref="A770" r:id="rId1538"/>
    <hyperlink xmlns:r="http://schemas.openxmlformats.org/officeDocument/2006/relationships" ref="B770" r:id="rId1539"/>
    <hyperlink xmlns:r="http://schemas.openxmlformats.org/officeDocument/2006/relationships" ref="A771" r:id="rId1540"/>
    <hyperlink xmlns:r="http://schemas.openxmlformats.org/officeDocument/2006/relationships" ref="B771" r:id="rId1541"/>
    <hyperlink xmlns:r="http://schemas.openxmlformats.org/officeDocument/2006/relationships" ref="A772" r:id="rId1542"/>
    <hyperlink xmlns:r="http://schemas.openxmlformats.org/officeDocument/2006/relationships" ref="B772" r:id="rId1543"/>
    <hyperlink xmlns:r="http://schemas.openxmlformats.org/officeDocument/2006/relationships" ref="A773" r:id="rId1544"/>
    <hyperlink xmlns:r="http://schemas.openxmlformats.org/officeDocument/2006/relationships" ref="B773" r:id="rId1545"/>
    <hyperlink xmlns:r="http://schemas.openxmlformats.org/officeDocument/2006/relationships" ref="A774" r:id="rId1546"/>
    <hyperlink xmlns:r="http://schemas.openxmlformats.org/officeDocument/2006/relationships" ref="B774" r:id="rId1547"/>
    <hyperlink xmlns:r="http://schemas.openxmlformats.org/officeDocument/2006/relationships" ref="A775" r:id="rId1548"/>
    <hyperlink xmlns:r="http://schemas.openxmlformats.org/officeDocument/2006/relationships" ref="B775" r:id="rId1549"/>
    <hyperlink xmlns:r="http://schemas.openxmlformats.org/officeDocument/2006/relationships" ref="A776" r:id="rId1550"/>
    <hyperlink xmlns:r="http://schemas.openxmlformats.org/officeDocument/2006/relationships" ref="B776" r:id="rId1551"/>
    <hyperlink xmlns:r="http://schemas.openxmlformats.org/officeDocument/2006/relationships" ref="A777" r:id="rId1552"/>
    <hyperlink xmlns:r="http://schemas.openxmlformats.org/officeDocument/2006/relationships" ref="B777" r:id="rId1553"/>
    <hyperlink xmlns:r="http://schemas.openxmlformats.org/officeDocument/2006/relationships" ref="A778" r:id="rId1554"/>
    <hyperlink xmlns:r="http://schemas.openxmlformats.org/officeDocument/2006/relationships" ref="B778" r:id="rId1555"/>
    <hyperlink xmlns:r="http://schemas.openxmlformats.org/officeDocument/2006/relationships" ref="A779" r:id="rId1556"/>
    <hyperlink xmlns:r="http://schemas.openxmlformats.org/officeDocument/2006/relationships" ref="B779" r:id="rId1557"/>
    <hyperlink xmlns:r="http://schemas.openxmlformats.org/officeDocument/2006/relationships" ref="A780" r:id="rId1558"/>
    <hyperlink xmlns:r="http://schemas.openxmlformats.org/officeDocument/2006/relationships" ref="B780" r:id="rId1559"/>
    <hyperlink xmlns:r="http://schemas.openxmlformats.org/officeDocument/2006/relationships" ref="A781" r:id="rId1560"/>
    <hyperlink xmlns:r="http://schemas.openxmlformats.org/officeDocument/2006/relationships" ref="B781" r:id="rId1561"/>
    <hyperlink xmlns:r="http://schemas.openxmlformats.org/officeDocument/2006/relationships" ref="A782" r:id="rId1562"/>
    <hyperlink xmlns:r="http://schemas.openxmlformats.org/officeDocument/2006/relationships" ref="B782" r:id="rId1563"/>
    <hyperlink xmlns:r="http://schemas.openxmlformats.org/officeDocument/2006/relationships" ref="A783" r:id="rId1564"/>
    <hyperlink xmlns:r="http://schemas.openxmlformats.org/officeDocument/2006/relationships" ref="B783" r:id="rId156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5" customWidth="1" min="2" max="2"/>
    <col width="14" customWidth="1" min="3" max="3"/>
    <col width="18" customWidth="1" min="4" max="4"/>
  </cols>
  <sheetData>
    <row r="1">
      <c r="A1" s="1" t="inlineStr">
        <is>
          <t>URL</t>
        </is>
      </c>
      <c r="B1" s="1" t="inlineStr">
        <is>
          <t>Inlinks Count</t>
        </is>
      </c>
      <c r="C1" s="1" t="inlineStr">
        <is>
          <t>Inlinks URLs</t>
        </is>
      </c>
      <c r="D1" s="1" t="inlineStr">
        <is>
          <t>Orphan Candidate</t>
        </is>
      </c>
      <c r="E1" t="inlineStr">
        <is>
          <t>Open in Main</t>
        </is>
      </c>
      <c r="F1" s="23" t="inlineStr">
        <is>
          <t>BACK TO DASHBOARD</t>
        </is>
      </c>
    </row>
    <row r="2">
      <c r="A2" s="33" t="inlineStr">
        <is>
          <t>https://africanmarketingconfederation.org/</t>
        </is>
      </c>
      <c r="B2" s="24" t="n">
        <v>0</v>
      </c>
      <c r="C2" s="27" t="inlineStr"/>
      <c r="D2" s="24" t="b">
        <v>1</v>
      </c>
      <c r="E2">
        <f>IFERROR(HYPERLINK("#Main!A"&amp;MATCH(A2,Main!A:A,0),"Open"),HYPERLINK("#Main!A1","Open"))</f>
        <v/>
      </c>
    </row>
    <row r="3" ht="30" customHeight="1">
      <c r="A3" s="33" t="inlineStr">
        <is>
          <t>https://africanmarketingconfederation.org/publication-download-list/</t>
        </is>
      </c>
      <c r="B3" s="6" t="n">
        <v>0</v>
      </c>
      <c r="C3" s="30" t="inlineStr"/>
      <c r="D3" s="6" t="b">
        <v>1</v>
      </c>
      <c r="E3">
        <f>IFERROR(HYPERLINK("#Main!A"&amp;MATCH(A3,Main!A:A,0),"Open"),HYPERLINK("#Main!A1","Open"))</f>
        <v/>
      </c>
    </row>
    <row r="4" ht="30" customHeight="1">
      <c r="A4" s="33" t="inlineStr">
        <is>
          <t>https://africanmarketingconfederation.org/launch-event-2026-amc-conference/</t>
        </is>
      </c>
      <c r="B4" s="24" t="n">
        <v>0</v>
      </c>
      <c r="C4" s="27" t="inlineStr"/>
      <c r="D4" s="24" t="b">
        <v>1</v>
      </c>
      <c r="E4">
        <f>IFERROR(HYPERLINK("#Main!A"&amp;MATCH(A4,Main!A:A,0),"Open"),HYPERLINK("#Main!A1","Open"))</f>
        <v/>
      </c>
    </row>
    <row r="5" ht="30" customHeight="1">
      <c r="A5" s="33" t="inlineStr">
        <is>
          <t>https://africanmarketingconfederation.org/publications-2/</t>
        </is>
      </c>
      <c r="B5" s="6" t="n">
        <v>0</v>
      </c>
      <c r="C5" s="30" t="inlineStr"/>
      <c r="D5" s="6" t="b">
        <v>1</v>
      </c>
      <c r="E5">
        <f>IFERROR(HYPERLINK("#Main!A"&amp;MATCH(A5,Main!A:A,0),"Open"),HYPERLINK("#Main!A1","Open"))</f>
        <v/>
      </c>
    </row>
    <row r="6" ht="30" customHeight="1">
      <c r="A6" s="33" t="inlineStr">
        <is>
          <t>https://africanmarketingconfederation.org/certified-professional-marketer-africa/</t>
        </is>
      </c>
      <c r="B6" s="24" t="n">
        <v>0</v>
      </c>
      <c r="C6" s="27" t="inlineStr"/>
      <c r="D6" s="24" t="b">
        <v>1</v>
      </c>
      <c r="E6">
        <f>IFERROR(HYPERLINK("#Main!A"&amp;MATCH(A6,Main!A:A,0),"Open"),HYPERLINK("#Main!A1","Open"))</f>
        <v/>
      </c>
    </row>
    <row r="7" ht="30" customHeight="1">
      <c r="A7" s="33" t="inlineStr">
        <is>
          <t>https://africanmarketingconfederation.org/chartered-marketer-africa/</t>
        </is>
      </c>
      <c r="B7" s="6" t="n">
        <v>0</v>
      </c>
      <c r="C7" s="30" t="inlineStr"/>
      <c r="D7" s="6" t="b">
        <v>1</v>
      </c>
      <c r="E7">
        <f>IFERROR(HYPERLINK("#Main!A"&amp;MATCH(A7,Main!A:A,0),"Open"),HYPERLINK("#Main!A1","Open"))</f>
        <v/>
      </c>
    </row>
    <row r="8" ht="30" customHeight="1">
      <c r="A8" s="33" t="inlineStr">
        <is>
          <t>https://africanmarketingconfederation.org/amc-conference-2026/</t>
        </is>
      </c>
      <c r="B8" s="24" t="n">
        <v>0</v>
      </c>
      <c r="C8" s="27" t="inlineStr"/>
      <c r="D8" s="24" t="b">
        <v>1</v>
      </c>
      <c r="E8">
        <f>IFERROR(HYPERLINK("#Main!A"&amp;MATCH(A8,Main!A:A,0),"Open"),HYPERLINK("#Main!A1","Open"))</f>
        <v/>
      </c>
    </row>
    <row r="9" ht="30" customHeight="1">
      <c r="A9" s="33" t="inlineStr">
        <is>
          <t>https://africanmarketingconfederation.org/education/</t>
        </is>
      </c>
      <c r="B9" s="6" t="n">
        <v>0</v>
      </c>
      <c r="C9" s="30" t="inlineStr"/>
      <c r="D9" s="6" t="b">
        <v>1</v>
      </c>
      <c r="E9">
        <f>IFERROR(HYPERLINK("#Main!A"&amp;MATCH(A9,Main!A:A,0),"Open"),HYPERLINK("#Main!A1","Open"))</f>
        <v/>
      </c>
    </row>
    <row r="10" ht="30" customHeight="1">
      <c r="A10" s="33" t="inlineStr">
        <is>
          <t>https://africanmarketingconfederation.org/awards-2026/</t>
        </is>
      </c>
      <c r="B10" s="24" t="n">
        <v>0</v>
      </c>
      <c r="C10" s="27" t="inlineStr"/>
      <c r="D10" s="24" t="b">
        <v>1</v>
      </c>
      <c r="E10">
        <f>IFERROR(HYPERLINK("#Main!A"&amp;MATCH(A10,Main!A:A,0),"Open"),HYPERLINK("#Main!A1","Open"))</f>
        <v/>
      </c>
    </row>
    <row r="11" ht="30" customHeight="1">
      <c r="A11" s="33" t="inlineStr">
        <is>
          <t>https://africanmarketingconfederation.org/contact-us/</t>
        </is>
      </c>
      <c r="B11" s="6" t="n">
        <v>0</v>
      </c>
      <c r="C11" s="30" t="inlineStr"/>
      <c r="D11" s="6" t="b">
        <v>1</v>
      </c>
      <c r="E11">
        <f>IFERROR(HYPERLINK("#Main!A"&amp;MATCH(A11,Main!A:A,0),"Open"),HYPERLINK("#Main!A1","Open"))</f>
        <v/>
      </c>
    </row>
    <row r="12" ht="30" customHeight="1">
      <c r="A12" s="33" t="inlineStr">
        <is>
          <t>https://africanmarketingconfederation.org/news-articles/</t>
        </is>
      </c>
      <c r="B12" s="24" t="n">
        <v>0</v>
      </c>
      <c r="C12" s="27" t="inlineStr"/>
      <c r="D12" s="24" t="b">
        <v>1</v>
      </c>
      <c r="E12">
        <f>IFERROR(HYPERLINK("#Main!A"&amp;MATCH(A12,Main!A:A,0),"Open"),HYPERLINK("#Main!A1","Open"))</f>
        <v/>
      </c>
    </row>
    <row r="13" ht="30" customHeight="1">
      <c r="A13" s="33" t="inlineStr">
        <is>
          <t>https://africanmarketingconfederation.org/african-marketing-confederation-tourism-chapter/</t>
        </is>
      </c>
      <c r="B13" s="6" t="n">
        <v>0</v>
      </c>
      <c r="C13" s="30" t="inlineStr"/>
      <c r="D13" s="6" t="b">
        <v>1</v>
      </c>
      <c r="E13">
        <f>IFERROR(HYPERLINK("#Main!A"&amp;MATCH(A13,Main!A:A,0),"Open"),HYPERLINK("#Main!A1","Open"))</f>
        <v/>
      </c>
    </row>
    <row r="14" ht="30" customHeight="1">
      <c r="A14" s="33" t="inlineStr">
        <is>
          <t>https://africanmarketingconfederation.org/sub-committees/</t>
        </is>
      </c>
      <c r="B14" s="24" t="n">
        <v>0</v>
      </c>
      <c r="C14" s="27" t="inlineStr"/>
      <c r="D14" s="24" t="b">
        <v>1</v>
      </c>
      <c r="E14">
        <f>IFERROR(HYPERLINK("#Main!A"&amp;MATCH(A14,Main!A:A,0),"Open"),HYPERLINK("#Main!A1","Open"))</f>
        <v/>
      </c>
    </row>
    <row r="15" ht="30" customHeight="1">
      <c r="A15" s="33" t="inlineStr">
        <is>
          <t>https://africanmarketingconfederation.org/members/</t>
        </is>
      </c>
      <c r="B15" s="6" t="n">
        <v>0</v>
      </c>
      <c r="C15" s="30" t="inlineStr"/>
      <c r="D15" s="6" t="b">
        <v>1</v>
      </c>
      <c r="E15">
        <f>IFERROR(HYPERLINK("#Main!A"&amp;MATCH(A15,Main!A:A,0),"Open"),HYPERLINK("#Main!A1","Open"))</f>
        <v/>
      </c>
    </row>
    <row r="16" ht="30" customHeight="1">
      <c r="A16" s="33" t="inlineStr">
        <is>
          <t>https://africanmarketingconfederation.org/about-us/</t>
        </is>
      </c>
      <c r="B16" s="24" t="n">
        <v>0</v>
      </c>
      <c r="C16" s="27" t="inlineStr"/>
      <c r="D16" s="24" t="b">
        <v>1</v>
      </c>
      <c r="E16">
        <f>IFERROR(HYPERLINK("#Main!A"&amp;MATCH(A16,Main!A:A,0),"Open"),HYPERLINK("#Main!A1","Open"))</f>
        <v/>
      </c>
    </row>
    <row r="17" ht="30" customHeight="1">
      <c r="A17" s="33" t="inlineStr">
        <is>
          <t>https://africanmarketingconfederation.org/awards-2026-1/</t>
        </is>
      </c>
      <c r="B17" s="6" t="n">
        <v>0</v>
      </c>
      <c r="C17" s="30" t="inlineStr"/>
      <c r="D17" s="6" t="b">
        <v>1</v>
      </c>
      <c r="E17">
        <f>IFERROR(HYPERLINK("#Main!A"&amp;MATCH(A17,Main!A:A,0),"Open"),HYPERLINK("#Main!A1","Open"))</f>
        <v/>
      </c>
    </row>
    <row r="18" ht="30" customHeight="1">
      <c r="A18" s="33" t="inlineStr">
        <is>
          <t>https://africanmarketingconfederation.org/awards-2026-test/</t>
        </is>
      </c>
      <c r="B18" s="24" t="n">
        <v>0</v>
      </c>
      <c r="C18" s="27" t="inlineStr"/>
      <c r="D18" s="24" t="b">
        <v>1</v>
      </c>
      <c r="E18">
        <f>IFERROR(HYPERLINK("#Main!A"&amp;MATCH(A18,Main!A:A,0),"Open"),HYPERLINK("#Main!A1","Open"))</f>
        <v/>
      </c>
    </row>
    <row r="19" ht="30" customHeight="1">
      <c r="A19" s="33" t="inlineStr">
        <is>
          <t>https://africanmarketingconfederation.org/amc-conference-2026-awards-nominations-thank-you/</t>
        </is>
      </c>
      <c r="B19" s="6" t="n">
        <v>0</v>
      </c>
      <c r="C19" s="30" t="inlineStr"/>
      <c r="D19" s="6" t="b">
        <v>1</v>
      </c>
      <c r="E19">
        <f>IFERROR(HYPERLINK("#Main!A"&amp;MATCH(A19,Main!A:A,0),"Open"),HYPERLINK("#Main!A1","Open"))</f>
        <v/>
      </c>
    </row>
    <row r="20" ht="30" customHeight="1">
      <c r="A20" s="33" t="inlineStr">
        <is>
          <t>https://africanmarketingconfederation.org/speakers-2025/</t>
        </is>
      </c>
      <c r="B20" s="24" t="n">
        <v>0</v>
      </c>
      <c r="C20" s="27" t="inlineStr"/>
      <c r="D20" s="24" t="b">
        <v>1</v>
      </c>
      <c r="E20">
        <f>IFERROR(HYPERLINK("#Main!A"&amp;MATCH(A20,Main!A:A,0),"Open"),HYPERLINK("#Main!A1","Open"))</f>
        <v/>
      </c>
    </row>
    <row r="21" ht="30" customHeight="1">
      <c r="A21" s="33" t="inlineStr">
        <is>
          <t>https://africanmarketingconfederation.org/amc-conference-2026-zambia-thank-you/</t>
        </is>
      </c>
      <c r="B21" s="6" t="n">
        <v>0</v>
      </c>
      <c r="C21" s="30" t="inlineStr"/>
      <c r="D21" s="6" t="b">
        <v>1</v>
      </c>
      <c r="E21">
        <f>IFERROR(HYPERLINK("#Main!A"&amp;MATCH(A21,Main!A:A,0),"Open"),HYPERLINK("#Main!A1","Open"))</f>
        <v/>
      </c>
    </row>
    <row r="22" ht="30" customHeight="1">
      <c r="A22" s="33" t="inlineStr">
        <is>
          <t>https://africanmarketingconfederation.org/amc-launch-event-zambia-thank-you-2026/</t>
        </is>
      </c>
      <c r="B22" s="24" t="n">
        <v>0</v>
      </c>
      <c r="C22" s="27" t="inlineStr"/>
      <c r="D22" s="24" t="b">
        <v>1</v>
      </c>
      <c r="E22">
        <f>IFERROR(HYPERLINK("#Main!A"&amp;MATCH(A22,Main!A:A,0),"Open"),HYPERLINK("#Main!A1","Open"))</f>
        <v/>
      </c>
    </row>
    <row r="23" ht="30" customHeight="1">
      <c r="A23" s="33" t="inlineStr">
        <is>
          <t>https://africanmarketingconfederation.org/amc-marketing-conference-2024/awards-2025/</t>
        </is>
      </c>
      <c r="B23" s="6" t="n">
        <v>0</v>
      </c>
      <c r="C23" s="30" t="inlineStr"/>
      <c r="D23" s="6" t="b">
        <v>1</v>
      </c>
      <c r="E23">
        <f>IFERROR(HYPERLINK("#Main!A"&amp;MATCH(A23,Main!A:A,0),"Open"),HYPERLINK("#Main!A1","Open"))</f>
        <v/>
      </c>
    </row>
    <row r="24" ht="30" customHeight="1">
      <c r="A24" s="33" t="inlineStr">
        <is>
          <t>https://africanmarketingconfederation.org/amc-conference-2025-highlights/</t>
        </is>
      </c>
      <c r="B24" s="24" t="n">
        <v>0</v>
      </c>
      <c r="C24" s="27" t="inlineStr"/>
      <c r="D24" s="24" t="b">
        <v>1</v>
      </c>
      <c r="E24">
        <f>IFERROR(HYPERLINK("#Main!A"&amp;MATCH(A24,Main!A:A,0),"Open"),HYPERLINK("#Main!A1","Open"))</f>
        <v/>
      </c>
    </row>
    <row r="25" ht="30" customHeight="1">
      <c r="A25" s="33" t="inlineStr">
        <is>
          <t>https://africanmarketingconfederation.org/amc-conference-2022/</t>
        </is>
      </c>
      <c r="B25" s="6" t="n">
        <v>0</v>
      </c>
      <c r="C25" s="30" t="inlineStr"/>
      <c r="D25" s="6" t="b">
        <v>1</v>
      </c>
      <c r="E25">
        <f>IFERROR(HYPERLINK("#Main!A"&amp;MATCH(A25,Main!A:A,0),"Open"),HYPERLINK("#Main!A1","Open"))</f>
        <v/>
      </c>
    </row>
    <row r="26" ht="30" customHeight="1">
      <c r="A26" s="33" t="inlineStr">
        <is>
          <t>https://africanmarketingconfederation.org/amc-conference-2023/gallery/</t>
        </is>
      </c>
      <c r="B26" s="24" t="n">
        <v>0</v>
      </c>
      <c r="C26" s="27" t="inlineStr"/>
      <c r="D26" s="24" t="b">
        <v>1</v>
      </c>
      <c r="E26">
        <f>IFERROR(HYPERLINK("#Main!A"&amp;MATCH(A26,Main!A:A,0),"Open"),HYPERLINK("#Main!A1","Open"))</f>
        <v/>
      </c>
    </row>
    <row r="27" ht="30" customHeight="1">
      <c r="A27" s="33" t="inlineStr">
        <is>
          <t>https://africanmarketingconfederation.org/conference-registrations-2024/</t>
        </is>
      </c>
      <c r="B27" s="6" t="n">
        <v>0</v>
      </c>
      <c r="C27" s="30" t="inlineStr"/>
      <c r="D27" s="6" t="b">
        <v>1</v>
      </c>
      <c r="E27">
        <f>IFERROR(HYPERLINK("#Main!A"&amp;MATCH(A27,Main!A:A,0),"Open"),HYPERLINK("#Main!A1","Open"))</f>
        <v/>
      </c>
    </row>
    <row r="28" ht="30" customHeight="1">
      <c r="A28" s="33" t="inlineStr">
        <is>
          <t>https://africanmarketingconfederation.org/elementor-31820/</t>
        </is>
      </c>
      <c r="B28" s="24" t="n">
        <v>0</v>
      </c>
      <c r="C28" s="27" t="inlineStr"/>
      <c r="D28" s="24" t="b">
        <v>1</v>
      </c>
      <c r="E28">
        <f>IFERROR(HYPERLINK("#Main!A"&amp;MATCH(A28,Main!A:A,0),"Open"),HYPERLINK("#Main!A1","Open"))</f>
        <v/>
      </c>
    </row>
    <row r="29" ht="30" customHeight="1">
      <c r="A29" s="33" t="inlineStr">
        <is>
          <t>https://africanmarketingconfederation.org/amc-conference-2024-recap/</t>
        </is>
      </c>
      <c r="B29" s="6" t="n">
        <v>0</v>
      </c>
      <c r="C29" s="30" t="inlineStr"/>
      <c r="D29" s="6" t="b">
        <v>1</v>
      </c>
      <c r="E29">
        <f>IFERROR(HYPERLINK("#Main!A"&amp;MATCH(A29,Main!A:A,0),"Open"),HYPERLINK("#Main!A1","Open"))</f>
        <v/>
      </c>
    </row>
    <row r="30" ht="30" customHeight="1">
      <c r="A30" s="33" t="inlineStr">
        <is>
          <t>https://africanmarketingconfederation.org/amc-marketing-conference-2024/amc-programme-2025/</t>
        </is>
      </c>
      <c r="B30" s="24" t="n">
        <v>0</v>
      </c>
      <c r="C30" s="27" t="inlineStr"/>
      <c r="D30" s="24" t="b">
        <v>1</v>
      </c>
      <c r="E30">
        <f>IFERROR(HYPERLINK("#Main!A"&amp;MATCH(A30,Main!A:A,0),"Open"),HYPERLINK("#Main!A1","Open"))</f>
        <v/>
      </c>
    </row>
    <row r="31" ht="30" customHeight="1">
      <c r="A31" s="33" t="inlineStr">
        <is>
          <t>https://africanmarketingconfederation.org/amc-conference-2025/</t>
        </is>
      </c>
      <c r="B31" s="6" t="n">
        <v>0</v>
      </c>
      <c r="C31" s="30" t="inlineStr"/>
      <c r="D31" s="6" t="b">
        <v>1</v>
      </c>
      <c r="E31">
        <f>IFERROR(HYPERLINK("#Main!A"&amp;MATCH(A31,Main!A:A,0),"Open"),HYPERLINK("#Main!A1","Open"))</f>
        <v/>
      </c>
    </row>
    <row r="32" ht="30" customHeight="1">
      <c r="A32" s="33" t="inlineStr">
        <is>
          <t>https://africanmarketingconfederation.org/amc-sponsors-2025/</t>
        </is>
      </c>
      <c r="B32" s="24" t="n">
        <v>0</v>
      </c>
      <c r="C32" s="27" t="inlineStr"/>
      <c r="D32" s="24" t="b">
        <v>1</v>
      </c>
      <c r="E32">
        <f>IFERROR(HYPERLINK("#Main!A"&amp;MATCH(A32,Main!A:A,0),"Open"),HYPERLINK("#Main!A1","Open"))</f>
        <v/>
      </c>
    </row>
    <row r="33" ht="30" customHeight="1">
      <c r="A33" s="33" t="inlineStr">
        <is>
          <t>https://africanmarketingconfederation.org/amc-conference-2022-prospectus/</t>
        </is>
      </c>
      <c r="B33" s="6" t="n">
        <v>0</v>
      </c>
      <c r="C33" s="30" t="inlineStr"/>
      <c r="D33" s="6" t="b">
        <v>1</v>
      </c>
      <c r="E33">
        <f>IFERROR(HYPERLINK("#Main!A"&amp;MATCH(A33,Main!A:A,0),"Open"),HYPERLINK("#Main!A1","Open"))</f>
        <v/>
      </c>
    </row>
    <row r="34" ht="30" customHeight="1">
      <c r="A34" s="33" t="inlineStr">
        <is>
          <t>https://africanmarketingconfederation.org/test-payment-gate/</t>
        </is>
      </c>
      <c r="B34" s="24" t="n">
        <v>0</v>
      </c>
      <c r="C34" s="27" t="inlineStr"/>
      <c r="D34" s="24" t="b">
        <v>1</v>
      </c>
      <c r="E34">
        <f>IFERROR(HYPERLINK("#Main!A"&amp;MATCH(A34,Main!A:A,0),"Open"),HYPERLINK("#Main!A1","Open"))</f>
        <v/>
      </c>
    </row>
    <row r="35" ht="30" customHeight="1">
      <c r="A35" s="33" t="inlineStr">
        <is>
          <t>https://africanmarketingconfederation.org/amc-marketing-conference-2024/amc-preregister-2025/</t>
        </is>
      </c>
      <c r="B35" s="6" t="n">
        <v>0</v>
      </c>
      <c r="C35" s="30" t="inlineStr"/>
      <c r="D35" s="6" t="b">
        <v>1</v>
      </c>
      <c r="E35">
        <f>IFERROR(HYPERLINK("#Main!A"&amp;MATCH(A35,Main!A:A,0),"Open"),HYPERLINK("#Main!A1","Open"))</f>
        <v/>
      </c>
    </row>
    <row r="36" ht="30" customHeight="1">
      <c r="A36" s="33" t="inlineStr">
        <is>
          <t>https://africanmarketingconfederation.org/conference-faq-2025/</t>
        </is>
      </c>
      <c r="B36" s="24" t="n">
        <v>0</v>
      </c>
      <c r="C36" s="27" t="inlineStr"/>
      <c r="D36" s="24" t="b">
        <v>1</v>
      </c>
      <c r="E36">
        <f>IFERROR(HYPERLINK("#Main!A"&amp;MATCH(A36,Main!A:A,0),"Open"),HYPERLINK("#Main!A1","Open"))</f>
        <v/>
      </c>
    </row>
    <row r="37" ht="45" customHeight="1">
      <c r="A37" s="33" t="inlineStr">
        <is>
          <t>https://africanmarketingconfederation.org/amc-marketing-conference-2024/amc-conference-2025-ghana-sponsors/</t>
        </is>
      </c>
      <c r="B37" s="6" t="n">
        <v>0</v>
      </c>
      <c r="C37" s="30" t="inlineStr"/>
      <c r="D37" s="6" t="b">
        <v>1</v>
      </c>
      <c r="E37">
        <f>IFERROR(HYPERLINK("#Main!A"&amp;MATCH(A37,Main!A:A,0),"Open"),HYPERLINK("#Main!A1","Open"))</f>
        <v/>
      </c>
    </row>
    <row r="38" ht="30" customHeight="1">
      <c r="A38" s="33" t="inlineStr">
        <is>
          <t>https://africanmarketingconfederation.org/amc-forum-payments/</t>
        </is>
      </c>
      <c r="B38" s="24" t="n">
        <v>0</v>
      </c>
      <c r="C38" s="27" t="inlineStr"/>
      <c r="D38" s="24" t="b">
        <v>1</v>
      </c>
      <c r="E38">
        <f>IFERROR(HYPERLINK("#Main!A"&amp;MATCH(A38,Main!A:A,0),"Open"),HYPERLINK("#Main!A1","Open"))</f>
        <v/>
      </c>
    </row>
    <row r="39" ht="30" customHeight="1">
      <c r="A39" s="33" t="inlineStr">
        <is>
          <t>https://africanmarketingconfederation.org/amc-marketing-conference-2024/amc-launch-event-2025/</t>
        </is>
      </c>
      <c r="B39" s="6" t="n">
        <v>0</v>
      </c>
      <c r="C39" s="30" t="inlineStr"/>
      <c r="D39" s="6" t="b">
        <v>1</v>
      </c>
      <c r="E39">
        <f>IFERROR(HYPERLINK("#Main!A"&amp;MATCH(A39,Main!A:A,0),"Open"),HYPERLINK("#Main!A1","Open"))</f>
        <v/>
      </c>
    </row>
    <row r="40" ht="30" customHeight="1">
      <c r="A40" s="33" t="inlineStr">
        <is>
          <t>https://africanmarketingconfederation.org/checkout/</t>
        </is>
      </c>
      <c r="B40" s="24" t="n">
        <v>0</v>
      </c>
      <c r="C40" s="27" t="inlineStr"/>
      <c r="D40" s="24" t="b">
        <v>1</v>
      </c>
      <c r="E40">
        <f>IFERROR(HYPERLINK("#Main!A"&amp;MATCH(A40,Main!A:A,0),"Open"),HYPERLINK("#Main!A1","Open"))</f>
        <v/>
      </c>
    </row>
    <row r="41" ht="30" customHeight="1">
      <c r="A41" s="33" t="inlineStr">
        <is>
          <t>https://africanmarketingconfederation.org/amc-awards-2024/</t>
        </is>
      </c>
      <c r="B41" s="6" t="n">
        <v>0</v>
      </c>
      <c r="C41" s="30" t="inlineStr"/>
      <c r="D41" s="6" t="b">
        <v>1</v>
      </c>
      <c r="E41">
        <f>IFERROR(HYPERLINK("#Main!A"&amp;MATCH(A41,Main!A:A,0),"Open"),HYPERLINK("#Main!A1","Open"))</f>
        <v/>
      </c>
    </row>
    <row r="42" ht="30" customHeight="1">
      <c r="A42" s="33" t="inlineStr">
        <is>
          <t>https://africanmarketingconfederation.org/amc-conference-2023/</t>
        </is>
      </c>
      <c r="B42" s="24" t="n">
        <v>0</v>
      </c>
      <c r="C42" s="27" t="inlineStr"/>
      <c r="D42" s="24" t="b">
        <v>1</v>
      </c>
      <c r="E42">
        <f>IFERROR(HYPERLINK("#Main!A"&amp;MATCH(A42,Main!A:A,0),"Open"),HYPERLINK("#Main!A1","Open"))</f>
        <v/>
      </c>
    </row>
    <row r="43" ht="30" customHeight="1">
      <c r="A43" s="33" t="inlineStr">
        <is>
          <t>https://africanmarketingconfederation.org/amc-forum-mombasa/</t>
        </is>
      </c>
      <c r="B43" s="6" t="n">
        <v>0</v>
      </c>
      <c r="C43" s="30" t="inlineStr"/>
      <c r="D43" s="6" t="b">
        <v>1</v>
      </c>
      <c r="E43">
        <f>IFERROR(HYPERLINK("#Main!A"&amp;MATCH(A43,Main!A:A,0),"Open"),HYPERLINK("#Main!A1","Open"))</f>
        <v/>
      </c>
    </row>
    <row r="44" ht="45" customHeight="1">
      <c r="A44" s="33" t="inlineStr">
        <is>
          <t>https://africanmarketingconfederation.org/amc-marketing-conference-2024/amc-speakers-presentations-2024/</t>
        </is>
      </c>
      <c r="B44" s="24" t="n">
        <v>0</v>
      </c>
      <c r="C44" s="27" t="inlineStr"/>
      <c r="D44" s="24" t="b">
        <v>1</v>
      </c>
      <c r="E44">
        <f>IFERROR(HYPERLINK("#Main!A"&amp;MATCH(A44,Main!A:A,0),"Open"),HYPERLINK("#Main!A1","Open"))</f>
        <v/>
      </c>
    </row>
    <row r="45" ht="30" customHeight="1">
      <c r="A45" s="33" t="inlineStr">
        <is>
          <t>https://africanmarketingconfederation.org/amc-marketing-conference-2024/testimony-thank-you-page/</t>
        </is>
      </c>
      <c r="B45" s="6" t="n">
        <v>0</v>
      </c>
      <c r="C45" s="30" t="inlineStr"/>
      <c r="D45" s="6" t="b">
        <v>1</v>
      </c>
      <c r="E45">
        <f>IFERROR(HYPERLINK("#Main!A"&amp;MATCH(A45,Main!A:A,0),"Open"),HYPERLINK("#Main!A1","Open"))</f>
        <v/>
      </c>
    </row>
    <row r="46" ht="30" customHeight="1">
      <c r="A46" s="33" t="inlineStr">
        <is>
          <t>https://africanmarketingconfederation.org/amc-sign-up-now-form-2025/</t>
        </is>
      </c>
      <c r="B46" s="24" t="n">
        <v>0</v>
      </c>
      <c r="C46" s="27" t="inlineStr"/>
      <c r="D46" s="24" t="b">
        <v>1</v>
      </c>
      <c r="E46">
        <f>IFERROR(HYPERLINK("#Main!A"&amp;MATCH(A46,Main!A:A,0),"Open"),HYPERLINK("#Main!A1","Open"))</f>
        <v/>
      </c>
    </row>
    <row r="47" ht="30" customHeight="1">
      <c r="A47" s="33" t="inlineStr">
        <is>
          <t>https://africanmarketingconfederation.org/amc-marketing-conference-2024/</t>
        </is>
      </c>
      <c r="B47" s="6" t="n">
        <v>0</v>
      </c>
      <c r="C47" s="30" t="inlineStr"/>
      <c r="D47" s="6" t="b">
        <v>1</v>
      </c>
      <c r="E47">
        <f>IFERROR(HYPERLINK("#Main!A"&amp;MATCH(A47,Main!A:A,0),"Open"),HYPERLINK("#Main!A1","Open"))</f>
        <v/>
      </c>
    </row>
    <row r="48" ht="30" customHeight="1">
      <c r="A48" s="33" t="inlineStr">
        <is>
          <t>https://africanmarketingconfederation.org/amc-testimony-page-2024/</t>
        </is>
      </c>
      <c r="B48" s="24" t="n">
        <v>0</v>
      </c>
      <c r="C48" s="27" t="inlineStr"/>
      <c r="D48" s="24" t="b">
        <v>1</v>
      </c>
      <c r="E48">
        <f>IFERROR(HYPERLINK("#Main!A"&amp;MATCH(A48,Main!A:A,0),"Open"),HYPERLINK("#Main!A1","Open"))</f>
        <v/>
      </c>
    </row>
    <row r="49" ht="30" customHeight="1">
      <c r="A49" s="33" t="inlineStr">
        <is>
          <t>https://africanmarketingconfederation.org/thank-you-for-registering-2024-registrations/</t>
        </is>
      </c>
      <c r="B49" s="6" t="n">
        <v>0</v>
      </c>
      <c r="C49" s="30" t="inlineStr"/>
      <c r="D49" s="6" t="b">
        <v>1</v>
      </c>
      <c r="E49">
        <f>IFERROR(HYPERLINK("#Main!A"&amp;MATCH(A49,Main!A:A,0),"Open"),HYPERLINK("#Main!A1","Open"))</f>
        <v/>
      </c>
    </row>
    <row r="50" ht="30" customHeight="1">
      <c r="A50" s="33" t="inlineStr">
        <is>
          <t>https://africanmarketingconfederation.org/download-prospectus-2024/</t>
        </is>
      </c>
      <c r="B50" s="24" t="n">
        <v>0</v>
      </c>
      <c r="C50" s="27" t="inlineStr"/>
      <c r="D50" s="24" t="b">
        <v>1</v>
      </c>
      <c r="E50">
        <f>IFERROR(HYPERLINK("#Main!A"&amp;MATCH(A50,Main!A:A,0),"Open"),HYPERLINK("#Main!A1","Open"))</f>
        <v/>
      </c>
    </row>
    <row r="51" ht="30" customHeight="1">
      <c r="A51" s="33" t="inlineStr">
        <is>
          <t>https://africanmarketingconfederation.org/thank-you-for-registering-2024-registrations-kenya/</t>
        </is>
      </c>
      <c r="B51" s="6" t="n">
        <v>0</v>
      </c>
      <c r="C51" s="30" t="inlineStr"/>
      <c r="D51" s="6" t="b">
        <v>1</v>
      </c>
      <c r="E51">
        <f>IFERROR(HYPERLINK("#Main!A"&amp;MATCH(A51,Main!A:A,0),"Open"),HYPERLINK("#Main!A1","Open"))</f>
        <v/>
      </c>
    </row>
    <row r="52" ht="30" customHeight="1">
      <c r="A52" s="33" t="inlineStr">
        <is>
          <t>https://africanmarketingconfederation.org/subscribe/</t>
        </is>
      </c>
      <c r="B52" s="24" t="n">
        <v>0</v>
      </c>
      <c r="C52" s="27" t="inlineStr"/>
      <c r="D52" s="24" t="b">
        <v>1</v>
      </c>
      <c r="E52">
        <f>IFERROR(HYPERLINK("#Main!A"&amp;MATCH(A52,Main!A:A,0),"Open"),HYPERLINK("#Main!A1","Open"))</f>
        <v/>
      </c>
    </row>
    <row r="53" ht="30" customHeight="1">
      <c r="A53" s="33" t="inlineStr">
        <is>
          <t>https://africanmarketingconfederation.org/amc-marketing-conference-2024/speakers-2024/</t>
        </is>
      </c>
      <c r="B53" s="6" t="n">
        <v>0</v>
      </c>
      <c r="C53" s="30" t="inlineStr"/>
      <c r="D53" s="6" t="b">
        <v>1</v>
      </c>
      <c r="E53">
        <f>IFERROR(HYPERLINK("#Main!A"&amp;MATCH(A53,Main!A:A,0),"Open"),HYPERLINK("#Main!A1","Open"))</f>
        <v/>
      </c>
    </row>
    <row r="54" ht="30" customHeight="1">
      <c r="A54" s="33" t="inlineStr">
        <is>
          <t>https://africanmarketingconfederation.org/amc-conference-sponsors/</t>
        </is>
      </c>
      <c r="B54" s="24" t="n">
        <v>0</v>
      </c>
      <c r="C54" s="27" t="inlineStr"/>
      <c r="D54" s="24" t="b">
        <v>1</v>
      </c>
      <c r="E54">
        <f>IFERROR(HYPERLINK("#Main!A"&amp;MATCH(A54,Main!A:A,0),"Open"),HYPERLINK("#Main!A1","Open"))</f>
        <v/>
      </c>
    </row>
    <row r="55" ht="30" customHeight="1">
      <c r="A55" s="33" t="inlineStr">
        <is>
          <t>https://africanmarketingconfederation.org/elementor-20341/</t>
        </is>
      </c>
      <c r="B55" s="6" t="n">
        <v>0</v>
      </c>
      <c r="C55" s="30" t="inlineStr"/>
      <c r="D55" s="6" t="b">
        <v>1</v>
      </c>
      <c r="E55">
        <f>IFERROR(HYPERLINK("#Main!A"&amp;MATCH(A55,Main!A:A,0),"Open"),HYPERLINK("#Main!A1","Open"))</f>
        <v/>
      </c>
    </row>
    <row r="56" ht="30" customHeight="1">
      <c r="A56" s="33" t="inlineStr">
        <is>
          <t>https://africanmarketingconfederation.org/chartered-marketer-africa-final-submission-fee/</t>
        </is>
      </c>
      <c r="B56" s="24" t="n">
        <v>0</v>
      </c>
      <c r="C56" s="27" t="inlineStr"/>
      <c r="D56" s="24" t="b">
        <v>1</v>
      </c>
      <c r="E56">
        <f>IFERROR(HYPERLINK("#Main!A"&amp;MATCH(A56,Main!A:A,0),"Open"),HYPERLINK("#Main!A1","Open"))</f>
        <v/>
      </c>
    </row>
    <row r="57" ht="30" customHeight="1">
      <c r="A57" s="33" t="inlineStr">
        <is>
          <t>https://africanmarketingconfederation.org/chartered-marketer-africa-programme-fee/</t>
        </is>
      </c>
      <c r="B57" s="6" t="n">
        <v>0</v>
      </c>
      <c r="C57" s="30" t="inlineStr"/>
      <c r="D57" s="6" t="b">
        <v>1</v>
      </c>
      <c r="E57">
        <f>IFERROR(HYPERLINK("#Main!A"&amp;MATCH(A57,Main!A:A,0),"Open"),HYPERLINK("#Main!A1","Open"))</f>
        <v/>
      </c>
    </row>
    <row r="58" ht="30" customHeight="1">
      <c r="A58" s="33" t="inlineStr">
        <is>
          <t>https://africanmarketingconfederation.org/download-brochure/</t>
        </is>
      </c>
      <c r="B58" s="24" t="n">
        <v>0</v>
      </c>
      <c r="C58" s="27" t="inlineStr"/>
      <c r="D58" s="24" t="b">
        <v>1</v>
      </c>
      <c r="E58">
        <f>IFERROR(HYPERLINK("#Main!A"&amp;MATCH(A58,Main!A:A,0),"Open"),HYPERLINK("#Main!A1","Open"))</f>
        <v/>
      </c>
    </row>
    <row r="59" ht="30" customHeight="1">
      <c r="A59" s="33" t="inlineStr">
        <is>
          <t>https://africanmarketingconfederation.org/thank-you-for-the-nomination-2024/</t>
        </is>
      </c>
      <c r="B59" s="6" t="n">
        <v>0</v>
      </c>
      <c r="C59" s="30" t="inlineStr"/>
      <c r="D59" s="6" t="b">
        <v>1</v>
      </c>
      <c r="E59">
        <f>IFERROR(HYPERLINK("#Main!A"&amp;MATCH(A59,Main!A:A,0),"Open"),HYPERLINK("#Main!A1","Open"))</f>
        <v/>
      </c>
    </row>
    <row r="60" ht="30" customHeight="1">
      <c r="A60" s="33" t="inlineStr">
        <is>
          <t>https://africanmarketingconfederation.org/thank-you-for-the-submission-2024/</t>
        </is>
      </c>
      <c r="B60" s="24" t="n">
        <v>0</v>
      </c>
      <c r="C60" s="27" t="inlineStr"/>
      <c r="D60" s="24" t="b">
        <v>1</v>
      </c>
      <c r="E60">
        <f>IFERROR(HYPERLINK("#Main!A"&amp;MATCH(A60,Main!A:A,0),"Open"),HYPERLINK("#Main!A1","Open"))</f>
        <v/>
      </c>
    </row>
    <row r="61" ht="30" customHeight="1">
      <c r="A61" s="33" t="inlineStr">
        <is>
          <t>https://africanmarketingconfederation.org/amc-conference-2024-sponsors-packages/</t>
        </is>
      </c>
      <c r="B61" s="6" t="n">
        <v>0</v>
      </c>
      <c r="C61" s="30" t="inlineStr"/>
      <c r="D61" s="6" t="b">
        <v>1</v>
      </c>
      <c r="E61">
        <f>IFERROR(HYPERLINK("#Main!A"&amp;MATCH(A61,Main!A:A,0),"Open"),HYPERLINK("#Main!A1","Open"))</f>
        <v/>
      </c>
    </row>
    <row r="62" ht="30" customHeight="1">
      <c r="A62" s="33" t="inlineStr">
        <is>
          <t>https://africanmarketingconfederation.org/elementor-16548/</t>
        </is>
      </c>
      <c r="B62" s="24" t="n">
        <v>0</v>
      </c>
      <c r="C62" s="27" t="inlineStr"/>
      <c r="D62" s="24" t="b">
        <v>1</v>
      </c>
      <c r="E62">
        <f>IFERROR(HYPERLINK("#Main!A"&amp;MATCH(A62,Main!A:A,0),"Open"),HYPERLINK("#Main!A1","Open"))</f>
        <v/>
      </c>
    </row>
    <row r="63" ht="30" customHeight="1">
      <c r="A63" s="33" t="inlineStr">
        <is>
          <t>https://africanmarketingconfederation.org/amc-marketing-conference-2024/programme-2024/</t>
        </is>
      </c>
      <c r="B63" s="6" t="n">
        <v>0</v>
      </c>
      <c r="C63" s="30" t="inlineStr"/>
      <c r="D63" s="6" t="b">
        <v>1</v>
      </c>
      <c r="E63">
        <f>IFERROR(HYPERLINK("#Main!A"&amp;MATCH(A63,Main!A:A,0),"Open"),HYPERLINK("#Main!A1","Open"))</f>
        <v/>
      </c>
    </row>
    <row r="64" ht="30" customHeight="1">
      <c r="A64" s="33" t="inlineStr">
        <is>
          <t>https://africanmarketingconfederation.org/amc-conference-2023/programme/</t>
        </is>
      </c>
      <c r="B64" s="24" t="n">
        <v>0</v>
      </c>
      <c r="C64" s="27" t="inlineStr"/>
      <c r="D64" s="24" t="b">
        <v>1</v>
      </c>
      <c r="E64">
        <f>IFERROR(HYPERLINK("#Main!A"&amp;MATCH(A64,Main!A:A,0),"Open"),HYPERLINK("#Main!A1","Open"))</f>
        <v/>
      </c>
    </row>
    <row r="65" ht="30" customHeight="1">
      <c r="A65" s="33" t="inlineStr">
        <is>
          <t>https://africanmarketingconfederation.org/amc-conference-2023/amc-awards/</t>
        </is>
      </c>
      <c r="B65" s="6" t="n">
        <v>0</v>
      </c>
      <c r="C65" s="30" t="inlineStr"/>
      <c r="D65" s="6" t="b">
        <v>1</v>
      </c>
      <c r="E65">
        <f>IFERROR(HYPERLINK("#Main!A"&amp;MATCH(A65,Main!A:A,0),"Open"),HYPERLINK("#Main!A1","Open"))</f>
        <v/>
      </c>
    </row>
    <row r="66" ht="30" customHeight="1">
      <c r="A66" s="33" t="inlineStr">
        <is>
          <t>https://africanmarketingconfederation.org/amc-conference-2023/partners/</t>
        </is>
      </c>
      <c r="B66" s="24" t="n">
        <v>0</v>
      </c>
      <c r="C66" s="27" t="inlineStr"/>
      <c r="D66" s="24" t="b">
        <v>1</v>
      </c>
      <c r="E66">
        <f>IFERROR(HYPERLINK("#Main!A"&amp;MATCH(A66,Main!A:A,0),"Open"),HYPERLINK("#Main!A1","Open"))</f>
        <v/>
      </c>
    </row>
    <row r="67" ht="30" customHeight="1">
      <c r="A67" s="33" t="inlineStr">
        <is>
          <t>https://africanmarketingconfederation.org/amc-conference-2023/speakers/</t>
        </is>
      </c>
      <c r="B67" s="6" t="n">
        <v>0</v>
      </c>
      <c r="C67" s="30" t="inlineStr"/>
      <c r="D67" s="6" t="b">
        <v>1</v>
      </c>
      <c r="E67">
        <f>IFERROR(HYPERLINK("#Main!A"&amp;MATCH(A67,Main!A:A,0),"Open"),HYPERLINK("#Main!A1","Open"))</f>
        <v/>
      </c>
    </row>
    <row r="68" ht="30" customHeight="1">
      <c r="A68" s="33" t="inlineStr">
        <is>
          <t>https://africanmarketingconfederation.org/chartered-marketer-africa-thank-you/</t>
        </is>
      </c>
      <c r="B68" s="24" t="n">
        <v>0</v>
      </c>
      <c r="C68" s="27" t="inlineStr"/>
      <c r="D68" s="24" t="b">
        <v>1</v>
      </c>
      <c r="E68">
        <f>IFERROR(HYPERLINK("#Main!A"&amp;MATCH(A68,Main!A:A,0),"Open"),HYPERLINK("#Main!A1","Open"))</f>
        <v/>
      </c>
    </row>
    <row r="69" ht="30" customHeight="1">
      <c r="A69" s="33" t="inlineStr">
        <is>
          <t>https://africanmarketingconfederation.org/amc-conference-2023/amc-awards-book-now/</t>
        </is>
      </c>
      <c r="B69" s="6" t="n">
        <v>0</v>
      </c>
      <c r="C69" s="30" t="inlineStr"/>
      <c r="D69" s="6" t="b">
        <v>1</v>
      </c>
      <c r="E69">
        <f>IFERROR(HYPERLINK("#Main!A"&amp;MATCH(A69,Main!A:A,0),"Open"),HYPERLINK("#Main!A1","Open"))</f>
        <v/>
      </c>
    </row>
    <row r="70" ht="30" customHeight="1">
      <c r="A70" s="33" t="inlineStr">
        <is>
          <t>https://africanmarketingconfederation.org/amc-conference-2023/book-now/</t>
        </is>
      </c>
      <c r="B70" s="24" t="n">
        <v>0</v>
      </c>
      <c r="C70" s="27" t="inlineStr"/>
      <c r="D70" s="24" t="b">
        <v>1</v>
      </c>
      <c r="E70">
        <f>IFERROR(HYPERLINK("#Main!A"&amp;MATCH(A70,Main!A:A,0),"Open"),HYPERLINK("#Main!A1","Open"))</f>
        <v/>
      </c>
    </row>
    <row r="71" ht="30" customHeight="1">
      <c r="A71" s="33" t="inlineStr">
        <is>
          <t>https://africanmarketingconfederation.org/amc-conference-2023/download-prospectus/</t>
        </is>
      </c>
      <c r="B71" s="6" t="n">
        <v>0</v>
      </c>
      <c r="C71" s="30" t="inlineStr"/>
      <c r="D71" s="6" t="b">
        <v>1</v>
      </c>
      <c r="E71">
        <f>IFERROR(HYPERLINK("#Main!A"&amp;MATCH(A71,Main!A:A,0),"Open"),HYPERLINK("#Main!A1","Open"))</f>
        <v/>
      </c>
    </row>
    <row r="72" ht="30" customHeight="1">
      <c r="A72" s="33" t="inlineStr">
        <is>
          <t>https://africanmarketingconfederation.org/thank-you-for-subscribing/</t>
        </is>
      </c>
      <c r="B72" s="24" t="n">
        <v>0</v>
      </c>
      <c r="C72" s="27" t="inlineStr"/>
      <c r="D72" s="24" t="b">
        <v>1</v>
      </c>
      <c r="E72">
        <f>IFERROR(HYPERLINK("#Main!A"&amp;MATCH(A72,Main!A:A,0),"Open"),HYPERLINK("#Main!A1","Open"))</f>
        <v/>
      </c>
    </row>
    <row r="73" ht="30" customHeight="1">
      <c r="A73" s="33" t="inlineStr">
        <is>
          <t>https://africanmarketingconfederation.org/amc-conference-2023/book-now-thank-you/</t>
        </is>
      </c>
      <c r="B73" s="6" t="n">
        <v>0</v>
      </c>
      <c r="C73" s="30" t="inlineStr"/>
      <c r="D73" s="6" t="b">
        <v>1</v>
      </c>
      <c r="E73">
        <f>IFERROR(HYPERLINK("#Main!A"&amp;MATCH(A73,Main!A:A,0),"Open"),HYPERLINK("#Main!A1","Open"))</f>
        <v/>
      </c>
    </row>
    <row r="74" ht="30" customHeight="1">
      <c r="A74" s="33" t="inlineStr">
        <is>
          <t>https://africanmarketingconfederation.org/upcoming-events/</t>
        </is>
      </c>
      <c r="B74" s="24" t="n">
        <v>0</v>
      </c>
      <c r="C74" s="27" t="inlineStr"/>
      <c r="D74" s="24" t="b">
        <v>1</v>
      </c>
      <c r="E74">
        <f>IFERROR(HYPERLINK("#Main!A"&amp;MATCH(A74,Main!A:A,0),"Open"),HYPERLINK("#Main!A1","Open"))</f>
        <v/>
      </c>
    </row>
    <row r="75" ht="30" customHeight="1">
      <c r="A75" s="33" t="inlineStr">
        <is>
          <t>https://africanmarketingconfederation.org/amc-conference-thank-you/</t>
        </is>
      </c>
      <c r="B75" s="6" t="n">
        <v>0</v>
      </c>
      <c r="C75" s="30" t="inlineStr"/>
      <c r="D75" s="6" t="b">
        <v>1</v>
      </c>
      <c r="E75">
        <f>IFERROR(HYPERLINK("#Main!A"&amp;MATCH(A75,Main!A:A,0),"Open"),HYPERLINK("#Main!A1","Open"))</f>
        <v/>
      </c>
    </row>
    <row r="76" ht="30" customHeight="1">
      <c r="A76" s="33" t="inlineStr">
        <is>
          <t>https://africanmarketingconfederation.org/amc-masterclass/</t>
        </is>
      </c>
      <c r="B76" s="24" t="n">
        <v>0</v>
      </c>
      <c r="C76" s="27" t="inlineStr"/>
      <c r="D76" s="24" t="b">
        <v>1</v>
      </c>
      <c r="E76">
        <f>IFERROR(HYPERLINK("#Main!A"&amp;MATCH(A76,Main!A:A,0),"Open"),HYPERLINK("#Main!A1","Open"))</f>
        <v/>
      </c>
    </row>
    <row r="77" ht="30" customHeight="1">
      <c r="A77" s="33" t="inlineStr">
        <is>
          <t>https://africanmarketingconfederation.org/amc-relaunch-programme/</t>
        </is>
      </c>
      <c r="B77" s="6" t="n">
        <v>0</v>
      </c>
      <c r="C77" s="30" t="inlineStr"/>
      <c r="D77" s="6" t="b">
        <v>1</v>
      </c>
      <c r="E77">
        <f>IFERROR(HYPERLINK("#Main!A"&amp;MATCH(A77,Main!A:A,0),"Open"),HYPERLINK("#Main!A1","Open"))</f>
        <v/>
      </c>
    </row>
    <row r="78" ht="30" customHeight="1">
      <c r="A78" s="33" t="inlineStr">
        <is>
          <t>https://africanmarketingconfederation.org/amc-masterclass-thank-you/</t>
        </is>
      </c>
      <c r="B78" s="24" t="n">
        <v>0</v>
      </c>
      <c r="C78" s="27" t="inlineStr"/>
      <c r="D78" s="24" t="b">
        <v>1</v>
      </c>
      <c r="E78">
        <f>IFERROR(HYPERLINK("#Main!A"&amp;MATCH(A78,Main!A:A,0),"Open"),HYPERLINK("#Main!A1","Open"))</f>
        <v/>
      </c>
    </row>
    <row r="79" ht="30" customHeight="1">
      <c r="A79" s="33" t="inlineStr">
        <is>
          <t>https://africanmarketingconfederation.org/amc-masterclass-bookings/</t>
        </is>
      </c>
      <c r="B79" s="6" t="n">
        <v>0</v>
      </c>
      <c r="C79" s="30" t="inlineStr"/>
      <c r="D79" s="6" t="b">
        <v>1</v>
      </c>
      <c r="E79">
        <f>IFERROR(HYPERLINK("#Main!A"&amp;MATCH(A79,Main!A:A,0),"Open"),HYPERLINK("#Main!A1","Open"))</f>
        <v/>
      </c>
    </row>
    <row r="80" ht="30" customHeight="1">
      <c r="A80" s="33" t="inlineStr">
        <is>
          <t>https://africanmarketingconfederation.org/amc-conference-programme/</t>
        </is>
      </c>
      <c r="B80" s="24" t="n">
        <v>0</v>
      </c>
      <c r="C80" s="27" t="inlineStr"/>
      <c r="D80" s="24" t="b">
        <v>1</v>
      </c>
      <c r="E80">
        <f>IFERROR(HYPERLINK("#Main!A"&amp;MATCH(A80,Main!A:A,0),"Open"),HYPERLINK("#Main!A1","Open"))</f>
        <v/>
      </c>
    </row>
    <row r="81" ht="30" customHeight="1">
      <c r="A81" s="33" t="inlineStr">
        <is>
          <t>https://africanmarketingconfederation.org/test-homeslider/</t>
        </is>
      </c>
      <c r="B81" s="6" t="n">
        <v>0</v>
      </c>
      <c r="C81" s="30" t="inlineStr"/>
      <c r="D81" s="6" t="b">
        <v>1</v>
      </c>
      <c r="E81">
        <f>IFERROR(HYPERLINK("#Main!A"&amp;MATCH(A81,Main!A:A,0),"Open"),HYPERLINK("#Main!A1","Open"))</f>
        <v/>
      </c>
    </row>
    <row r="82" ht="30" customHeight="1">
      <c r="A82" s="33" t="inlineStr">
        <is>
          <t>https://africanmarketingconfederation.org/virtual-programme/</t>
        </is>
      </c>
      <c r="B82" s="24" t="n">
        <v>0</v>
      </c>
      <c r="C82" s="27" t="inlineStr"/>
      <c r="D82" s="24" t="b">
        <v>1</v>
      </c>
      <c r="E82">
        <f>IFERROR(HYPERLINK("#Main!A"&amp;MATCH(A82,Main!A:A,0),"Open"),HYPERLINK("#Main!A1","Open"))</f>
        <v/>
      </c>
    </row>
    <row r="83" ht="30" customHeight="1">
      <c r="A83" s="33" t="inlineStr">
        <is>
          <t>https://africanmarketingconfederation.org/general-enquiry-form-thank-you/</t>
        </is>
      </c>
      <c r="B83" s="6" t="n">
        <v>0</v>
      </c>
      <c r="C83" s="30" t="inlineStr"/>
      <c r="D83" s="6" t="b">
        <v>1</v>
      </c>
      <c r="E83">
        <f>IFERROR(HYPERLINK("#Main!A"&amp;MATCH(A83,Main!A:A,0),"Open"),HYPERLINK("#Main!A1","Open"))</f>
        <v/>
      </c>
    </row>
    <row r="84" ht="30" customHeight="1">
      <c r="A84" s="33" t="inlineStr">
        <is>
          <t>https://africanmarketingconfederation.org/amc-conference-2022-thank-you/</t>
        </is>
      </c>
      <c r="B84" s="24" t="n">
        <v>0</v>
      </c>
      <c r="C84" s="27" t="inlineStr"/>
      <c r="D84" s="24" t="b">
        <v>1</v>
      </c>
      <c r="E84">
        <f>IFERROR(HYPERLINK("#Main!A"&amp;MATCH(A84,Main!A:A,0),"Open"),HYPERLINK("#Main!A1","Open"))</f>
        <v/>
      </c>
    </row>
    <row r="85" ht="30" customHeight="1">
      <c r="A85" s="33" t="inlineStr">
        <is>
          <t>https://africanmarketingconfederation.org/privacy-policy/</t>
        </is>
      </c>
      <c r="B85" s="6" t="n">
        <v>0</v>
      </c>
      <c r="C85" s="30" t="inlineStr"/>
      <c r="D85" s="6" t="b">
        <v>1</v>
      </c>
      <c r="E85">
        <f>IFERROR(HYPERLINK("#Main!A"&amp;MATCH(A85,Main!A:A,0),"Open"),HYPERLINK("#Main!A1","Open"))</f>
        <v/>
      </c>
    </row>
    <row r="86" ht="30" customHeight="1">
      <c r="A86" s="33" t="inlineStr">
        <is>
          <t>https://africanmarketingconfederation.org/speakers/</t>
        </is>
      </c>
      <c r="B86" s="24" t="n">
        <v>0</v>
      </c>
      <c r="C86" s="27" t="inlineStr"/>
      <c r="D86" s="24" t="b">
        <v>1</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45" customWidth="1" min="2" max="2"/>
    <col width="13" customWidth="1" min="3" max="3"/>
    <col width="24" customWidth="1" min="4" max="4"/>
    <col width="23" customWidth="1" min="5" max="5"/>
    <col width="40" customWidth="1" min="6" max="6"/>
    <col width="19" customWidth="1" min="7" max="7"/>
    <col width="22" customWidth="1" min="8" max="8"/>
    <col width="20" customWidth="1" min="9" max="9"/>
    <col width="27" customWidth="1" min="10" max="10"/>
    <col width="22" customWidth="1" min="11" max="11"/>
    <col width="20" customWidth="1" min="12" max="12"/>
  </cols>
  <sheetData>
    <row r="1">
      <c r="A1" s="1" t="inlineStr">
        <is>
          <t>Sitemap URL</t>
        </is>
      </c>
      <c r="B1" s="1" t="inlineStr">
        <is>
          <t>Final URL</t>
        </is>
      </c>
      <c r="C1" s="1" t="inlineStr">
        <is>
          <t>Status Code</t>
        </is>
      </c>
      <c r="D1" s="1" t="inlineStr">
        <is>
          <t>In Sitemap but Non-200</t>
        </is>
      </c>
      <c r="E1" s="1" t="inlineStr">
        <is>
          <t>Sitemap URL Redirects</t>
        </is>
      </c>
      <c r="F1" s="1" t="inlineStr">
        <is>
          <t>In Sitemap but Canonicalized Elsewhere</t>
        </is>
      </c>
      <c r="G1" s="1" t="inlineStr">
        <is>
          <t>Missing &lt;lastmod&gt;</t>
        </is>
      </c>
      <c r="H1" s="1" t="inlineStr">
        <is>
          <t>Missing &lt;changefreq&gt;</t>
        </is>
      </c>
      <c r="I1" s="1" t="inlineStr">
        <is>
          <t>Missing &lt;priority&gt;</t>
        </is>
      </c>
      <c r="J1" s="1" t="inlineStr">
        <is>
          <t>Sitemap &lt;lastmod&gt;</t>
        </is>
      </c>
      <c r="K1" s="1" t="inlineStr">
        <is>
          <t>Sitemap &lt;changefreq&gt;</t>
        </is>
      </c>
      <c r="L1" s="1" t="inlineStr">
        <is>
          <t>Sitemap &lt;priority&gt;</t>
        </is>
      </c>
      <c r="M1" s="23" t="inlineStr">
        <is>
          <t>BACK TO DASHBOARD</t>
        </is>
      </c>
    </row>
    <row r="2">
      <c r="A2" s="34" t="inlineStr">
        <is>
          <t>https://africanmarketingconfederation.org/</t>
        </is>
      </c>
      <c r="B2" s="27" t="inlineStr">
        <is>
          <t>https://africanmarketingconfederation.org/</t>
        </is>
      </c>
      <c r="C2" s="4" t="n">
        <v>200</v>
      </c>
      <c r="D2" s="4" t="b">
        <v>0</v>
      </c>
      <c r="E2" s="27" t="b">
        <v>0</v>
      </c>
      <c r="F2" s="24" t="b">
        <v>0</v>
      </c>
      <c r="G2" s="4" t="b">
        <v>0</v>
      </c>
      <c r="H2" s="4" t="b">
        <v>0</v>
      </c>
      <c r="I2" s="4" t="b">
        <v>0</v>
      </c>
      <c r="J2" s="24" t="inlineStr">
        <is>
          <t>2026-04-29T08:23:06+00:00</t>
        </is>
      </c>
      <c r="K2" s="24" t="inlineStr">
        <is>
          <t>always</t>
        </is>
      </c>
      <c r="L2" s="24" t="inlineStr">
        <is>
          <t>1</t>
        </is>
      </c>
    </row>
    <row r="3" ht="30" customHeight="1">
      <c r="A3" s="34" t="inlineStr">
        <is>
          <t>https://africanmarketingconfederation.org/publications-2/</t>
        </is>
      </c>
      <c r="B3" s="30" t="inlineStr">
        <is>
          <t>https://africanmarketingconfederation.org/publications-2/</t>
        </is>
      </c>
      <c r="C3" s="4" t="n">
        <v>200</v>
      </c>
      <c r="D3" s="4" t="b">
        <v>0</v>
      </c>
      <c r="E3" s="30" t="b">
        <v>0</v>
      </c>
      <c r="F3" s="6" t="b">
        <v>0</v>
      </c>
      <c r="G3" s="4" t="b">
        <v>0</v>
      </c>
      <c r="H3" s="4" t="b">
        <v>0</v>
      </c>
      <c r="I3" s="4" t="b">
        <v>0</v>
      </c>
      <c r="J3" s="6" t="inlineStr">
        <is>
          <t>2026-04-29T07:05:09+00:00</t>
        </is>
      </c>
      <c r="K3" s="6" t="inlineStr">
        <is>
          <t>weekly</t>
        </is>
      </c>
      <c r="L3" s="6" t="inlineStr">
        <is>
          <t>0.7</t>
        </is>
      </c>
    </row>
    <row r="4" ht="30" customHeight="1">
      <c r="A4" s="34" t="inlineStr">
        <is>
          <t>https://africanmarketingconfederation.org/publication-download-list/</t>
        </is>
      </c>
      <c r="B4" s="27" t="inlineStr">
        <is>
          <t>https://africanmarketingconfederation.org/publication-download-list/</t>
        </is>
      </c>
      <c r="C4" s="4" t="n">
        <v>200</v>
      </c>
      <c r="D4" s="4" t="b">
        <v>0</v>
      </c>
      <c r="E4" s="27" t="b">
        <v>0</v>
      </c>
      <c r="F4" s="24" t="b">
        <v>0</v>
      </c>
      <c r="G4" s="4" t="b">
        <v>0</v>
      </c>
      <c r="H4" s="4" t="b">
        <v>0</v>
      </c>
      <c r="I4" s="4" t="b">
        <v>0</v>
      </c>
      <c r="J4" s="24" t="inlineStr">
        <is>
          <t>2026-04-28T12:04:20+00:00</t>
        </is>
      </c>
      <c r="K4" s="24" t="inlineStr">
        <is>
          <t>weekly</t>
        </is>
      </c>
      <c r="L4" s="24" t="inlineStr">
        <is>
          <t>0.7</t>
        </is>
      </c>
    </row>
    <row r="5" ht="30" customHeight="1">
      <c r="A5" s="34" t="inlineStr">
        <is>
          <t>https://africanmarketingconfederation.org/launch-event-2026-amc-conference/</t>
        </is>
      </c>
      <c r="B5" s="30" t="inlineStr">
        <is>
          <t>https://africanmarketingconfederation.org/launch-event-2026-amc-conference/</t>
        </is>
      </c>
      <c r="C5" s="4" t="n">
        <v>200</v>
      </c>
      <c r="D5" s="4" t="b">
        <v>0</v>
      </c>
      <c r="E5" s="30" t="b">
        <v>0</v>
      </c>
      <c r="F5" s="6" t="b">
        <v>0</v>
      </c>
      <c r="G5" s="4" t="b">
        <v>0</v>
      </c>
      <c r="H5" s="4" t="b">
        <v>0</v>
      </c>
      <c r="I5" s="4" t="b">
        <v>0</v>
      </c>
      <c r="J5" s="6" t="inlineStr">
        <is>
          <t>2026-04-24T07:07:22+00:00</t>
        </is>
      </c>
      <c r="K5" s="6" t="inlineStr">
        <is>
          <t>weekly</t>
        </is>
      </c>
      <c r="L5" s="6" t="inlineStr">
        <is>
          <t>0.7</t>
        </is>
      </c>
    </row>
    <row r="6" ht="30" customHeight="1">
      <c r="A6" s="34" t="inlineStr">
        <is>
          <t>https://africanmarketingconfederation.org/amc-conference-2026/</t>
        </is>
      </c>
      <c r="B6" s="27" t="inlineStr">
        <is>
          <t>https://africanmarketingconfederation.org/amc-conference-2026/</t>
        </is>
      </c>
      <c r="C6" s="4" t="n">
        <v>200</v>
      </c>
      <c r="D6" s="4" t="b">
        <v>0</v>
      </c>
      <c r="E6" s="27" t="b">
        <v>0</v>
      </c>
      <c r="F6" s="24" t="b">
        <v>0</v>
      </c>
      <c r="G6" s="4" t="b">
        <v>0</v>
      </c>
      <c r="H6" s="4" t="b">
        <v>0</v>
      </c>
      <c r="I6" s="4" t="b">
        <v>0</v>
      </c>
      <c r="J6" s="24" t="inlineStr">
        <is>
          <t>2026-04-24T06:54:40+00:00</t>
        </is>
      </c>
      <c r="K6" s="24" t="inlineStr">
        <is>
          <t>weekly</t>
        </is>
      </c>
      <c r="L6" s="24" t="inlineStr">
        <is>
          <t>0.7</t>
        </is>
      </c>
    </row>
    <row r="7" ht="30" customHeight="1">
      <c r="A7" s="34" t="inlineStr">
        <is>
          <t>https://africanmarketingconfederation.org/certified-professional-marketer-africa/</t>
        </is>
      </c>
      <c r="B7" s="30" t="inlineStr">
        <is>
          <t>https://africanmarketingconfederation.org/certified-professional-marketer-africa/</t>
        </is>
      </c>
      <c r="C7" s="4" t="n">
        <v>200</v>
      </c>
      <c r="D7" s="4" t="b">
        <v>0</v>
      </c>
      <c r="E7" s="30" t="b">
        <v>0</v>
      </c>
      <c r="F7" s="6" t="b">
        <v>0</v>
      </c>
      <c r="G7" s="4" t="b">
        <v>0</v>
      </c>
      <c r="H7" s="4" t="b">
        <v>0</v>
      </c>
      <c r="I7" s="4" t="b">
        <v>0</v>
      </c>
      <c r="J7" s="6" t="inlineStr">
        <is>
          <t>2026-04-20T08:17:50+00:00</t>
        </is>
      </c>
      <c r="K7" s="6" t="inlineStr">
        <is>
          <t>weekly</t>
        </is>
      </c>
      <c r="L7" s="6" t="inlineStr">
        <is>
          <t>0.7</t>
        </is>
      </c>
    </row>
    <row r="8" ht="30" customHeight="1">
      <c r="A8" s="34" t="inlineStr">
        <is>
          <t>https://africanmarketingconfederation.org/chartered-marketer-africa/</t>
        </is>
      </c>
      <c r="B8" s="27" t="inlineStr">
        <is>
          <t>https://africanmarketingconfederation.org/chartered-marketer-africa/</t>
        </is>
      </c>
      <c r="C8" s="4" t="n">
        <v>200</v>
      </c>
      <c r="D8" s="4" t="b">
        <v>0</v>
      </c>
      <c r="E8" s="27" t="b">
        <v>0</v>
      </c>
      <c r="F8" s="24" t="b">
        <v>0</v>
      </c>
      <c r="G8" s="4" t="b">
        <v>0</v>
      </c>
      <c r="H8" s="4" t="b">
        <v>0</v>
      </c>
      <c r="I8" s="4" t="b">
        <v>0</v>
      </c>
      <c r="J8" s="24" t="inlineStr">
        <is>
          <t>2026-04-20T07:58:07+00:00</t>
        </is>
      </c>
      <c r="K8" s="24" t="inlineStr">
        <is>
          <t>weekly</t>
        </is>
      </c>
      <c r="L8" s="24" t="inlineStr">
        <is>
          <t>0.7</t>
        </is>
      </c>
    </row>
    <row r="9" ht="30" customHeight="1">
      <c r="A9" s="34" t="inlineStr">
        <is>
          <t>https://africanmarketingconfederation.org/education/</t>
        </is>
      </c>
      <c r="B9" s="30" t="inlineStr">
        <is>
          <t>https://africanmarketingconfederation.org/education/</t>
        </is>
      </c>
      <c r="C9" s="4" t="n">
        <v>200</v>
      </c>
      <c r="D9" s="4" t="b">
        <v>0</v>
      </c>
      <c r="E9" s="30" t="b">
        <v>0</v>
      </c>
      <c r="F9" s="6" t="b">
        <v>0</v>
      </c>
      <c r="G9" s="4" t="b">
        <v>0</v>
      </c>
      <c r="H9" s="4" t="b">
        <v>0</v>
      </c>
      <c r="I9" s="4" t="b">
        <v>0</v>
      </c>
      <c r="J9" s="6" t="inlineStr">
        <is>
          <t>2026-04-20T06:32:38+00:00</t>
        </is>
      </c>
      <c r="K9" s="6" t="inlineStr">
        <is>
          <t>weekly</t>
        </is>
      </c>
      <c r="L9" s="6" t="inlineStr">
        <is>
          <t>0.7</t>
        </is>
      </c>
    </row>
    <row r="10" ht="30" customHeight="1">
      <c r="A10" s="34" t="inlineStr">
        <is>
          <t>https://africanmarketingconfederation.org/awards-2026/</t>
        </is>
      </c>
      <c r="B10" s="27" t="inlineStr">
        <is>
          <t>https://africanmarketingconfederation.org/awards-2026/</t>
        </is>
      </c>
      <c r="C10" s="4" t="n">
        <v>200</v>
      </c>
      <c r="D10" s="4" t="b">
        <v>0</v>
      </c>
      <c r="E10" s="27" t="b">
        <v>0</v>
      </c>
      <c r="F10" s="24" t="b">
        <v>0</v>
      </c>
      <c r="G10" s="4" t="b">
        <v>0</v>
      </c>
      <c r="H10" s="4" t="b">
        <v>0</v>
      </c>
      <c r="I10" s="4" t="b">
        <v>0</v>
      </c>
      <c r="J10" s="24" t="inlineStr">
        <is>
          <t>2026-04-17T09:26:48+00:00</t>
        </is>
      </c>
      <c r="K10" s="24" t="inlineStr">
        <is>
          <t>weekly</t>
        </is>
      </c>
      <c r="L10" s="24" t="inlineStr">
        <is>
          <t>0.7</t>
        </is>
      </c>
    </row>
    <row r="11" ht="30" customHeight="1">
      <c r="A11" s="34" t="inlineStr">
        <is>
          <t>https://africanmarketingconfederation.org/contact-us/</t>
        </is>
      </c>
      <c r="B11" s="30" t="inlineStr">
        <is>
          <t>https://africanmarketingconfederation.org/contact-us/</t>
        </is>
      </c>
      <c r="C11" s="4" t="n">
        <v>200</v>
      </c>
      <c r="D11" s="4" t="b">
        <v>0</v>
      </c>
      <c r="E11" s="30" t="b">
        <v>0</v>
      </c>
      <c r="F11" s="6" t="b">
        <v>0</v>
      </c>
      <c r="G11" s="4" t="b">
        <v>0</v>
      </c>
      <c r="H11" s="4" t="b">
        <v>0</v>
      </c>
      <c r="I11" s="4" t="b">
        <v>0</v>
      </c>
      <c r="J11" s="6" t="inlineStr">
        <is>
          <t>2026-04-17T08:58:32+00:00</t>
        </is>
      </c>
      <c r="K11" s="6" t="inlineStr">
        <is>
          <t>weekly</t>
        </is>
      </c>
      <c r="L11" s="6" t="inlineStr">
        <is>
          <t>0.7</t>
        </is>
      </c>
    </row>
    <row r="12" ht="30" customHeight="1">
      <c r="A12" s="34" t="inlineStr">
        <is>
          <t>https://africanmarketingconfederation.org/news-articles/</t>
        </is>
      </c>
      <c r="B12" s="27" t="inlineStr">
        <is>
          <t>https://africanmarketingconfederation.org/news-articles/</t>
        </is>
      </c>
      <c r="C12" s="4" t="n">
        <v>200</v>
      </c>
      <c r="D12" s="4" t="b">
        <v>0</v>
      </c>
      <c r="E12" s="27" t="b">
        <v>0</v>
      </c>
      <c r="F12" s="24" t="b">
        <v>0</v>
      </c>
      <c r="G12" s="4" t="b">
        <v>0</v>
      </c>
      <c r="H12" s="4" t="b">
        <v>0</v>
      </c>
      <c r="I12" s="4" t="b">
        <v>0</v>
      </c>
      <c r="J12" s="24" t="inlineStr">
        <is>
          <t>2026-04-17T08:58:00+00:00</t>
        </is>
      </c>
      <c r="K12" s="24" t="inlineStr">
        <is>
          <t>weekly</t>
        </is>
      </c>
      <c r="L12" s="24" t="inlineStr">
        <is>
          <t>0.7</t>
        </is>
      </c>
    </row>
    <row r="13" ht="30" customHeight="1">
      <c r="A13" s="34" t="inlineStr">
        <is>
          <t>https://africanmarketingconfederation.org/african-marketing-confederation-tourism-chapter/</t>
        </is>
      </c>
      <c r="B13" s="30" t="inlineStr">
        <is>
          <t>https://africanmarketingconfederation.org/african-marketing-confederation-tourism-chapter/</t>
        </is>
      </c>
      <c r="C13" s="4" t="n">
        <v>200</v>
      </c>
      <c r="D13" s="4" t="b">
        <v>0</v>
      </c>
      <c r="E13" s="30" t="b">
        <v>0</v>
      </c>
      <c r="F13" s="6" t="b">
        <v>0</v>
      </c>
      <c r="G13" s="4" t="b">
        <v>0</v>
      </c>
      <c r="H13" s="4" t="b">
        <v>0</v>
      </c>
      <c r="I13" s="4" t="b">
        <v>0</v>
      </c>
      <c r="J13" s="6" t="inlineStr">
        <is>
          <t>2026-04-17T08:55:48+00:00</t>
        </is>
      </c>
      <c r="K13" s="6" t="inlineStr">
        <is>
          <t>weekly</t>
        </is>
      </c>
      <c r="L13" s="6" t="inlineStr">
        <is>
          <t>0.7</t>
        </is>
      </c>
    </row>
    <row r="14" ht="30" customHeight="1">
      <c r="A14" s="34" t="inlineStr">
        <is>
          <t>https://africanmarketingconfederation.org/members/</t>
        </is>
      </c>
      <c r="B14" s="27" t="inlineStr">
        <is>
          <t>https://africanmarketingconfederation.org/members/</t>
        </is>
      </c>
      <c r="C14" s="4" t="n">
        <v>200</v>
      </c>
      <c r="D14" s="4" t="b">
        <v>0</v>
      </c>
      <c r="E14" s="27" t="b">
        <v>0</v>
      </c>
      <c r="F14" s="24" t="b">
        <v>0</v>
      </c>
      <c r="G14" s="4" t="b">
        <v>0</v>
      </c>
      <c r="H14" s="4" t="b">
        <v>0</v>
      </c>
      <c r="I14" s="4" t="b">
        <v>0</v>
      </c>
      <c r="J14" s="24" t="inlineStr">
        <is>
          <t>2026-04-17T08:55:31+00:00</t>
        </is>
      </c>
      <c r="K14" s="24" t="inlineStr">
        <is>
          <t>weekly</t>
        </is>
      </c>
      <c r="L14" s="24" t="inlineStr">
        <is>
          <t>0.7</t>
        </is>
      </c>
    </row>
    <row r="15" ht="30" customHeight="1">
      <c r="A15" s="34" t="inlineStr">
        <is>
          <t>https://africanmarketingconfederation.org/sub-committees/</t>
        </is>
      </c>
      <c r="B15" s="30" t="inlineStr">
        <is>
          <t>https://africanmarketingconfederation.org/sub-committees/</t>
        </is>
      </c>
      <c r="C15" s="4" t="n">
        <v>200</v>
      </c>
      <c r="D15" s="4" t="b">
        <v>0</v>
      </c>
      <c r="E15" s="30" t="b">
        <v>0</v>
      </c>
      <c r="F15" s="6" t="b">
        <v>0</v>
      </c>
      <c r="G15" s="4" t="b">
        <v>0</v>
      </c>
      <c r="H15" s="4" t="b">
        <v>0</v>
      </c>
      <c r="I15" s="4" t="b">
        <v>0</v>
      </c>
      <c r="J15" s="6" t="inlineStr">
        <is>
          <t>2026-04-17T08:53:47+00:00</t>
        </is>
      </c>
      <c r="K15" s="6" t="inlineStr">
        <is>
          <t>weekly</t>
        </is>
      </c>
      <c r="L15" s="6" t="inlineStr">
        <is>
          <t>0.7</t>
        </is>
      </c>
    </row>
    <row r="16" ht="30" customHeight="1">
      <c r="A16" s="34" t="inlineStr">
        <is>
          <t>https://africanmarketingconfederation.org/about-us/</t>
        </is>
      </c>
      <c r="B16" s="27" t="inlineStr">
        <is>
          <t>https://africanmarketingconfederation.org/about-us/</t>
        </is>
      </c>
      <c r="C16" s="4" t="n">
        <v>200</v>
      </c>
      <c r="D16" s="4" t="b">
        <v>0</v>
      </c>
      <c r="E16" s="27" t="b">
        <v>0</v>
      </c>
      <c r="F16" s="24" t="b">
        <v>0</v>
      </c>
      <c r="G16" s="4" t="b">
        <v>0</v>
      </c>
      <c r="H16" s="4" t="b">
        <v>0</v>
      </c>
      <c r="I16" s="4" t="b">
        <v>0</v>
      </c>
      <c r="J16" s="24" t="inlineStr">
        <is>
          <t>2026-04-17T08:53:24+00:00</t>
        </is>
      </c>
      <c r="K16" s="24" t="inlineStr">
        <is>
          <t>weekly</t>
        </is>
      </c>
      <c r="L16" s="24" t="inlineStr">
        <is>
          <t>0.7</t>
        </is>
      </c>
    </row>
    <row r="17" ht="30" customHeight="1">
      <c r="A17" s="34" t="inlineStr">
        <is>
          <t>https://africanmarketingconfederation.org/awards-2026-1/</t>
        </is>
      </c>
      <c r="B17" s="30" t="inlineStr">
        <is>
          <t>https://africanmarketingconfederation.org/awards-2026-1/</t>
        </is>
      </c>
      <c r="C17" s="4" t="n">
        <v>200</v>
      </c>
      <c r="D17" s="4" t="b">
        <v>0</v>
      </c>
      <c r="E17" s="30" t="b">
        <v>0</v>
      </c>
      <c r="F17" s="6" t="b">
        <v>0</v>
      </c>
      <c r="G17" s="4" t="b">
        <v>0</v>
      </c>
      <c r="H17" s="4" t="b">
        <v>0</v>
      </c>
      <c r="I17" s="4" t="b">
        <v>0</v>
      </c>
      <c r="J17" s="6" t="inlineStr">
        <is>
          <t>2026-04-08T11:43:29+00:00</t>
        </is>
      </c>
      <c r="K17" s="6" t="inlineStr">
        <is>
          <t>weekly</t>
        </is>
      </c>
      <c r="L17" s="6" t="inlineStr">
        <is>
          <t>0.7</t>
        </is>
      </c>
    </row>
    <row r="18" ht="30" customHeight="1">
      <c r="A18" s="34" t="inlineStr">
        <is>
          <t>https://africanmarketingconfederation.org/awards-2026-test/</t>
        </is>
      </c>
      <c r="B18" s="27" t="inlineStr">
        <is>
          <t>https://africanmarketingconfederation.org/awards-2026-test/</t>
        </is>
      </c>
      <c r="C18" s="4" t="n">
        <v>200</v>
      </c>
      <c r="D18" s="4" t="b">
        <v>0</v>
      </c>
      <c r="E18" s="27" t="b">
        <v>0</v>
      </c>
      <c r="F18" s="24" t="b">
        <v>0</v>
      </c>
      <c r="G18" s="4" t="b">
        <v>0</v>
      </c>
      <c r="H18" s="4" t="b">
        <v>0</v>
      </c>
      <c r="I18" s="4" t="b">
        <v>0</v>
      </c>
      <c r="J18" s="24" t="inlineStr">
        <is>
          <t>2026-04-08T09:47:58+00:00</t>
        </is>
      </c>
      <c r="K18" s="24" t="inlineStr">
        <is>
          <t>weekly</t>
        </is>
      </c>
      <c r="L18" s="24" t="inlineStr">
        <is>
          <t>0.7</t>
        </is>
      </c>
    </row>
    <row r="19" ht="30" customHeight="1">
      <c r="A19" s="34" t="inlineStr">
        <is>
          <t>https://africanmarketingconfederation.org/speakers-2025/</t>
        </is>
      </c>
      <c r="B19" s="30" t="inlineStr">
        <is>
          <t>https://africanmarketingconfederation.org/speakers-2025/</t>
        </is>
      </c>
      <c r="C19" s="4" t="n">
        <v>200</v>
      </c>
      <c r="D19" s="4" t="b">
        <v>0</v>
      </c>
      <c r="E19" s="30" t="b">
        <v>0</v>
      </c>
      <c r="F19" s="6" t="b">
        <v>0</v>
      </c>
      <c r="G19" s="4" t="b">
        <v>0</v>
      </c>
      <c r="H19" s="4" t="b">
        <v>0</v>
      </c>
      <c r="I19" s="4" t="b">
        <v>0</v>
      </c>
      <c r="J19" s="6" t="inlineStr">
        <is>
          <t>2026-03-26T12:27:48+00:00</t>
        </is>
      </c>
      <c r="K19" s="6" t="inlineStr">
        <is>
          <t>weekly</t>
        </is>
      </c>
      <c r="L19" s="6" t="inlineStr">
        <is>
          <t>0.7</t>
        </is>
      </c>
    </row>
    <row r="20" ht="30" customHeight="1">
      <c r="A20" s="34" t="inlineStr">
        <is>
          <t>https://africanmarketingconfederation.org/amc-conference-2026-awards-nominations-thank-you/</t>
        </is>
      </c>
      <c r="B20" s="27" t="inlineStr">
        <is>
          <t>https://africanmarketingconfederation.org/amc-conference-2026-awards-nominations-thank-you/</t>
        </is>
      </c>
      <c r="C20" s="4" t="n">
        <v>200</v>
      </c>
      <c r="D20" s="4" t="b">
        <v>0</v>
      </c>
      <c r="E20" s="27" t="b">
        <v>0</v>
      </c>
      <c r="F20" s="24" t="b">
        <v>0</v>
      </c>
      <c r="G20" s="4" t="b">
        <v>0</v>
      </c>
      <c r="H20" s="4" t="b">
        <v>0</v>
      </c>
      <c r="I20" s="4" t="b">
        <v>0</v>
      </c>
      <c r="J20" s="24" t="inlineStr">
        <is>
          <t>2026-03-04T07:14:00+00:00</t>
        </is>
      </c>
      <c r="K20" s="24" t="inlineStr">
        <is>
          <t>weekly</t>
        </is>
      </c>
      <c r="L20" s="24" t="inlineStr">
        <is>
          <t>0.7</t>
        </is>
      </c>
    </row>
    <row r="21" ht="30" customHeight="1">
      <c r="A21" s="34" t="inlineStr">
        <is>
          <t>https://africanmarketingconfederation.org/amc-conference-2026-zambia-thank-you/</t>
        </is>
      </c>
      <c r="B21" s="30" t="inlineStr">
        <is>
          <t>https://africanmarketingconfederation.org/amc-conference-2026-zambia-thank-you/</t>
        </is>
      </c>
      <c r="C21" s="4" t="n">
        <v>200</v>
      </c>
      <c r="D21" s="4" t="b">
        <v>0</v>
      </c>
      <c r="E21" s="30" t="b">
        <v>0</v>
      </c>
      <c r="F21" s="6" t="b">
        <v>0</v>
      </c>
      <c r="G21" s="4" t="b">
        <v>0</v>
      </c>
      <c r="H21" s="4" t="b">
        <v>0</v>
      </c>
      <c r="I21" s="4" t="b">
        <v>0</v>
      </c>
      <c r="J21" s="6" t="inlineStr">
        <is>
          <t>2026-03-04T06:43:52+00:00</t>
        </is>
      </c>
      <c r="K21" s="6" t="inlineStr">
        <is>
          <t>weekly</t>
        </is>
      </c>
      <c r="L21" s="6" t="inlineStr">
        <is>
          <t>0.7</t>
        </is>
      </c>
    </row>
    <row r="22" ht="30" customHeight="1">
      <c r="A22" s="34" t="inlineStr">
        <is>
          <t>https://africanmarketingconfederation.org/amc-launch-event-zambia-thank-you-2026/</t>
        </is>
      </c>
      <c r="B22" s="27" t="inlineStr">
        <is>
          <t>https://africanmarketingconfederation.org/amc-launch-event-zambia-thank-you-2026/</t>
        </is>
      </c>
      <c r="C22" s="4" t="n">
        <v>200</v>
      </c>
      <c r="D22" s="4" t="b">
        <v>0</v>
      </c>
      <c r="E22" s="27" t="b">
        <v>0</v>
      </c>
      <c r="F22" s="24" t="b">
        <v>0</v>
      </c>
      <c r="G22" s="4" t="b">
        <v>0</v>
      </c>
      <c r="H22" s="4" t="b">
        <v>0</v>
      </c>
      <c r="I22" s="4" t="b">
        <v>0</v>
      </c>
      <c r="J22" s="24" t="inlineStr">
        <is>
          <t>2026-03-04T06:43:51+00:00</t>
        </is>
      </c>
      <c r="K22" s="24" t="inlineStr">
        <is>
          <t>weekly</t>
        </is>
      </c>
      <c r="L22" s="24" t="inlineStr">
        <is>
          <t>0.7</t>
        </is>
      </c>
    </row>
    <row r="23" ht="30" customHeight="1">
      <c r="A23" s="34" t="inlineStr">
        <is>
          <t>https://africanmarketingconfederation.org/amc-marketing-conference-2024/awards-2025/</t>
        </is>
      </c>
      <c r="B23" s="30" t="inlineStr">
        <is>
          <t>https://africanmarketingconfederation.org/amc-marketing-conference-2024/awards-2025/</t>
        </is>
      </c>
      <c r="C23" s="4" t="n">
        <v>200</v>
      </c>
      <c r="D23" s="4" t="b">
        <v>0</v>
      </c>
      <c r="E23" s="30" t="b">
        <v>0</v>
      </c>
      <c r="F23" s="6" t="b">
        <v>0</v>
      </c>
      <c r="G23" s="4" t="b">
        <v>0</v>
      </c>
      <c r="H23" s="4" t="b">
        <v>0</v>
      </c>
      <c r="I23" s="4" t="b">
        <v>0</v>
      </c>
      <c r="J23" s="6" t="inlineStr">
        <is>
          <t>2026-02-05T07:09:45+00:00</t>
        </is>
      </c>
      <c r="K23" s="6" t="inlineStr">
        <is>
          <t>weekly</t>
        </is>
      </c>
      <c r="L23" s="6" t="inlineStr">
        <is>
          <t>0.7</t>
        </is>
      </c>
    </row>
    <row r="24" ht="30" customHeight="1">
      <c r="A24" s="34" t="inlineStr">
        <is>
          <t>https://africanmarketingconfederation.org/amc-conference-2025-highlights/</t>
        </is>
      </c>
      <c r="B24" s="27" t="inlineStr">
        <is>
          <t>https://africanmarketingconfederation.org/amc-conference-2025-highlights/</t>
        </is>
      </c>
      <c r="C24" s="4" t="n">
        <v>200</v>
      </c>
      <c r="D24" s="4" t="b">
        <v>0</v>
      </c>
      <c r="E24" s="27" t="b">
        <v>0</v>
      </c>
      <c r="F24" s="24" t="b">
        <v>0</v>
      </c>
      <c r="G24" s="4" t="b">
        <v>0</v>
      </c>
      <c r="H24" s="4" t="b">
        <v>0</v>
      </c>
      <c r="I24" s="4" t="b">
        <v>0</v>
      </c>
      <c r="J24" s="24" t="inlineStr">
        <is>
          <t>2026-01-28T11:37:11+00:00</t>
        </is>
      </c>
      <c r="K24" s="24" t="inlineStr">
        <is>
          <t>weekly</t>
        </is>
      </c>
      <c r="L24" s="24" t="inlineStr">
        <is>
          <t>0.7</t>
        </is>
      </c>
    </row>
    <row r="25" ht="30" customHeight="1">
      <c r="A25" s="34" t="inlineStr">
        <is>
          <t>https://africanmarketingconfederation.org/amc-conference-2022/</t>
        </is>
      </c>
      <c r="B25" s="30" t="inlineStr">
        <is>
          <t>https://africanmarketingconfederation.org/amc-conference-2022/</t>
        </is>
      </c>
      <c r="C25" s="4" t="n">
        <v>200</v>
      </c>
      <c r="D25" s="4" t="b">
        <v>0</v>
      </c>
      <c r="E25" s="30" t="b">
        <v>0</v>
      </c>
      <c r="F25" s="6" t="b">
        <v>0</v>
      </c>
      <c r="G25" s="4" t="b">
        <v>0</v>
      </c>
      <c r="H25" s="4" t="b">
        <v>0</v>
      </c>
      <c r="I25" s="4" t="b">
        <v>0</v>
      </c>
      <c r="J25" s="6" t="inlineStr">
        <is>
          <t>2026-01-21T00:07:32+00:00</t>
        </is>
      </c>
      <c r="K25" s="6" t="inlineStr">
        <is>
          <t>weekly</t>
        </is>
      </c>
      <c r="L25" s="6" t="inlineStr">
        <is>
          <t>0.7</t>
        </is>
      </c>
    </row>
    <row r="26" ht="30" customHeight="1">
      <c r="A26" s="34" t="inlineStr">
        <is>
          <t>https://africanmarketingconfederation.org/amc-conference-2023/gallery/</t>
        </is>
      </c>
      <c r="B26" s="27" t="inlineStr">
        <is>
          <t>https://africanmarketingconfederation.org/amc-conference-2023/gallery/</t>
        </is>
      </c>
      <c r="C26" s="4" t="n">
        <v>200</v>
      </c>
      <c r="D26" s="4" t="b">
        <v>0</v>
      </c>
      <c r="E26" s="27" t="b">
        <v>0</v>
      </c>
      <c r="F26" s="24" t="b">
        <v>0</v>
      </c>
      <c r="G26" s="4" t="b">
        <v>0</v>
      </c>
      <c r="H26" s="4" t="b">
        <v>0</v>
      </c>
      <c r="I26" s="4" t="b">
        <v>0</v>
      </c>
      <c r="J26" s="24" t="inlineStr">
        <is>
          <t>2026-01-09T00:06:37+00:00</t>
        </is>
      </c>
      <c r="K26" s="24" t="inlineStr">
        <is>
          <t>weekly</t>
        </is>
      </c>
      <c r="L26" s="24" t="inlineStr">
        <is>
          <t>0.7</t>
        </is>
      </c>
    </row>
    <row r="27" ht="30" customHeight="1">
      <c r="A27" s="34" t="inlineStr">
        <is>
          <t>https://africanmarketingconfederation.org/conference-registrations-2024/</t>
        </is>
      </c>
      <c r="B27" s="30" t="inlineStr">
        <is>
          <t>https://africanmarketingconfederation.org/conference-registrations-2024/</t>
        </is>
      </c>
      <c r="C27" s="4" t="n">
        <v>200</v>
      </c>
      <c r="D27" s="4" t="b">
        <v>0</v>
      </c>
      <c r="E27" s="30" t="b">
        <v>0</v>
      </c>
      <c r="F27" s="6" t="b">
        <v>0</v>
      </c>
      <c r="G27" s="4" t="b">
        <v>0</v>
      </c>
      <c r="H27" s="4" t="b">
        <v>0</v>
      </c>
      <c r="I27" s="4" t="b">
        <v>0</v>
      </c>
      <c r="J27" s="6" t="inlineStr">
        <is>
          <t>2026-01-06T00:02:42+00:00</t>
        </is>
      </c>
      <c r="K27" s="6" t="inlineStr">
        <is>
          <t>weekly</t>
        </is>
      </c>
      <c r="L27" s="6" t="inlineStr">
        <is>
          <t>0.7</t>
        </is>
      </c>
    </row>
    <row r="28" ht="30" customHeight="1">
      <c r="A28" s="34" t="inlineStr">
        <is>
          <t>https://africanmarketingconfederation.org/elementor-31820/</t>
        </is>
      </c>
      <c r="B28" s="27" t="inlineStr">
        <is>
          <t>https://africanmarketingconfederation.org/elementor-31820/</t>
        </is>
      </c>
      <c r="C28" s="4" t="n">
        <v>200</v>
      </c>
      <c r="D28" s="4" t="b">
        <v>0</v>
      </c>
      <c r="E28" s="27" t="b">
        <v>0</v>
      </c>
      <c r="F28" s="24" t="b">
        <v>0</v>
      </c>
      <c r="G28" s="4" t="b">
        <v>0</v>
      </c>
      <c r="H28" s="4" t="b">
        <v>0</v>
      </c>
      <c r="I28" s="4" t="b">
        <v>0</v>
      </c>
      <c r="J28" s="24" t="inlineStr">
        <is>
          <t>2025-12-10T08:14:03+00:00</t>
        </is>
      </c>
      <c r="K28" s="24" t="inlineStr">
        <is>
          <t>weekly</t>
        </is>
      </c>
      <c r="L28" s="24" t="inlineStr">
        <is>
          <t>0.7</t>
        </is>
      </c>
    </row>
    <row r="29" ht="30" customHeight="1">
      <c r="A29" s="34" t="inlineStr">
        <is>
          <t>https://africanmarketingconfederation.org/amc-conference-2024-recap/</t>
        </is>
      </c>
      <c r="B29" s="30" t="inlineStr">
        <is>
          <t>https://africanmarketingconfederation.org/amc-conference-2024-recap/</t>
        </is>
      </c>
      <c r="C29" s="4" t="n">
        <v>200</v>
      </c>
      <c r="D29" s="4" t="b">
        <v>0</v>
      </c>
      <c r="E29" s="30" t="b">
        <v>0</v>
      </c>
      <c r="F29" s="6" t="b">
        <v>0</v>
      </c>
      <c r="G29" s="4" t="b">
        <v>0</v>
      </c>
      <c r="H29" s="4" t="b">
        <v>0</v>
      </c>
      <c r="I29" s="4" t="b">
        <v>0</v>
      </c>
      <c r="J29" s="6" t="inlineStr">
        <is>
          <t>2025-09-04T11:53:34+00:00</t>
        </is>
      </c>
      <c r="K29" s="6" t="inlineStr">
        <is>
          <t>weekly</t>
        </is>
      </c>
      <c r="L29" s="6" t="inlineStr">
        <is>
          <t>0.7</t>
        </is>
      </c>
    </row>
    <row r="30" ht="30" customHeight="1">
      <c r="A30" s="34" t="inlineStr">
        <is>
          <t>https://africanmarketingconfederation.org/amc-marketing-conference-2024/amc-programme-2025/</t>
        </is>
      </c>
      <c r="B30" s="27" t="inlineStr">
        <is>
          <t>https://africanmarketingconfederation.org/amc-marketing-conference-2024/amc-programme-2025/</t>
        </is>
      </c>
      <c r="C30" s="4" t="n">
        <v>200</v>
      </c>
      <c r="D30" s="4" t="b">
        <v>0</v>
      </c>
      <c r="E30" s="27" t="b">
        <v>0</v>
      </c>
      <c r="F30" s="24" t="b">
        <v>0</v>
      </c>
      <c r="G30" s="4" t="b">
        <v>0</v>
      </c>
      <c r="H30" s="4" t="b">
        <v>0</v>
      </c>
      <c r="I30" s="4" t="b">
        <v>0</v>
      </c>
      <c r="J30" s="24" t="inlineStr">
        <is>
          <t>2025-08-22T08:14:01+00:00</t>
        </is>
      </c>
      <c r="K30" s="24" t="inlineStr">
        <is>
          <t>weekly</t>
        </is>
      </c>
      <c r="L30" s="24" t="inlineStr">
        <is>
          <t>0.7</t>
        </is>
      </c>
    </row>
    <row r="31" ht="30" customHeight="1">
      <c r="A31" s="34" t="inlineStr">
        <is>
          <t>https://africanmarketingconfederation.org/amc-conference-2025/</t>
        </is>
      </c>
      <c r="B31" s="30" t="inlineStr">
        <is>
          <t>https://africanmarketingconfederation.org/amc-conference-2025/</t>
        </is>
      </c>
      <c r="C31" s="4" t="n">
        <v>200</v>
      </c>
      <c r="D31" s="4" t="b">
        <v>0</v>
      </c>
      <c r="E31" s="30" t="b">
        <v>0</v>
      </c>
      <c r="F31" s="6" t="b">
        <v>0</v>
      </c>
      <c r="G31" s="4" t="b">
        <v>0</v>
      </c>
      <c r="H31" s="4" t="b">
        <v>0</v>
      </c>
      <c r="I31" s="4" t="b">
        <v>0</v>
      </c>
      <c r="J31" s="6" t="inlineStr">
        <is>
          <t>2025-08-19T11:23:21+00:00</t>
        </is>
      </c>
      <c r="K31" s="6" t="inlineStr">
        <is>
          <t>weekly</t>
        </is>
      </c>
      <c r="L31" s="6" t="inlineStr">
        <is>
          <t>0.7</t>
        </is>
      </c>
    </row>
    <row r="32" ht="30" customHeight="1">
      <c r="A32" s="34" t="inlineStr">
        <is>
          <t>https://africanmarketingconfederation.org/amc-sponsors-2025/</t>
        </is>
      </c>
      <c r="B32" s="27" t="inlineStr">
        <is>
          <t>https://africanmarketingconfederation.org/amc-sponsors-2025/</t>
        </is>
      </c>
      <c r="C32" s="4" t="n">
        <v>200</v>
      </c>
      <c r="D32" s="4" t="b">
        <v>0</v>
      </c>
      <c r="E32" s="27" t="b">
        <v>0</v>
      </c>
      <c r="F32" s="24" t="b">
        <v>0</v>
      </c>
      <c r="G32" s="4" t="b">
        <v>0</v>
      </c>
      <c r="H32" s="4" t="b">
        <v>0</v>
      </c>
      <c r="I32" s="4" t="b">
        <v>0</v>
      </c>
      <c r="J32" s="24" t="inlineStr">
        <is>
          <t>2025-08-18T11:53:25+00:00</t>
        </is>
      </c>
      <c r="K32" s="24" t="inlineStr">
        <is>
          <t>weekly</t>
        </is>
      </c>
      <c r="L32" s="24" t="inlineStr">
        <is>
          <t>0.7</t>
        </is>
      </c>
    </row>
    <row r="33" ht="30" customHeight="1">
      <c r="A33" s="34" t="inlineStr">
        <is>
          <t>https://africanmarketingconfederation.org/amc-conference-2022-prospectus/</t>
        </is>
      </c>
      <c r="B33" s="30" t="inlineStr">
        <is>
          <t>https://africanmarketingconfederation.org/amc-conference-2022-prospectus/</t>
        </is>
      </c>
      <c r="C33" s="4" t="n">
        <v>200</v>
      </c>
      <c r="D33" s="4" t="b">
        <v>0</v>
      </c>
      <c r="E33" s="30" t="b">
        <v>0</v>
      </c>
      <c r="F33" s="6" t="b">
        <v>0</v>
      </c>
      <c r="G33" s="4" t="b">
        <v>0</v>
      </c>
      <c r="H33" s="4" t="b">
        <v>0</v>
      </c>
      <c r="I33" s="4" t="b">
        <v>0</v>
      </c>
      <c r="J33" s="6" t="inlineStr">
        <is>
          <t>2025-07-14T07:22:03+00:00</t>
        </is>
      </c>
      <c r="K33" s="6" t="inlineStr">
        <is>
          <t>weekly</t>
        </is>
      </c>
      <c r="L33" s="6" t="inlineStr">
        <is>
          <t>0.7</t>
        </is>
      </c>
    </row>
    <row r="34">
      <c r="A34" s="34" t="inlineStr">
        <is>
          <t>https://africanmarketingconfederation.org/checkout/</t>
        </is>
      </c>
      <c r="B34" s="27" t="inlineStr">
        <is>
          <t>https://africanmarketingconfederation.org/cart/</t>
        </is>
      </c>
      <c r="C34" s="4" t="n">
        <v>200</v>
      </c>
      <c r="D34" s="4" t="b">
        <v>0</v>
      </c>
      <c r="E34" s="27" t="b">
        <v>1</v>
      </c>
      <c r="F34" s="24" t="b">
        <v>0</v>
      </c>
      <c r="G34" s="4" t="b">
        <v>0</v>
      </c>
      <c r="H34" s="4" t="b">
        <v>0</v>
      </c>
      <c r="I34" s="4" t="b">
        <v>0</v>
      </c>
      <c r="J34" s="24" t="inlineStr">
        <is>
          <t>2025-06-25T06:43:08+00:00</t>
        </is>
      </c>
      <c r="K34" s="24" t="inlineStr">
        <is>
          <t>weekly</t>
        </is>
      </c>
      <c r="L34" s="24" t="inlineStr">
        <is>
          <t>0.7</t>
        </is>
      </c>
    </row>
    <row r="35" ht="30" customHeight="1">
      <c r="A35" s="34" t="inlineStr">
        <is>
          <t>https://africanmarketingconfederation.org/test-payment-gate/</t>
        </is>
      </c>
      <c r="B35" s="30" t="inlineStr">
        <is>
          <t>https://africanmarketingconfederation.org/test-payment-gate/</t>
        </is>
      </c>
      <c r="C35" s="4" t="n">
        <v>200</v>
      </c>
      <c r="D35" s="4" t="b">
        <v>0</v>
      </c>
      <c r="E35" s="30" t="b">
        <v>0</v>
      </c>
      <c r="F35" s="6" t="b">
        <v>0</v>
      </c>
      <c r="G35" s="4" t="b">
        <v>0</v>
      </c>
      <c r="H35" s="4" t="b">
        <v>0</v>
      </c>
      <c r="I35" s="4" t="b">
        <v>0</v>
      </c>
      <c r="J35" s="6" t="inlineStr">
        <is>
          <t>2025-06-24T13:09:52+00:00</t>
        </is>
      </c>
      <c r="K35" s="6" t="inlineStr">
        <is>
          <t>weekly</t>
        </is>
      </c>
      <c r="L35" s="6" t="inlineStr">
        <is>
          <t>0.7</t>
        </is>
      </c>
    </row>
    <row r="36" ht="30" customHeight="1">
      <c r="A36" s="34" t="inlineStr">
        <is>
          <t>https://africanmarketingconfederation.org/amc-marketing-conference-2024/amc-preregister-2025/</t>
        </is>
      </c>
      <c r="B36" s="27" t="inlineStr">
        <is>
          <t>https://africanmarketingconfederation.org/amc-marketing-conference-2024/amc-preregister-2025/</t>
        </is>
      </c>
      <c r="C36" s="4" t="n">
        <v>200</v>
      </c>
      <c r="D36" s="4" t="b">
        <v>0</v>
      </c>
      <c r="E36" s="27" t="b">
        <v>0</v>
      </c>
      <c r="F36" s="24" t="b">
        <v>0</v>
      </c>
      <c r="G36" s="4" t="b">
        <v>0</v>
      </c>
      <c r="H36" s="4" t="b">
        <v>0</v>
      </c>
      <c r="I36" s="4" t="b">
        <v>0</v>
      </c>
      <c r="J36" s="24" t="inlineStr">
        <is>
          <t>2025-05-21T07:15:39+00:00</t>
        </is>
      </c>
      <c r="K36" s="24" t="inlineStr">
        <is>
          <t>weekly</t>
        </is>
      </c>
      <c r="L36" s="24" t="inlineStr">
        <is>
          <t>0.7</t>
        </is>
      </c>
    </row>
    <row r="37" ht="30" customHeight="1">
      <c r="A37" s="34" t="inlineStr">
        <is>
          <t>https://africanmarketingconfederation.org/conference-faq-2025/</t>
        </is>
      </c>
      <c r="B37" s="30" t="inlineStr">
        <is>
          <t>https://africanmarketingconfederation.org/conference-faq-2025/</t>
        </is>
      </c>
      <c r="C37" s="4" t="n">
        <v>200</v>
      </c>
      <c r="D37" s="4" t="b">
        <v>0</v>
      </c>
      <c r="E37" s="30" t="b">
        <v>0</v>
      </c>
      <c r="F37" s="6" t="b">
        <v>0</v>
      </c>
      <c r="G37" s="4" t="b">
        <v>0</v>
      </c>
      <c r="H37" s="4" t="b">
        <v>0</v>
      </c>
      <c r="I37" s="4" t="b">
        <v>0</v>
      </c>
      <c r="J37" s="6" t="inlineStr">
        <is>
          <t>2025-05-16T09:55:10+00:00</t>
        </is>
      </c>
      <c r="K37" s="6" t="inlineStr">
        <is>
          <t>weekly</t>
        </is>
      </c>
      <c r="L37" s="6" t="inlineStr">
        <is>
          <t>0.7</t>
        </is>
      </c>
    </row>
    <row r="38" ht="45" customHeight="1">
      <c r="A38" s="34" t="inlineStr">
        <is>
          <t>https://africanmarketingconfederation.org/amc-marketing-conference-2024/amc-conference-2025-ghana-sponsors/</t>
        </is>
      </c>
      <c r="B38" s="27" t="inlineStr">
        <is>
          <t>https://africanmarketingconfederation.org/amc-marketing-conference-2024/amc-conference-2025-ghana-sponsors/</t>
        </is>
      </c>
      <c r="C38" s="4" t="n">
        <v>200</v>
      </c>
      <c r="D38" s="4" t="b">
        <v>0</v>
      </c>
      <c r="E38" s="27" t="b">
        <v>0</v>
      </c>
      <c r="F38" s="24" t="b">
        <v>0</v>
      </c>
      <c r="G38" s="4" t="b">
        <v>0</v>
      </c>
      <c r="H38" s="4" t="b">
        <v>0</v>
      </c>
      <c r="I38" s="4" t="b">
        <v>0</v>
      </c>
      <c r="J38" s="24" t="inlineStr">
        <is>
          <t>2025-05-15T13:46:52+00:00</t>
        </is>
      </c>
      <c r="K38" s="24" t="inlineStr">
        <is>
          <t>weekly</t>
        </is>
      </c>
      <c r="L38" s="24" t="inlineStr">
        <is>
          <t>0.7</t>
        </is>
      </c>
    </row>
    <row r="39" ht="30" customHeight="1">
      <c r="A39" s="34" t="inlineStr">
        <is>
          <t>https://africanmarketingconfederation.org/amc-forum-payments/</t>
        </is>
      </c>
      <c r="B39" s="30" t="inlineStr">
        <is>
          <t>https://africanmarketingconfederation.org/amc-forum-payments/</t>
        </is>
      </c>
      <c r="C39" s="4" t="n">
        <v>200</v>
      </c>
      <c r="D39" s="4" t="b">
        <v>0</v>
      </c>
      <c r="E39" s="30" t="b">
        <v>0</v>
      </c>
      <c r="F39" s="6" t="b">
        <v>0</v>
      </c>
      <c r="G39" s="4" t="b">
        <v>0</v>
      </c>
      <c r="H39" s="4" t="b">
        <v>0</v>
      </c>
      <c r="I39" s="4" t="b">
        <v>0</v>
      </c>
      <c r="J39" s="6" t="inlineStr">
        <is>
          <t>2025-05-14T06:45:46+00:00</t>
        </is>
      </c>
      <c r="K39" s="6" t="inlineStr">
        <is>
          <t>weekly</t>
        </is>
      </c>
      <c r="L39" s="6" t="inlineStr">
        <is>
          <t>0.7</t>
        </is>
      </c>
    </row>
    <row r="40" ht="30" customHeight="1">
      <c r="A40" s="34" t="inlineStr">
        <is>
          <t>https://africanmarketingconfederation.org/amc-marketing-conference-2024/amc-launch-event-2025/</t>
        </is>
      </c>
      <c r="B40" s="27" t="inlineStr">
        <is>
          <t>https://africanmarketingconfederation.org/amc-marketing-conference-2024/amc-launch-event-2025/</t>
        </is>
      </c>
      <c r="C40" s="4" t="n">
        <v>200</v>
      </c>
      <c r="D40" s="4" t="b">
        <v>0</v>
      </c>
      <c r="E40" s="27" t="b">
        <v>0</v>
      </c>
      <c r="F40" s="24" t="b">
        <v>0</v>
      </c>
      <c r="G40" s="4" t="b">
        <v>0</v>
      </c>
      <c r="H40" s="4" t="b">
        <v>0</v>
      </c>
      <c r="I40" s="4" t="b">
        <v>0</v>
      </c>
      <c r="J40" s="24" t="inlineStr">
        <is>
          <t>2025-05-06T09:54:46+00:00</t>
        </is>
      </c>
      <c r="K40" s="24" t="inlineStr">
        <is>
          <t>weekly</t>
        </is>
      </c>
      <c r="L40" s="24" t="inlineStr">
        <is>
          <t>0.7</t>
        </is>
      </c>
    </row>
    <row r="41" ht="30" customHeight="1">
      <c r="A41" s="34" t="inlineStr">
        <is>
          <t>https://africanmarketingconfederation.org/amc-awards-2024/</t>
        </is>
      </c>
      <c r="B41" s="30" t="inlineStr">
        <is>
          <t>https://africanmarketingconfederation.org/amc-awards-2024/</t>
        </is>
      </c>
      <c r="C41" s="4" t="n">
        <v>200</v>
      </c>
      <c r="D41" s="4" t="b">
        <v>0</v>
      </c>
      <c r="E41" s="30" t="b">
        <v>0</v>
      </c>
      <c r="F41" s="6" t="b">
        <v>0</v>
      </c>
      <c r="G41" s="4" t="b">
        <v>0</v>
      </c>
      <c r="H41" s="4" t="b">
        <v>0</v>
      </c>
      <c r="I41" s="4" t="b">
        <v>0</v>
      </c>
      <c r="J41" s="6" t="inlineStr">
        <is>
          <t>2025-04-24T13:54:46+00:00</t>
        </is>
      </c>
      <c r="K41" s="6" t="inlineStr">
        <is>
          <t>weekly</t>
        </is>
      </c>
      <c r="L41" s="6" t="inlineStr">
        <is>
          <t>0.7</t>
        </is>
      </c>
    </row>
    <row r="42" ht="30" customHeight="1">
      <c r="A42" s="34" t="inlineStr">
        <is>
          <t>https://africanmarketingconfederation.org/amc-conference-2023/</t>
        </is>
      </c>
      <c r="B42" s="27" t="inlineStr">
        <is>
          <t>https://africanmarketingconfederation.org/amc-conference-2023/</t>
        </is>
      </c>
      <c r="C42" s="4" t="n">
        <v>200</v>
      </c>
      <c r="D42" s="4" t="b">
        <v>0</v>
      </c>
      <c r="E42" s="27" t="b">
        <v>0</v>
      </c>
      <c r="F42" s="24" t="b">
        <v>0</v>
      </c>
      <c r="G42" s="4" t="b">
        <v>0</v>
      </c>
      <c r="H42" s="4" t="b">
        <v>0</v>
      </c>
      <c r="I42" s="4" t="b">
        <v>0</v>
      </c>
      <c r="J42" s="24" t="inlineStr">
        <is>
          <t>2025-03-03T07:59:34+00:00</t>
        </is>
      </c>
      <c r="K42" s="24" t="inlineStr">
        <is>
          <t>weekly</t>
        </is>
      </c>
      <c r="L42" s="24" t="inlineStr">
        <is>
          <t>0.7</t>
        </is>
      </c>
    </row>
    <row r="43" ht="30" customHeight="1">
      <c r="A43" s="34" t="inlineStr">
        <is>
          <t>https://africanmarketingconfederation.org/amc-forum-mombasa/</t>
        </is>
      </c>
      <c r="B43" s="30" t="inlineStr">
        <is>
          <t>https://africanmarketingconfederation.org/amc-forum-mombasa/</t>
        </is>
      </c>
      <c r="C43" s="4" t="n">
        <v>200</v>
      </c>
      <c r="D43" s="4" t="b">
        <v>0</v>
      </c>
      <c r="E43" s="30" t="b">
        <v>0</v>
      </c>
      <c r="F43" s="6" t="b">
        <v>0</v>
      </c>
      <c r="G43" s="4" t="b">
        <v>0</v>
      </c>
      <c r="H43" s="4" t="b">
        <v>0</v>
      </c>
      <c r="I43" s="4" t="b">
        <v>0</v>
      </c>
      <c r="J43" s="6" t="inlineStr">
        <is>
          <t>2025-02-18T07:06:42+00:00</t>
        </is>
      </c>
      <c r="K43" s="6" t="inlineStr">
        <is>
          <t>weekly</t>
        </is>
      </c>
      <c r="L43" s="6" t="inlineStr">
        <is>
          <t>0.7</t>
        </is>
      </c>
    </row>
    <row r="44" ht="30" customHeight="1">
      <c r="A44" s="34" t="inlineStr">
        <is>
          <t>https://africanmarketingconfederation.org/amc-marketing-conference-2024/</t>
        </is>
      </c>
      <c r="B44" s="27" t="inlineStr">
        <is>
          <t>https://africanmarketingconfederation.org/amc-forum-mombasa/</t>
        </is>
      </c>
      <c r="C44" s="4" t="n">
        <v>200</v>
      </c>
      <c r="D44" s="4" t="b">
        <v>0</v>
      </c>
      <c r="E44" s="27" t="b">
        <v>1</v>
      </c>
      <c r="F44" s="24" t="b">
        <v>0</v>
      </c>
      <c r="G44" s="4" t="b">
        <v>0</v>
      </c>
      <c r="H44" s="4" t="b">
        <v>0</v>
      </c>
      <c r="I44" s="4" t="b">
        <v>0</v>
      </c>
      <c r="J44" s="24" t="inlineStr">
        <is>
          <t>2025-02-10T13:53:27+00:00</t>
        </is>
      </c>
      <c r="K44" s="24" t="inlineStr">
        <is>
          <t>weekly</t>
        </is>
      </c>
      <c r="L44" s="24" t="inlineStr">
        <is>
          <t>0.7</t>
        </is>
      </c>
    </row>
    <row r="45" ht="45" customHeight="1">
      <c r="A45" s="34" t="inlineStr">
        <is>
          <t>https://africanmarketingconfederation.org/amc-marketing-conference-2024/amc-speakers-presentations-2024/</t>
        </is>
      </c>
      <c r="B45" s="30" t="inlineStr">
        <is>
          <t>https://africanmarketingconfederation.org/amc-marketing-conference-2024/amc-speakers-presentations-2024/</t>
        </is>
      </c>
      <c r="C45" s="4" t="n">
        <v>200</v>
      </c>
      <c r="D45" s="4" t="b">
        <v>0</v>
      </c>
      <c r="E45" s="30" t="b">
        <v>0</v>
      </c>
      <c r="F45" s="6" t="b">
        <v>0</v>
      </c>
      <c r="G45" s="4" t="b">
        <v>0</v>
      </c>
      <c r="H45" s="4" t="b">
        <v>0</v>
      </c>
      <c r="I45" s="4" t="b">
        <v>0</v>
      </c>
      <c r="J45" s="6" t="inlineStr">
        <is>
          <t>2024-11-15T12:51:27+00:00</t>
        </is>
      </c>
      <c r="K45" s="6" t="inlineStr">
        <is>
          <t>weekly</t>
        </is>
      </c>
      <c r="L45" s="6" t="inlineStr">
        <is>
          <t>0.7</t>
        </is>
      </c>
    </row>
    <row r="46" ht="30" customHeight="1">
      <c r="A46" s="34" t="inlineStr">
        <is>
          <t>https://africanmarketingconfederation.org/amc-marketing-conference-2024/testimony-thank-you-page/</t>
        </is>
      </c>
      <c r="B46" s="27" t="inlineStr">
        <is>
          <t>https://africanmarketingconfederation.org/amc-marketing-conference-2024/testimony-thank-you-page/</t>
        </is>
      </c>
      <c r="C46" s="4" t="n">
        <v>200</v>
      </c>
      <c r="D46" s="4" t="b">
        <v>0</v>
      </c>
      <c r="E46" s="27" t="b">
        <v>0</v>
      </c>
      <c r="F46" s="24" t="b">
        <v>0</v>
      </c>
      <c r="G46" s="4" t="b">
        <v>0</v>
      </c>
      <c r="H46" s="4" t="b">
        <v>0</v>
      </c>
      <c r="I46" s="4" t="b">
        <v>0</v>
      </c>
      <c r="J46" s="24" t="inlineStr">
        <is>
          <t>2024-11-07T06:26:44+00:00</t>
        </is>
      </c>
      <c r="K46" s="24" t="inlineStr">
        <is>
          <t>weekly</t>
        </is>
      </c>
      <c r="L46" s="24" t="inlineStr">
        <is>
          <t>0.7</t>
        </is>
      </c>
    </row>
    <row r="47" ht="30" customHeight="1">
      <c r="A47" s="34" t="inlineStr">
        <is>
          <t>https://africanmarketingconfederation.org/amc-sign-up-now-form-2025/</t>
        </is>
      </c>
      <c r="B47" s="30" t="inlineStr">
        <is>
          <t>https://africanmarketingconfederation.org/amc-sign-up-now-form-2025/</t>
        </is>
      </c>
      <c r="C47" s="4" t="n">
        <v>200</v>
      </c>
      <c r="D47" s="4" t="b">
        <v>0</v>
      </c>
      <c r="E47" s="30" t="b">
        <v>0</v>
      </c>
      <c r="F47" s="6" t="b">
        <v>0</v>
      </c>
      <c r="G47" s="4" t="b">
        <v>0</v>
      </c>
      <c r="H47" s="4" t="b">
        <v>0</v>
      </c>
      <c r="I47" s="4" t="b">
        <v>0</v>
      </c>
      <c r="J47" s="6" t="inlineStr">
        <is>
          <t>2024-11-05T13:50:35+00:00</t>
        </is>
      </c>
      <c r="K47" s="6" t="inlineStr">
        <is>
          <t>weekly</t>
        </is>
      </c>
      <c r="L47" s="6" t="inlineStr">
        <is>
          <t>0.7</t>
        </is>
      </c>
    </row>
    <row r="48" ht="30" customHeight="1">
      <c r="A48" s="34" t="inlineStr">
        <is>
          <t>https://africanmarketingconfederation.org/amc-testimony-page-2024/</t>
        </is>
      </c>
      <c r="B48" s="27" t="inlineStr">
        <is>
          <t>https://africanmarketingconfederation.org/amc-testimony-page-2024/</t>
        </is>
      </c>
      <c r="C48" s="4" t="n">
        <v>200</v>
      </c>
      <c r="D48" s="4" t="b">
        <v>0</v>
      </c>
      <c r="E48" s="27" t="b">
        <v>0</v>
      </c>
      <c r="F48" s="24" t="b">
        <v>0</v>
      </c>
      <c r="G48" s="4" t="b">
        <v>0</v>
      </c>
      <c r="H48" s="4" t="b">
        <v>0</v>
      </c>
      <c r="I48" s="4" t="b">
        <v>0</v>
      </c>
      <c r="J48" s="24" t="inlineStr">
        <is>
          <t>2024-11-04T11:11:25+00:00</t>
        </is>
      </c>
      <c r="K48" s="24" t="inlineStr">
        <is>
          <t>weekly</t>
        </is>
      </c>
      <c r="L48" s="24" t="inlineStr">
        <is>
          <t>0.7</t>
        </is>
      </c>
    </row>
    <row r="49" ht="30" customHeight="1">
      <c r="A49" s="30" t="inlineStr">
        <is>
          <t>https://africanmarketingconfederation.org/amc-conference-sponsors/</t>
        </is>
      </c>
      <c r="B49" s="30" t="inlineStr">
        <is>
          <t>https://africanmarketingconfederation.org/amc-forum-sponsors/</t>
        </is>
      </c>
      <c r="C49" s="32" t="n">
        <v>404</v>
      </c>
      <c r="D49" s="32" t="b">
        <v>1</v>
      </c>
      <c r="E49" s="30" t="b">
        <v>1</v>
      </c>
      <c r="F49" s="6" t="b">
        <v>0</v>
      </c>
      <c r="G49" s="4" t="b">
        <v>0</v>
      </c>
      <c r="H49" s="4" t="b">
        <v>0</v>
      </c>
      <c r="I49" s="4" t="b">
        <v>0</v>
      </c>
      <c r="J49" s="6" t="inlineStr">
        <is>
          <t>2024-09-18T12:27:33+00:00</t>
        </is>
      </c>
      <c r="K49" s="6" t="inlineStr">
        <is>
          <t>weekly</t>
        </is>
      </c>
      <c r="L49" s="6" t="inlineStr">
        <is>
          <t>0.7</t>
        </is>
      </c>
    </row>
    <row r="50" ht="30" customHeight="1">
      <c r="A50" s="27" t="inlineStr">
        <is>
          <t>https://africanmarketingconfederation.org/amc-marketing-conference-2024/speakers-2024/</t>
        </is>
      </c>
      <c r="B50" s="27" t="inlineStr">
        <is>
          <t>https://africanmarketingconfederation.org/amc-forum-speakers/</t>
        </is>
      </c>
      <c r="C50" s="32" t="n">
        <v>404</v>
      </c>
      <c r="D50" s="32" t="b">
        <v>1</v>
      </c>
      <c r="E50" s="27" t="b">
        <v>1</v>
      </c>
      <c r="F50" s="24" t="b">
        <v>0</v>
      </c>
      <c r="G50" s="4" t="b">
        <v>0</v>
      </c>
      <c r="H50" s="4" t="b">
        <v>0</v>
      </c>
      <c r="I50" s="4" t="b">
        <v>0</v>
      </c>
      <c r="J50" s="24" t="inlineStr">
        <is>
          <t>2024-09-18T12:11:23+00:00</t>
        </is>
      </c>
      <c r="K50" s="24" t="inlineStr">
        <is>
          <t>weekly</t>
        </is>
      </c>
      <c r="L50" s="24" t="inlineStr">
        <is>
          <t>0.7</t>
        </is>
      </c>
    </row>
    <row r="51" ht="30" customHeight="1">
      <c r="A51" s="34" t="inlineStr">
        <is>
          <t>https://africanmarketingconfederation.org/thank-you-for-registering-2024-registrations/</t>
        </is>
      </c>
      <c r="B51" s="30" t="inlineStr">
        <is>
          <t>https://africanmarketingconfederation.org/thank-you-for-registering-2024-registrations/</t>
        </is>
      </c>
      <c r="C51" s="4" t="n">
        <v>200</v>
      </c>
      <c r="D51" s="4" t="b">
        <v>0</v>
      </c>
      <c r="E51" s="30" t="b">
        <v>0</v>
      </c>
      <c r="F51" s="6" t="b">
        <v>0</v>
      </c>
      <c r="G51" s="4" t="b">
        <v>0</v>
      </c>
      <c r="H51" s="4" t="b">
        <v>0</v>
      </c>
      <c r="I51" s="4" t="b">
        <v>0</v>
      </c>
      <c r="J51" s="6" t="inlineStr">
        <is>
          <t>2024-09-18T09:45:04+00:00</t>
        </is>
      </c>
      <c r="K51" s="6" t="inlineStr">
        <is>
          <t>weekly</t>
        </is>
      </c>
      <c r="L51" s="6" t="inlineStr">
        <is>
          <t>0.7</t>
        </is>
      </c>
    </row>
    <row r="52" ht="30" customHeight="1">
      <c r="A52" s="34" t="inlineStr">
        <is>
          <t>https://africanmarketingconfederation.org/download-prospectus-2024/</t>
        </is>
      </c>
      <c r="B52" s="27" t="inlineStr">
        <is>
          <t>https://africanmarketingconfederation.org/download-prospectus-2024/</t>
        </is>
      </c>
      <c r="C52" s="4" t="n">
        <v>200</v>
      </c>
      <c r="D52" s="4" t="b">
        <v>0</v>
      </c>
      <c r="E52" s="27" t="b">
        <v>0</v>
      </c>
      <c r="F52" s="24" t="b">
        <v>0</v>
      </c>
      <c r="G52" s="4" t="b">
        <v>0</v>
      </c>
      <c r="H52" s="4" t="b">
        <v>0</v>
      </c>
      <c r="I52" s="4" t="b">
        <v>0</v>
      </c>
      <c r="J52" s="24" t="inlineStr">
        <is>
          <t>2024-09-18T09:39:20+00:00</t>
        </is>
      </c>
      <c r="K52" s="24" t="inlineStr">
        <is>
          <t>weekly</t>
        </is>
      </c>
      <c r="L52" s="24" t="inlineStr">
        <is>
          <t>0.7</t>
        </is>
      </c>
    </row>
    <row r="53" ht="30" customHeight="1">
      <c r="A53" s="34" t="inlineStr">
        <is>
          <t>https://africanmarketingconfederation.org/thank-you-for-registering-2024-registrations-kenya/</t>
        </is>
      </c>
      <c r="B53" s="30" t="inlineStr">
        <is>
          <t>https://africanmarketingconfederation.org/thank-you-for-registering-2024-registrations-kenya/</t>
        </is>
      </c>
      <c r="C53" s="4" t="n">
        <v>200</v>
      </c>
      <c r="D53" s="4" t="b">
        <v>0</v>
      </c>
      <c r="E53" s="30" t="b">
        <v>0</v>
      </c>
      <c r="F53" s="6" t="b">
        <v>0</v>
      </c>
      <c r="G53" s="4" t="b">
        <v>0</v>
      </c>
      <c r="H53" s="4" t="b">
        <v>0</v>
      </c>
      <c r="I53" s="4" t="b">
        <v>0</v>
      </c>
      <c r="J53" s="6" t="inlineStr">
        <is>
          <t>2024-09-12T07:26:50+00:00</t>
        </is>
      </c>
      <c r="K53" s="6" t="inlineStr">
        <is>
          <t>weekly</t>
        </is>
      </c>
      <c r="L53" s="6" t="inlineStr">
        <is>
          <t>0.7</t>
        </is>
      </c>
    </row>
    <row r="54" ht="30" customHeight="1">
      <c r="A54" s="34" t="inlineStr">
        <is>
          <t>https://africanmarketingconfederation.org/subscribe/</t>
        </is>
      </c>
      <c r="B54" s="27" t="inlineStr">
        <is>
          <t>https://africanmarketingconfederation.org/subscribe/</t>
        </is>
      </c>
      <c r="C54" s="4" t="n">
        <v>200</v>
      </c>
      <c r="D54" s="4" t="b">
        <v>0</v>
      </c>
      <c r="E54" s="27" t="b">
        <v>0</v>
      </c>
      <c r="F54" s="24" t="b">
        <v>0</v>
      </c>
      <c r="G54" s="4" t="b">
        <v>0</v>
      </c>
      <c r="H54" s="4" t="b">
        <v>0</v>
      </c>
      <c r="I54" s="4" t="b">
        <v>0</v>
      </c>
      <c r="J54" s="24" t="inlineStr">
        <is>
          <t>2024-08-28T07:27:46+00:00</t>
        </is>
      </c>
      <c r="K54" s="24" t="inlineStr">
        <is>
          <t>weekly</t>
        </is>
      </c>
      <c r="L54" s="24" t="inlineStr">
        <is>
          <t>0.7</t>
        </is>
      </c>
    </row>
    <row r="55" ht="30" customHeight="1">
      <c r="A55" s="34" t="inlineStr">
        <is>
          <t>https://africanmarketingconfederation.org/elementor-20341/</t>
        </is>
      </c>
      <c r="B55" s="30" t="inlineStr">
        <is>
          <t>https://africanmarketingconfederation.org/elementor-20341/</t>
        </is>
      </c>
      <c r="C55" s="4" t="n">
        <v>200</v>
      </c>
      <c r="D55" s="4" t="b">
        <v>0</v>
      </c>
      <c r="E55" s="30" t="b">
        <v>0</v>
      </c>
      <c r="F55" s="6" t="b">
        <v>0</v>
      </c>
      <c r="G55" s="4" t="b">
        <v>0</v>
      </c>
      <c r="H55" s="4" t="b">
        <v>0</v>
      </c>
      <c r="I55" s="4" t="b">
        <v>0</v>
      </c>
      <c r="J55" s="6" t="inlineStr">
        <is>
          <t>2024-08-02T13:04:38+00:00</t>
        </is>
      </c>
      <c r="K55" s="6" t="inlineStr">
        <is>
          <t>weekly</t>
        </is>
      </c>
      <c r="L55" s="6" t="inlineStr">
        <is>
          <t>0.7</t>
        </is>
      </c>
    </row>
    <row r="56" ht="30" customHeight="1">
      <c r="A56" s="34" t="inlineStr">
        <is>
          <t>https://africanmarketingconfederation.org/chartered-marketer-africa-programme-fee/</t>
        </is>
      </c>
      <c r="B56" s="27" t="inlineStr">
        <is>
          <t>https://africanmarketingconfederation.org/chartered-marketer-africa-programme-fee/</t>
        </is>
      </c>
      <c r="C56" s="4" t="n">
        <v>200</v>
      </c>
      <c r="D56" s="4" t="b">
        <v>0</v>
      </c>
      <c r="E56" s="27" t="b">
        <v>0</v>
      </c>
      <c r="F56" s="24" t="b">
        <v>0</v>
      </c>
      <c r="G56" s="4" t="b">
        <v>0</v>
      </c>
      <c r="H56" s="4" t="b">
        <v>0</v>
      </c>
      <c r="I56" s="4" t="b">
        <v>0</v>
      </c>
      <c r="J56" s="24" t="inlineStr">
        <is>
          <t>2024-07-19T08:44:04+00:00</t>
        </is>
      </c>
      <c r="K56" s="24" t="inlineStr">
        <is>
          <t>weekly</t>
        </is>
      </c>
      <c r="L56" s="24" t="inlineStr">
        <is>
          <t>0.7</t>
        </is>
      </c>
    </row>
    <row r="57" ht="30" customHeight="1">
      <c r="A57" s="34" t="inlineStr">
        <is>
          <t>https://africanmarketingconfederation.org/chartered-marketer-africa-final-submission-fee/</t>
        </is>
      </c>
      <c r="B57" s="30" t="inlineStr">
        <is>
          <t>https://africanmarketingconfederation.org/chartered-marketer-africa-final-submission-fee/</t>
        </is>
      </c>
      <c r="C57" s="4" t="n">
        <v>200</v>
      </c>
      <c r="D57" s="4" t="b">
        <v>0</v>
      </c>
      <c r="E57" s="30" t="b">
        <v>0</v>
      </c>
      <c r="F57" s="6" t="b">
        <v>0</v>
      </c>
      <c r="G57" s="4" t="b">
        <v>0</v>
      </c>
      <c r="H57" s="4" t="b">
        <v>0</v>
      </c>
      <c r="I57" s="4" t="b">
        <v>0</v>
      </c>
      <c r="J57" s="6" t="inlineStr">
        <is>
          <t>2024-07-19T08:34:52+00:00</t>
        </is>
      </c>
      <c r="K57" s="6" t="inlineStr">
        <is>
          <t>weekly</t>
        </is>
      </c>
      <c r="L57" s="6" t="inlineStr">
        <is>
          <t>0.7</t>
        </is>
      </c>
    </row>
    <row r="58" ht="30" customHeight="1">
      <c r="A58" s="34" t="inlineStr">
        <is>
          <t>https://africanmarketingconfederation.org/download-brochure/</t>
        </is>
      </c>
      <c r="B58" s="27" t="inlineStr">
        <is>
          <t>https://africanmarketingconfederation.org/download-brochure/</t>
        </is>
      </c>
      <c r="C58" s="4" t="n">
        <v>200</v>
      </c>
      <c r="D58" s="4" t="b">
        <v>0</v>
      </c>
      <c r="E58" s="27" t="b">
        <v>0</v>
      </c>
      <c r="F58" s="24" t="b">
        <v>0</v>
      </c>
      <c r="G58" s="4" t="b">
        <v>0</v>
      </c>
      <c r="H58" s="4" t="b">
        <v>0</v>
      </c>
      <c r="I58" s="4" t="b">
        <v>0</v>
      </c>
      <c r="J58" s="24" t="inlineStr">
        <is>
          <t>2024-07-09T14:28:38+00:00</t>
        </is>
      </c>
      <c r="K58" s="24" t="inlineStr">
        <is>
          <t>weekly</t>
        </is>
      </c>
      <c r="L58" s="24" t="inlineStr">
        <is>
          <t>0.7</t>
        </is>
      </c>
    </row>
    <row r="59" ht="30" customHeight="1">
      <c r="A59" s="34" t="inlineStr">
        <is>
          <t>https://africanmarketingconfederation.org/thank-you-for-the-nomination-2024/</t>
        </is>
      </c>
      <c r="B59" s="30" t="inlineStr">
        <is>
          <t>https://africanmarketingconfederation.org/thank-you-for-the-nomination-2024/</t>
        </is>
      </c>
      <c r="C59" s="4" t="n">
        <v>200</v>
      </c>
      <c r="D59" s="4" t="b">
        <v>0</v>
      </c>
      <c r="E59" s="30" t="b">
        <v>0</v>
      </c>
      <c r="F59" s="6" t="b">
        <v>0</v>
      </c>
      <c r="G59" s="4" t="b">
        <v>0</v>
      </c>
      <c r="H59" s="4" t="b">
        <v>0</v>
      </c>
      <c r="I59" s="4" t="b">
        <v>0</v>
      </c>
      <c r="J59" s="6" t="inlineStr">
        <is>
          <t>2024-06-27T12:24:46+00:00</t>
        </is>
      </c>
      <c r="K59" s="6" t="inlineStr">
        <is>
          <t>weekly</t>
        </is>
      </c>
      <c r="L59" s="6" t="inlineStr">
        <is>
          <t>0.7</t>
        </is>
      </c>
    </row>
    <row r="60" ht="30" customHeight="1">
      <c r="A60" s="34" t="inlineStr">
        <is>
          <t>https://africanmarketingconfederation.org/amc-conference-2024-sponsors-packages/</t>
        </is>
      </c>
      <c r="B60" s="27" t="inlineStr">
        <is>
          <t>https://africanmarketingconfederation.org/amc-conference-2024-sponsors-packages/</t>
        </is>
      </c>
      <c r="C60" s="4" t="n">
        <v>200</v>
      </c>
      <c r="D60" s="4" t="b">
        <v>0</v>
      </c>
      <c r="E60" s="27" t="b">
        <v>0</v>
      </c>
      <c r="F60" s="24" t="b">
        <v>0</v>
      </c>
      <c r="G60" s="4" t="b">
        <v>0</v>
      </c>
      <c r="H60" s="4" t="b">
        <v>0</v>
      </c>
      <c r="I60" s="4" t="b">
        <v>0</v>
      </c>
      <c r="J60" s="24" t="inlineStr">
        <is>
          <t>2024-06-10T14:12:23+00:00</t>
        </is>
      </c>
      <c r="K60" s="24" t="inlineStr">
        <is>
          <t>weekly</t>
        </is>
      </c>
      <c r="L60" s="24" t="inlineStr">
        <is>
          <t>0.7</t>
        </is>
      </c>
    </row>
    <row r="61" ht="30" customHeight="1">
      <c r="A61" s="34" t="inlineStr">
        <is>
          <t>https://africanmarketingconfederation.org/thank-you-for-the-submission-2024/</t>
        </is>
      </c>
      <c r="B61" s="30" t="inlineStr">
        <is>
          <t>https://africanmarketingconfederation.org/thank-you-for-the-submission-2024/</t>
        </is>
      </c>
      <c r="C61" s="4" t="n">
        <v>200</v>
      </c>
      <c r="D61" s="4" t="b">
        <v>0</v>
      </c>
      <c r="E61" s="30" t="b">
        <v>0</v>
      </c>
      <c r="F61" s="6" t="b">
        <v>0</v>
      </c>
      <c r="G61" s="4" t="b">
        <v>0</v>
      </c>
      <c r="H61" s="4" t="b">
        <v>0</v>
      </c>
      <c r="I61" s="4" t="b">
        <v>0</v>
      </c>
      <c r="J61" s="6" t="inlineStr">
        <is>
          <t>2024-04-11T06:14:27+00:00</t>
        </is>
      </c>
      <c r="K61" s="6" t="inlineStr">
        <is>
          <t>weekly</t>
        </is>
      </c>
      <c r="L61" s="6" t="inlineStr">
        <is>
          <t>0.7</t>
        </is>
      </c>
    </row>
    <row r="62" ht="30" customHeight="1">
      <c r="A62" s="34" t="inlineStr">
        <is>
          <t>https://africanmarketingconfederation.org/elementor-16548/</t>
        </is>
      </c>
      <c r="B62" s="27" t="inlineStr">
        <is>
          <t>https://africanmarketingconfederation.org/elementor-16548/</t>
        </is>
      </c>
      <c r="C62" s="4" t="n">
        <v>200</v>
      </c>
      <c r="D62" s="4" t="b">
        <v>0</v>
      </c>
      <c r="E62" s="27" t="b">
        <v>0</v>
      </c>
      <c r="F62" s="24" t="b">
        <v>0</v>
      </c>
      <c r="G62" s="4" t="b">
        <v>0</v>
      </c>
      <c r="H62" s="4" t="b">
        <v>0</v>
      </c>
      <c r="I62" s="4" t="b">
        <v>0</v>
      </c>
      <c r="J62" s="24" t="inlineStr">
        <is>
          <t>2024-03-13T12:47:07+00:00</t>
        </is>
      </c>
      <c r="K62" s="24" t="inlineStr">
        <is>
          <t>weekly</t>
        </is>
      </c>
      <c r="L62" s="24" t="inlineStr">
        <is>
          <t>0.7</t>
        </is>
      </c>
    </row>
    <row r="63" ht="30" customHeight="1">
      <c r="A63" s="34" t="inlineStr">
        <is>
          <t>https://africanmarketingconfederation.org/amc-marketing-conference-2024/programme-2024/</t>
        </is>
      </c>
      <c r="B63" s="30" t="inlineStr">
        <is>
          <t>https://africanmarketingconfederation.org/amc-marketing-conference-2024/programme-2024/</t>
        </is>
      </c>
      <c r="C63" s="4" t="n">
        <v>200</v>
      </c>
      <c r="D63" s="4" t="b">
        <v>0</v>
      </c>
      <c r="E63" s="30" t="b">
        <v>0</v>
      </c>
      <c r="F63" s="6" t="b">
        <v>0</v>
      </c>
      <c r="G63" s="4" t="b">
        <v>0</v>
      </c>
      <c r="H63" s="4" t="b">
        <v>0</v>
      </c>
      <c r="I63" s="4" t="b">
        <v>0</v>
      </c>
      <c r="J63" s="6" t="inlineStr">
        <is>
          <t>2024-02-28T14:18:29+00:00</t>
        </is>
      </c>
      <c r="K63" s="6" t="inlineStr">
        <is>
          <t>weekly</t>
        </is>
      </c>
      <c r="L63" s="6" t="inlineStr">
        <is>
          <t>0.7</t>
        </is>
      </c>
    </row>
    <row r="64" ht="30" customHeight="1">
      <c r="A64" s="34" t="inlineStr">
        <is>
          <t>https://africanmarketingconfederation.org/amc-conference-2023/amc-awards/</t>
        </is>
      </c>
      <c r="B64" s="27" t="inlineStr">
        <is>
          <t>https://africanmarketingconfederation.org/amc-conference-2023/amc-awards/</t>
        </is>
      </c>
      <c r="C64" s="4" t="n">
        <v>200</v>
      </c>
      <c r="D64" s="4" t="b">
        <v>0</v>
      </c>
      <c r="E64" s="27" t="b">
        <v>0</v>
      </c>
      <c r="F64" s="24" t="b">
        <v>0</v>
      </c>
      <c r="G64" s="4" t="b">
        <v>0</v>
      </c>
      <c r="H64" s="4" t="b">
        <v>0</v>
      </c>
      <c r="I64" s="4" t="b">
        <v>0</v>
      </c>
      <c r="J64" s="24" t="inlineStr">
        <is>
          <t>2023-11-23T11:51:22+00:00</t>
        </is>
      </c>
      <c r="K64" s="24" t="inlineStr">
        <is>
          <t>weekly</t>
        </is>
      </c>
      <c r="L64" s="24" t="inlineStr">
        <is>
          <t>0.7</t>
        </is>
      </c>
    </row>
    <row r="65" ht="30" customHeight="1">
      <c r="A65" s="34" t="inlineStr">
        <is>
          <t>https://africanmarketingconfederation.org/amc-conference-2023/programme/</t>
        </is>
      </c>
      <c r="B65" s="30" t="inlineStr">
        <is>
          <t>https://africanmarketingconfederation.org/amc-conference-2023/programme/</t>
        </is>
      </c>
      <c r="C65" s="4" t="n">
        <v>200</v>
      </c>
      <c r="D65" s="4" t="b">
        <v>0</v>
      </c>
      <c r="E65" s="30" t="b">
        <v>0</v>
      </c>
      <c r="F65" s="6" t="b">
        <v>0</v>
      </c>
      <c r="G65" s="4" t="b">
        <v>0</v>
      </c>
      <c r="H65" s="4" t="b">
        <v>0</v>
      </c>
      <c r="I65" s="4" t="b">
        <v>0</v>
      </c>
      <c r="J65" s="6" t="inlineStr">
        <is>
          <t>2023-11-23T11:27:20+00:00</t>
        </is>
      </c>
      <c r="K65" s="6" t="inlineStr">
        <is>
          <t>weekly</t>
        </is>
      </c>
      <c r="L65" s="6" t="inlineStr">
        <is>
          <t>0.7</t>
        </is>
      </c>
    </row>
    <row r="66" ht="30" customHeight="1">
      <c r="A66" s="34" t="inlineStr">
        <is>
          <t>https://africanmarketingconfederation.org/amc-conference-2023/partners/</t>
        </is>
      </c>
      <c r="B66" s="27" t="inlineStr">
        <is>
          <t>https://africanmarketingconfederation.org/amc-conference-2023/partners/</t>
        </is>
      </c>
      <c r="C66" s="4" t="n">
        <v>200</v>
      </c>
      <c r="D66" s="4" t="b">
        <v>0</v>
      </c>
      <c r="E66" s="27" t="b">
        <v>0</v>
      </c>
      <c r="F66" s="24" t="b">
        <v>0</v>
      </c>
      <c r="G66" s="4" t="b">
        <v>0</v>
      </c>
      <c r="H66" s="4" t="b">
        <v>0</v>
      </c>
      <c r="I66" s="4" t="b">
        <v>0</v>
      </c>
      <c r="J66" s="24" t="inlineStr">
        <is>
          <t>2023-08-24T11:13:02+00:00</t>
        </is>
      </c>
      <c r="K66" s="24" t="inlineStr">
        <is>
          <t>weekly</t>
        </is>
      </c>
      <c r="L66" s="24" t="inlineStr">
        <is>
          <t>0.7</t>
        </is>
      </c>
    </row>
    <row r="67" ht="30" customHeight="1">
      <c r="A67" s="34" t="inlineStr">
        <is>
          <t>https://africanmarketingconfederation.org/amc-conference-2023/speakers/</t>
        </is>
      </c>
      <c r="B67" s="30" t="inlineStr">
        <is>
          <t>https://africanmarketingconfederation.org/amc-conference-2023/speakers/</t>
        </is>
      </c>
      <c r="C67" s="4" t="n">
        <v>200</v>
      </c>
      <c r="D67" s="4" t="b">
        <v>0</v>
      </c>
      <c r="E67" s="30" t="b">
        <v>0</v>
      </c>
      <c r="F67" s="6" t="b">
        <v>0</v>
      </c>
      <c r="G67" s="4" t="b">
        <v>0</v>
      </c>
      <c r="H67" s="4" t="b">
        <v>0</v>
      </c>
      <c r="I67" s="4" t="b">
        <v>0</v>
      </c>
      <c r="J67" s="6" t="inlineStr">
        <is>
          <t>2023-08-24T10:11:48+00:00</t>
        </is>
      </c>
      <c r="K67" s="6" t="inlineStr">
        <is>
          <t>weekly</t>
        </is>
      </c>
      <c r="L67" s="6" t="inlineStr">
        <is>
          <t>0.7</t>
        </is>
      </c>
    </row>
    <row r="68" ht="30" customHeight="1">
      <c r="A68" s="34" t="inlineStr">
        <is>
          <t>https://africanmarketingconfederation.org/chartered-marketer-africa-thank-you/</t>
        </is>
      </c>
      <c r="B68" s="27" t="inlineStr">
        <is>
          <t>https://africanmarketingconfederation.org/chartered-marketer-africa-thank-you/</t>
        </is>
      </c>
      <c r="C68" s="4" t="n">
        <v>200</v>
      </c>
      <c r="D68" s="4" t="b">
        <v>0</v>
      </c>
      <c r="E68" s="27" t="b">
        <v>0</v>
      </c>
      <c r="F68" s="24" t="b">
        <v>0</v>
      </c>
      <c r="G68" s="4" t="b">
        <v>0</v>
      </c>
      <c r="H68" s="4" t="b">
        <v>0</v>
      </c>
      <c r="I68" s="4" t="b">
        <v>0</v>
      </c>
      <c r="J68" s="24" t="inlineStr">
        <is>
          <t>2023-08-24T09:37:32+00:00</t>
        </is>
      </c>
      <c r="K68" s="24" t="inlineStr">
        <is>
          <t>weekly</t>
        </is>
      </c>
      <c r="L68" s="24" t="inlineStr">
        <is>
          <t>0.7</t>
        </is>
      </c>
    </row>
    <row r="69" ht="30" customHeight="1">
      <c r="A69" s="34" t="inlineStr">
        <is>
          <t>https://africanmarketingconfederation.org/amc-conference-2023/amc-awards-book-now/</t>
        </is>
      </c>
      <c r="B69" s="30" t="inlineStr">
        <is>
          <t>https://africanmarketingconfederation.org/amc-conference-2023/amc-awards-book-now/</t>
        </is>
      </c>
      <c r="C69" s="4" t="n">
        <v>200</v>
      </c>
      <c r="D69" s="4" t="b">
        <v>0</v>
      </c>
      <c r="E69" s="30" t="b">
        <v>0</v>
      </c>
      <c r="F69" s="6" t="b">
        <v>0</v>
      </c>
      <c r="G69" s="4" t="b">
        <v>0</v>
      </c>
      <c r="H69" s="4" t="b">
        <v>0</v>
      </c>
      <c r="I69" s="4" t="b">
        <v>0</v>
      </c>
      <c r="J69" s="6" t="inlineStr">
        <is>
          <t>2023-08-22T14:14:41+00:00</t>
        </is>
      </c>
      <c r="K69" s="6" t="inlineStr">
        <is>
          <t>weekly</t>
        </is>
      </c>
      <c r="L69" s="6" t="inlineStr">
        <is>
          <t>0.7</t>
        </is>
      </c>
    </row>
    <row r="70" ht="30" customHeight="1">
      <c r="A70" s="34" t="inlineStr">
        <is>
          <t>https://africanmarketingconfederation.org/amc-conference-2023/book-now/</t>
        </is>
      </c>
      <c r="B70" s="27" t="inlineStr">
        <is>
          <t>https://africanmarketingconfederation.org/amc-conference-2023/book-now/</t>
        </is>
      </c>
      <c r="C70" s="4" t="n">
        <v>200</v>
      </c>
      <c r="D70" s="4" t="b">
        <v>0</v>
      </c>
      <c r="E70" s="27" t="b">
        <v>0</v>
      </c>
      <c r="F70" s="24" t="b">
        <v>0</v>
      </c>
      <c r="G70" s="4" t="b">
        <v>0</v>
      </c>
      <c r="H70" s="4" t="b">
        <v>0</v>
      </c>
      <c r="I70" s="4" t="b">
        <v>0</v>
      </c>
      <c r="J70" s="24" t="inlineStr">
        <is>
          <t>2023-08-21T11:57:28+00:00</t>
        </is>
      </c>
      <c r="K70" s="24" t="inlineStr">
        <is>
          <t>weekly</t>
        </is>
      </c>
      <c r="L70" s="24" t="inlineStr">
        <is>
          <t>0.7</t>
        </is>
      </c>
    </row>
    <row r="71" ht="30" customHeight="1">
      <c r="A71" s="34" t="inlineStr">
        <is>
          <t>https://africanmarketingconfederation.org/amc-conference-2023/download-prospectus/</t>
        </is>
      </c>
      <c r="B71" s="30" t="inlineStr">
        <is>
          <t>https://africanmarketingconfederation.org/amc-conference-2023/download-prospectus/</t>
        </is>
      </c>
      <c r="C71" s="4" t="n">
        <v>200</v>
      </c>
      <c r="D71" s="4" t="b">
        <v>0</v>
      </c>
      <c r="E71" s="30" t="b">
        <v>0</v>
      </c>
      <c r="F71" s="6" t="b">
        <v>0</v>
      </c>
      <c r="G71" s="4" t="b">
        <v>0</v>
      </c>
      <c r="H71" s="4" t="b">
        <v>0</v>
      </c>
      <c r="I71" s="4" t="b">
        <v>0</v>
      </c>
      <c r="J71" s="6" t="inlineStr">
        <is>
          <t>2023-08-21T10:54:35+00:00</t>
        </is>
      </c>
      <c r="K71" s="6" t="inlineStr">
        <is>
          <t>weekly</t>
        </is>
      </c>
      <c r="L71" s="6" t="inlineStr">
        <is>
          <t>0.7</t>
        </is>
      </c>
    </row>
    <row r="72" ht="30" customHeight="1">
      <c r="A72" s="34" t="inlineStr">
        <is>
          <t>https://africanmarketingconfederation.org/amc-conference-2023/book-now-thank-you/</t>
        </is>
      </c>
      <c r="B72" s="27" t="inlineStr">
        <is>
          <t>https://africanmarketingconfederation.org/amc-conference-2023/book-now-thank-you/</t>
        </is>
      </c>
      <c r="C72" s="4" t="n">
        <v>200</v>
      </c>
      <c r="D72" s="4" t="b">
        <v>0</v>
      </c>
      <c r="E72" s="27" t="b">
        <v>0</v>
      </c>
      <c r="F72" s="24" t="b">
        <v>0</v>
      </c>
      <c r="G72" s="4" t="b">
        <v>0</v>
      </c>
      <c r="H72" s="4" t="b">
        <v>0</v>
      </c>
      <c r="I72" s="4" t="b">
        <v>0</v>
      </c>
      <c r="J72" s="24" t="inlineStr">
        <is>
          <t>2023-07-03T10:10:31+00:00</t>
        </is>
      </c>
      <c r="K72" s="24" t="inlineStr">
        <is>
          <t>weekly</t>
        </is>
      </c>
      <c r="L72" s="24" t="inlineStr">
        <is>
          <t>0.7</t>
        </is>
      </c>
    </row>
    <row r="73" ht="30" customHeight="1">
      <c r="A73" s="34" t="inlineStr">
        <is>
          <t>https://africanmarketingconfederation.org/amc-conference-thank-you/</t>
        </is>
      </c>
      <c r="B73" s="30" t="inlineStr">
        <is>
          <t>https://africanmarketingconfederation.org/amc-conference-thank-you/</t>
        </is>
      </c>
      <c r="C73" s="4" t="n">
        <v>200</v>
      </c>
      <c r="D73" s="4" t="b">
        <v>0</v>
      </c>
      <c r="E73" s="30" t="b">
        <v>0</v>
      </c>
      <c r="F73" s="6" t="b">
        <v>0</v>
      </c>
      <c r="G73" s="4" t="b">
        <v>0</v>
      </c>
      <c r="H73" s="4" t="b">
        <v>0</v>
      </c>
      <c r="I73" s="4" t="b">
        <v>0</v>
      </c>
      <c r="J73" s="6" t="inlineStr">
        <is>
          <t>2023-07-03T08:39:05+00:00</t>
        </is>
      </c>
      <c r="K73" s="6" t="inlineStr">
        <is>
          <t>weekly</t>
        </is>
      </c>
      <c r="L73" s="6" t="inlineStr">
        <is>
          <t>0.7</t>
        </is>
      </c>
    </row>
    <row r="74" ht="30" customHeight="1">
      <c r="A74" s="34" t="inlineStr">
        <is>
          <t>https://africanmarketingconfederation.org/upcoming-events/</t>
        </is>
      </c>
      <c r="B74" s="27" t="inlineStr">
        <is>
          <t>https://africanmarketingconfederation.org/upcoming-events/</t>
        </is>
      </c>
      <c r="C74" s="4" t="n">
        <v>200</v>
      </c>
      <c r="D74" s="4" t="b">
        <v>0</v>
      </c>
      <c r="E74" s="27" t="b">
        <v>0</v>
      </c>
      <c r="F74" s="24" t="b">
        <v>0</v>
      </c>
      <c r="G74" s="4" t="b">
        <v>0</v>
      </c>
      <c r="H74" s="4" t="b">
        <v>0</v>
      </c>
      <c r="I74" s="4" t="b">
        <v>0</v>
      </c>
      <c r="J74" s="24" t="inlineStr">
        <is>
          <t>2023-01-18T11:02:32+00:00</t>
        </is>
      </c>
      <c r="K74" s="24" t="inlineStr">
        <is>
          <t>weekly</t>
        </is>
      </c>
      <c r="L74" s="24" t="inlineStr">
        <is>
          <t>0.7</t>
        </is>
      </c>
    </row>
    <row r="75" ht="30" customHeight="1">
      <c r="A75" s="34" t="inlineStr">
        <is>
          <t>https://africanmarketingconfederation.org/thank-you-for-subscribing/</t>
        </is>
      </c>
      <c r="B75" s="30" t="inlineStr">
        <is>
          <t>https://africanmarketingconfederation.org/thank-you-for-subscribing/</t>
        </is>
      </c>
      <c r="C75" s="4" t="n">
        <v>200</v>
      </c>
      <c r="D75" s="4" t="b">
        <v>0</v>
      </c>
      <c r="E75" s="30" t="b">
        <v>0</v>
      </c>
      <c r="F75" s="6" t="b">
        <v>0</v>
      </c>
      <c r="G75" s="4" t="b">
        <v>0</v>
      </c>
      <c r="H75" s="4" t="b">
        <v>0</v>
      </c>
      <c r="I75" s="4" t="b">
        <v>0</v>
      </c>
      <c r="J75" s="6" t="inlineStr">
        <is>
          <t>2022-07-20T13:41:07+00:00</t>
        </is>
      </c>
      <c r="K75" s="6" t="inlineStr">
        <is>
          <t>weekly</t>
        </is>
      </c>
      <c r="L75" s="6" t="inlineStr">
        <is>
          <t>0.7</t>
        </is>
      </c>
    </row>
    <row r="76" ht="30" customHeight="1">
      <c r="A76" s="34" t="inlineStr">
        <is>
          <t>https://africanmarketingconfederation.org/amc-relaunch-programme/</t>
        </is>
      </c>
      <c r="B76" s="27" t="inlineStr">
        <is>
          <t>https://africanmarketingconfederation.org/amc-relaunch-programme/</t>
        </is>
      </c>
      <c r="C76" s="4" t="n">
        <v>200</v>
      </c>
      <c r="D76" s="4" t="b">
        <v>0</v>
      </c>
      <c r="E76" s="27" t="b">
        <v>0</v>
      </c>
      <c r="F76" s="24" t="b">
        <v>0</v>
      </c>
      <c r="G76" s="4" t="b">
        <v>0</v>
      </c>
      <c r="H76" s="4" t="b">
        <v>0</v>
      </c>
      <c r="I76" s="4" t="b">
        <v>0</v>
      </c>
      <c r="J76" s="24" t="inlineStr">
        <is>
          <t>2022-06-03T08:52:21+00:00</t>
        </is>
      </c>
      <c r="K76" s="24" t="inlineStr">
        <is>
          <t>weekly</t>
        </is>
      </c>
      <c r="L76" s="24" t="inlineStr">
        <is>
          <t>0.7</t>
        </is>
      </c>
    </row>
    <row r="77" ht="30" customHeight="1">
      <c r="A77" s="34" t="inlineStr">
        <is>
          <t>https://africanmarketingconfederation.org/amc-masterclass/</t>
        </is>
      </c>
      <c r="B77" s="30" t="inlineStr">
        <is>
          <t>https://africanmarketingconfederation.org/amc-masterclass/</t>
        </is>
      </c>
      <c r="C77" s="4" t="n">
        <v>200</v>
      </c>
      <c r="D77" s="4" t="b">
        <v>0</v>
      </c>
      <c r="E77" s="30" t="b">
        <v>0</v>
      </c>
      <c r="F77" s="6" t="b">
        <v>0</v>
      </c>
      <c r="G77" s="4" t="b">
        <v>0</v>
      </c>
      <c r="H77" s="4" t="b">
        <v>0</v>
      </c>
      <c r="I77" s="4" t="b">
        <v>0</v>
      </c>
      <c r="J77" s="6" t="inlineStr">
        <is>
          <t>2022-06-02T12:03:41+00:00</t>
        </is>
      </c>
      <c r="K77" s="6" t="inlineStr">
        <is>
          <t>weekly</t>
        </is>
      </c>
      <c r="L77" s="6" t="inlineStr">
        <is>
          <t>0.7</t>
        </is>
      </c>
    </row>
    <row r="78" ht="30" customHeight="1">
      <c r="A78" s="34" t="inlineStr">
        <is>
          <t>https://africanmarketingconfederation.org/amc-masterclass-thank-you/</t>
        </is>
      </c>
      <c r="B78" s="27" t="inlineStr">
        <is>
          <t>https://africanmarketingconfederation.org/amc-masterclass-thank-you/</t>
        </is>
      </c>
      <c r="C78" s="4" t="n">
        <v>200</v>
      </c>
      <c r="D78" s="4" t="b">
        <v>0</v>
      </c>
      <c r="E78" s="27" t="b">
        <v>0</v>
      </c>
      <c r="F78" s="24" t="b">
        <v>0</v>
      </c>
      <c r="G78" s="4" t="b">
        <v>0</v>
      </c>
      <c r="H78" s="4" t="b">
        <v>0</v>
      </c>
      <c r="I78" s="4" t="b">
        <v>0</v>
      </c>
      <c r="J78" s="24" t="inlineStr">
        <is>
          <t>2022-04-22T11:41:56+00:00</t>
        </is>
      </c>
      <c r="K78" s="24" t="inlineStr">
        <is>
          <t>weekly</t>
        </is>
      </c>
      <c r="L78" s="24" t="inlineStr">
        <is>
          <t>0.7</t>
        </is>
      </c>
    </row>
    <row r="79" ht="30" customHeight="1">
      <c r="A79" s="34" t="inlineStr">
        <is>
          <t>https://africanmarketingconfederation.org/amc-masterclass-bookings/</t>
        </is>
      </c>
      <c r="B79" s="30" t="inlineStr">
        <is>
          <t>https://africanmarketingconfederation.org/amc-masterclass-bookings/</t>
        </is>
      </c>
      <c r="C79" s="4" t="n">
        <v>200</v>
      </c>
      <c r="D79" s="4" t="b">
        <v>0</v>
      </c>
      <c r="E79" s="30" t="b">
        <v>0</v>
      </c>
      <c r="F79" s="6" t="b">
        <v>0</v>
      </c>
      <c r="G79" s="4" t="b">
        <v>0</v>
      </c>
      <c r="H79" s="4" t="b">
        <v>0</v>
      </c>
      <c r="I79" s="4" t="b">
        <v>0</v>
      </c>
      <c r="J79" s="6" t="inlineStr">
        <is>
          <t>2022-04-22T10:58:21+00:00</t>
        </is>
      </c>
      <c r="K79" s="6" t="inlineStr">
        <is>
          <t>weekly</t>
        </is>
      </c>
      <c r="L79" s="6" t="inlineStr">
        <is>
          <t>0.7</t>
        </is>
      </c>
    </row>
    <row r="80" ht="30" customHeight="1">
      <c r="A80" s="34" t="inlineStr">
        <is>
          <t>https://africanmarketingconfederation.org/amc-conference-programme/</t>
        </is>
      </c>
      <c r="B80" s="27" t="inlineStr">
        <is>
          <t>https://africanmarketingconfederation.org/amc-conference-programme/</t>
        </is>
      </c>
      <c r="C80" s="4" t="n">
        <v>200</v>
      </c>
      <c r="D80" s="4" t="b">
        <v>0</v>
      </c>
      <c r="E80" s="27" t="b">
        <v>0</v>
      </c>
      <c r="F80" s="24" t="b">
        <v>0</v>
      </c>
      <c r="G80" s="4" t="b">
        <v>0</v>
      </c>
      <c r="H80" s="4" t="b">
        <v>0</v>
      </c>
      <c r="I80" s="4" t="b">
        <v>0</v>
      </c>
      <c r="J80" s="24" t="inlineStr">
        <is>
          <t>2022-01-17T12:56:25+00:00</t>
        </is>
      </c>
      <c r="K80" s="24" t="inlineStr">
        <is>
          <t>weekly</t>
        </is>
      </c>
      <c r="L80" s="24" t="inlineStr">
        <is>
          <t>0.7</t>
        </is>
      </c>
    </row>
    <row r="81" ht="30" customHeight="1">
      <c r="A81" s="34" t="inlineStr">
        <is>
          <t>https://africanmarketingconfederation.org/virtual-programme/</t>
        </is>
      </c>
      <c r="B81" s="30" t="inlineStr">
        <is>
          <t>https://africanmarketingconfederation.org/virtual-programme/</t>
        </is>
      </c>
      <c r="C81" s="4" t="n">
        <v>200</v>
      </c>
      <c r="D81" s="4" t="b">
        <v>0</v>
      </c>
      <c r="E81" s="30" t="b">
        <v>0</v>
      </c>
      <c r="F81" s="6" t="b">
        <v>0</v>
      </c>
      <c r="G81" s="4" t="b">
        <v>0</v>
      </c>
      <c r="H81" s="4" t="b">
        <v>0</v>
      </c>
      <c r="I81" s="4" t="b">
        <v>0</v>
      </c>
      <c r="J81" s="6" t="inlineStr">
        <is>
          <t>2022-01-17T12:56:22+00:00</t>
        </is>
      </c>
      <c r="K81" s="6" t="inlineStr">
        <is>
          <t>weekly</t>
        </is>
      </c>
      <c r="L81" s="6" t="inlineStr">
        <is>
          <t>0.7</t>
        </is>
      </c>
    </row>
    <row r="82" ht="30" customHeight="1">
      <c r="A82" s="34" t="inlineStr">
        <is>
          <t>https://africanmarketingconfederation.org/test-homeslider/</t>
        </is>
      </c>
      <c r="B82" s="27" t="inlineStr">
        <is>
          <t>https://africanmarketingconfederation.org/test-homeslider/</t>
        </is>
      </c>
      <c r="C82" s="4" t="n">
        <v>200</v>
      </c>
      <c r="D82" s="4" t="b">
        <v>0</v>
      </c>
      <c r="E82" s="27" t="b">
        <v>0</v>
      </c>
      <c r="F82" s="24" t="b">
        <v>0</v>
      </c>
      <c r="G82" s="4" t="b">
        <v>0</v>
      </c>
      <c r="H82" s="4" t="b">
        <v>0</v>
      </c>
      <c r="I82" s="4" t="b">
        <v>0</v>
      </c>
      <c r="J82" s="24" t="inlineStr">
        <is>
          <t>2022-01-14T11:59:51+00:00</t>
        </is>
      </c>
      <c r="K82" s="24" t="inlineStr">
        <is>
          <t>weekly</t>
        </is>
      </c>
      <c r="L82" s="24" t="inlineStr">
        <is>
          <t>0.7</t>
        </is>
      </c>
    </row>
    <row r="83" ht="30" customHeight="1">
      <c r="A83" s="34" t="inlineStr">
        <is>
          <t>https://africanmarketingconfederation.org/general-enquiry-form-thank-you/</t>
        </is>
      </c>
      <c r="B83" s="30" t="inlineStr">
        <is>
          <t>https://africanmarketingconfederation.org/general-enquiry-form-thank-you/</t>
        </is>
      </c>
      <c r="C83" s="4" t="n">
        <v>200</v>
      </c>
      <c r="D83" s="4" t="b">
        <v>0</v>
      </c>
      <c r="E83" s="30" t="b">
        <v>0</v>
      </c>
      <c r="F83" s="6" t="b">
        <v>0</v>
      </c>
      <c r="G83" s="4" t="b">
        <v>0</v>
      </c>
      <c r="H83" s="4" t="b">
        <v>0</v>
      </c>
      <c r="I83" s="4" t="b">
        <v>0</v>
      </c>
      <c r="J83" s="6" t="inlineStr">
        <is>
          <t>2022-01-14T08:35:45+00:00</t>
        </is>
      </c>
      <c r="K83" s="6" t="inlineStr">
        <is>
          <t>weekly</t>
        </is>
      </c>
      <c r="L83" s="6" t="inlineStr">
        <is>
          <t>0.7</t>
        </is>
      </c>
    </row>
    <row r="84" ht="30" customHeight="1">
      <c r="A84" s="34" t="inlineStr">
        <is>
          <t>https://africanmarketingconfederation.org/amc-conference-2022-thank-you/</t>
        </is>
      </c>
      <c r="B84" s="27" t="inlineStr">
        <is>
          <t>https://africanmarketingconfederation.org/amc-conference-2022-thank-you/</t>
        </is>
      </c>
      <c r="C84" s="4" t="n">
        <v>200</v>
      </c>
      <c r="D84" s="4" t="b">
        <v>0</v>
      </c>
      <c r="E84" s="27" t="b">
        <v>0</v>
      </c>
      <c r="F84" s="24" t="b">
        <v>0</v>
      </c>
      <c r="G84" s="4" t="b">
        <v>0</v>
      </c>
      <c r="H84" s="4" t="b">
        <v>0</v>
      </c>
      <c r="I84" s="4" t="b">
        <v>0</v>
      </c>
      <c r="J84" s="24" t="inlineStr">
        <is>
          <t>2021-11-26T08:41:00+00:00</t>
        </is>
      </c>
      <c r="K84" s="24" t="inlineStr">
        <is>
          <t>weekly</t>
        </is>
      </c>
      <c r="L84" s="24" t="inlineStr">
        <is>
          <t>0.7</t>
        </is>
      </c>
    </row>
    <row r="85" ht="30" customHeight="1">
      <c r="A85" s="34" t="inlineStr">
        <is>
          <t>https://africanmarketingconfederation.org/speakers/</t>
        </is>
      </c>
      <c r="B85" s="30" t="inlineStr">
        <is>
          <t>https://africanmarketingconfederation.org/speakers/</t>
        </is>
      </c>
      <c r="C85" s="4" t="n">
        <v>200</v>
      </c>
      <c r="D85" s="4" t="b">
        <v>0</v>
      </c>
      <c r="E85" s="30" t="b">
        <v>0</v>
      </c>
      <c r="F85" s="6" t="b">
        <v>0</v>
      </c>
      <c r="G85" s="4" t="b">
        <v>0</v>
      </c>
      <c r="H85" s="4" t="b">
        <v>0</v>
      </c>
      <c r="I85" s="4" t="b">
        <v>0</v>
      </c>
      <c r="J85" s="6" t="inlineStr">
        <is>
          <t>2021-10-12T12:43:05+00:00</t>
        </is>
      </c>
      <c r="K85" s="6" t="inlineStr">
        <is>
          <t>weekly</t>
        </is>
      </c>
      <c r="L85" s="6" t="inlineStr">
        <is>
          <t>0.7</t>
        </is>
      </c>
    </row>
    <row r="86" ht="30" customHeight="1">
      <c r="A86" s="34" t="inlineStr">
        <is>
          <t>https://africanmarketingconfederation.org/privacy-policy/</t>
        </is>
      </c>
      <c r="B86" s="27" t="inlineStr">
        <is>
          <t>https://africanmarketingconfederation.org/privacy-policy/</t>
        </is>
      </c>
      <c r="C86" s="4" t="n">
        <v>200</v>
      </c>
      <c r="D86" s="4" t="b">
        <v>0</v>
      </c>
      <c r="E86" s="27" t="b">
        <v>0</v>
      </c>
      <c r="F86" s="24" t="b">
        <v>0</v>
      </c>
      <c r="G86" s="4" t="b">
        <v>0</v>
      </c>
      <c r="H86" s="4" t="b">
        <v>0</v>
      </c>
      <c r="I86" s="4" t="b">
        <v>0</v>
      </c>
      <c r="J86" s="24" t="inlineStr">
        <is>
          <t>2021-08-31T10:56:05+00:00</t>
        </is>
      </c>
      <c r="K86" s="24" t="inlineStr">
        <is>
          <t>weekly</t>
        </is>
      </c>
      <c r="L86" s="24" t="inlineStr">
        <is>
          <t>0.7</t>
        </is>
      </c>
    </row>
  </sheetData>
  <autoFilter ref="A1:L86"/>
  <conditionalFormatting sqref="C2:C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 Sitemap but Non-200" prompt="In Sitemap but Non-200. Review this metric to identify risk, then use linked tabs for details and remediation." type="custom">
      <formula1>TRUE</formula1>
    </dataValidation>
    <dataValidation sqref="E1" showDropDown="0" showInputMessage="1" showErrorMessage="0" allowBlank="1" promptTitle="Sitemap URL Redirects" prompt="Sitemap URL Redirects. Use this URL to inspect the page directly or jump to related tabs." type="custom">
      <formula1>TRUE</formula1>
    </dataValidation>
    <dataValidation sqref="F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G1" showDropDown="0" showInputMessage="1" showErrorMessage="0" allowBlank="1" promptTitle="Missing &lt;lastmod&gt;" prompt="Missing &lt;lastmod&gt;. Review this metric to identify risk, then use linked tabs for details and remediation." type="custom">
      <formula1>TRUE</formula1>
    </dataValidation>
    <dataValidation sqref="H1" showDropDown="0" showInputMessage="1" showErrorMessage="0" allowBlank="1" promptTitle="Missing &lt;changefreq&gt;" prompt="Missing &lt;changefreq&gt;. Review this metric to identify risk, then use linked tabs for details and remediation." type="custom">
      <formula1>TRUE</formula1>
    </dataValidation>
    <dataValidation sqref="I1" showDropDown="0" showInputMessage="1" showErrorMessage="0" allowBlank="1" promptTitle="Missing &lt;priority&gt;" prompt="Missing &lt;priority&gt;. Review this metric to identify risk, then use linked tabs for details and remediation." type="custom">
      <formula1>TRUE</formula1>
    </dataValidation>
    <dataValidation sqref="J1" showDropDown="0" showInputMessage="1" showErrorMessage="0" allowBlank="1" promptTitle="Sitemap &lt;lastmod&gt;" prompt="Sitemap &lt;lastmod&gt;. Review this metric to identify risk, then use linked tabs for details and remediation." type="custom">
      <formula1>TRUE</formula1>
    </dataValidation>
    <dataValidation sqref="K1" showDropDown="0" showInputMessage="1" showErrorMessage="0" allowBlank="1" promptTitle="Sitemap &lt;changefreq&gt;" prompt="Sitemap &lt;changefreq&gt;. Review this metric to identify risk, then use linked tabs for details and remediation." type="custom">
      <formula1>TRUE</formula1>
    </dataValidation>
    <dataValidation sqref="L1" showDropDown="0" showInputMessage="1" showErrorMessage="0" allowBlank="1" promptTitle="Sitemap &lt;priority&gt;" prompt="Sitemap &lt;priority&gt;. Review this metric to identify risk, then use linked tabs for details and remediation."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7" customWidth="1" min="2" max="2"/>
  </cols>
  <sheetData>
    <row r="1">
      <c r="A1" s="1" t="inlineStr">
        <is>
          <t>Metric</t>
        </is>
      </c>
      <c r="B1" s="1" t="inlineStr">
        <is>
          <t>Count</t>
        </is>
      </c>
      <c r="C1" s="23" t="inlineStr">
        <is>
          <t>BACK TO DASHBOARD</t>
        </is>
      </c>
    </row>
    <row r="2">
      <c r="A2" s="4" t="inlineStr">
        <is>
          <t>New Issues</t>
        </is>
      </c>
      <c r="B2" s="24" t="n">
        <v>782</v>
      </c>
    </row>
    <row r="3">
      <c r="A3" s="4" t="inlineStr">
        <is>
          <t>Resolved Issues</t>
        </is>
      </c>
      <c r="B3" s="6" t="n">
        <v>0</v>
      </c>
    </row>
    <row r="4">
      <c r="A4" s="4" t="inlineStr">
        <is>
          <t>Unchanged Issues</t>
        </is>
      </c>
      <c r="B4" s="24" t="n">
        <v>0</v>
      </c>
    </row>
    <row r="5">
      <c r="A5" s="4" t="inlineStr">
        <is>
          <t>Issue Delta: Non-200 Status</t>
        </is>
      </c>
      <c r="B5" s="6" t="n">
        <v>2</v>
      </c>
    </row>
    <row r="6">
      <c r="A6" s="4" t="inlineStr">
        <is>
          <t>Issue Delta: Noindex Directive</t>
        </is>
      </c>
      <c r="B6" s="24" t="n">
        <v>0</v>
      </c>
    </row>
    <row r="7">
      <c r="A7" s="4" t="inlineStr">
        <is>
          <t>Issue Delta: Canonical Points Elsewhere</t>
        </is>
      </c>
      <c r="B7" s="6" t="n">
        <v>0</v>
      </c>
    </row>
    <row r="8">
      <c r="A8" s="4" t="inlineStr">
        <is>
          <t>Issue Delta: Robots.txt Disallow Root</t>
        </is>
      </c>
      <c r="B8" s="24" t="n">
        <v>0</v>
      </c>
    </row>
    <row r="9">
      <c r="A9" s="4" t="inlineStr">
        <is>
          <t>Issue Delta: Broken Internal Links</t>
        </is>
      </c>
      <c r="B9" s="6" t="n">
        <v>0</v>
      </c>
    </row>
    <row r="10">
      <c r="A10" s="4" t="inlineStr">
        <is>
          <t>Issue Delta: Redirect Chains</t>
        </is>
      </c>
      <c r="B10" s="24" t="n">
        <v>0</v>
      </c>
    </row>
    <row r="11">
      <c r="A11" s="4" t="inlineStr">
        <is>
          <t>Issue Delta: Missing Title</t>
        </is>
      </c>
      <c r="B11" s="6" t="n">
        <v>2</v>
      </c>
    </row>
    <row r="12">
      <c r="A12" s="4" t="inlineStr">
        <is>
          <t>Issue Delta: Missing Meta Description</t>
        </is>
      </c>
      <c r="B12" s="24" t="n">
        <v>5</v>
      </c>
    </row>
    <row r="13">
      <c r="A13" s="4" t="inlineStr">
        <is>
          <t>Issue Delta: Missing H1</t>
        </is>
      </c>
      <c r="B13" s="6" t="n">
        <v>32</v>
      </c>
    </row>
    <row r="14">
      <c r="A14" s="4" t="inlineStr">
        <is>
          <t>Issue Delta: Multiple H1</t>
        </is>
      </c>
      <c r="B14" s="24" t="n">
        <v>18</v>
      </c>
    </row>
    <row r="15">
      <c r="A15" s="4" t="inlineStr">
        <is>
          <t>Issue Delta: Thin Content</t>
        </is>
      </c>
      <c r="B15" s="6" t="n">
        <v>41</v>
      </c>
    </row>
    <row r="16">
      <c r="A16" s="4" t="inlineStr">
        <is>
          <t>Issue Delta: Low Image Alt Coverage</t>
        </is>
      </c>
      <c r="B16" s="24" t="n">
        <v>0</v>
      </c>
    </row>
    <row r="17">
      <c r="A17" s="4" t="inlineStr">
        <is>
          <t>Issue Delta: Mixed Content</t>
        </is>
      </c>
      <c r="B17" s="6" t="n">
        <v>0</v>
      </c>
    </row>
    <row r="18">
      <c r="A18" s="4" t="inlineStr">
        <is>
          <t>Issue Delta: Canonical Missing</t>
        </is>
      </c>
      <c r="B18" s="24" t="n">
        <v>0</v>
      </c>
    </row>
    <row r="19">
      <c r="A19" s="4" t="inlineStr">
        <is>
          <t>Issue Delta: Hreflang Without Reciprocity</t>
        </is>
      </c>
      <c r="B19" s="6" t="n">
        <v>0</v>
      </c>
    </row>
    <row r="20">
      <c r="A20" s="4" t="inlineStr">
        <is>
          <t>Issue Delta: Uses URL Parameters</t>
        </is>
      </c>
      <c r="B20" s="24" t="n">
        <v>0</v>
      </c>
    </row>
    <row r="21">
      <c r="A21" s="4" t="inlineStr">
        <is>
          <t>Issue Delta: Generic Anchor Text Present</t>
        </is>
      </c>
      <c r="B21" s="6" t="n">
        <v>0</v>
      </c>
    </row>
    <row r="22">
      <c r="A22" s="4" t="inlineStr">
        <is>
          <t>Issue Delta: Image Filename Quality Issues</t>
        </is>
      </c>
      <c r="B22" s="24" t="n">
        <v>2</v>
      </c>
    </row>
    <row r="23">
      <c r="A23" s="4" t="inlineStr">
        <is>
          <t>Issue Delta: No Compression Header</t>
        </is>
      </c>
      <c r="B23" s="6" t="n">
        <v>85</v>
      </c>
    </row>
    <row r="24">
      <c r="A24" s="4" t="inlineStr">
        <is>
          <t>Issue Delta: No Cache-Control Header</t>
        </is>
      </c>
      <c r="B24" s="24" t="n">
        <v>85</v>
      </c>
    </row>
    <row r="25">
      <c r="A25" s="4" t="inlineStr">
        <is>
          <t>Issue Delta: No ETag Header</t>
        </is>
      </c>
      <c r="B25" s="6" t="n">
        <v>85</v>
      </c>
    </row>
    <row r="26">
      <c r="A26" s="4" t="inlineStr">
        <is>
          <t>Issue Delta: Low AEO Readiness Score</t>
        </is>
      </c>
      <c r="B26" s="24" t="n">
        <v>85</v>
      </c>
    </row>
    <row r="27">
      <c r="A27" s="4" t="inlineStr">
        <is>
          <t>Issue Delta: No FAQ/QA Schema</t>
        </is>
      </c>
      <c r="B27" s="6" t="n">
        <v>85</v>
      </c>
    </row>
    <row r="28">
      <c r="A28" s="4" t="inlineStr">
        <is>
          <t>Issue Delta: No Question Headings</t>
        </is>
      </c>
      <c r="B28" s="24" t="n">
        <v>85</v>
      </c>
    </row>
    <row r="29">
      <c r="A29" s="4" t="inlineStr">
        <is>
          <t>Issue Delta: No Answer-Friendly Structure</t>
        </is>
      </c>
      <c r="B29" s="6" t="n">
        <v>85</v>
      </c>
    </row>
    <row r="30">
      <c r="A30" s="4" t="inlineStr">
        <is>
          <t>Issue Delta: No 40-60 Word Answer Paragraphs</t>
        </is>
      </c>
      <c r="B30" s="24" t="n">
        <v>85</v>
      </c>
    </row>
  </sheetData>
  <autoFilter ref="A1:B30"/>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29" customWidth="1" min="2" max="2"/>
  </cols>
  <sheetData>
    <row r="1">
      <c r="A1" s="1" t="inlineStr">
        <is>
          <t>Key</t>
        </is>
      </c>
      <c r="B1" s="1" t="inlineStr">
        <is>
          <t>Value</t>
        </is>
      </c>
      <c r="C1" s="23" t="inlineStr">
        <is>
          <t>BACK TO DASHBOARD</t>
        </is>
      </c>
    </row>
    <row r="2">
      <c r="A2" s="4" t="inlineStr">
        <is>
          <t>Run Timestamp (UTC)</t>
        </is>
      </c>
      <c r="B2" s="24" t="inlineStr">
        <is>
          <t>2026-04-30T07:20:15.691202Z</t>
        </is>
      </c>
    </row>
    <row r="3">
      <c r="A3" s="4" t="inlineStr">
        <is>
          <t>Total URLs</t>
        </is>
      </c>
      <c r="B3" s="6" t="n">
        <v>85</v>
      </c>
    </row>
    <row r="4">
      <c r="A4" s="4" t="inlineStr">
        <is>
          <t>Mode</t>
        </is>
      </c>
      <c r="B4" s="24" t="inlineStr">
        <is>
          <t>Full Suite</t>
        </is>
      </c>
    </row>
    <row r="5">
      <c r="A5" s="4" t="inlineStr">
        <is>
          <t>Workers</t>
        </is>
      </c>
      <c r="B5" s="6" t="n">
        <v>4</v>
      </c>
    </row>
    <row r="6">
      <c r="A6" s="4" t="inlineStr">
        <is>
          <t>Delay Seconds</t>
        </is>
      </c>
      <c r="B6" s="24" t="n">
        <v>1.5</v>
      </c>
    </row>
    <row r="7">
      <c r="A7" s="4" t="inlineStr">
        <is>
          <t>Retries</t>
        </is>
      </c>
      <c r="B7" s="6" t="n">
        <v>3</v>
      </c>
    </row>
    <row r="8">
      <c r="A8" s="4" t="inlineStr">
        <is>
          <t>Timeout Seconds</t>
        </is>
      </c>
      <c r="B8" s="24" t="n">
        <v>20</v>
      </c>
    </row>
    <row r="9">
      <c r="A9" s="4" t="inlineStr">
        <is>
          <t>Checkpoint Every</t>
        </is>
      </c>
      <c r="B9" s="6" t="n">
        <v>0</v>
      </c>
    </row>
  </sheetData>
  <autoFilter ref="A1:B9"/>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2026-04-30T07:20:15Z</dcterms:created>
  <dcterms:modified xmlns:dcterms="http://purl.org/dc/terms/" xmlns:xsi="http://www.w3.org/2001/XMLSchema-instance" xsi:type="dcterms:W3CDTF">2026-04-30T07:20:18Z</dcterms:modified>
</cp:coreProperties>
</file>